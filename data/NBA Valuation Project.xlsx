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202300"/>
  <mc:AlternateContent xmlns:mc="http://schemas.openxmlformats.org/markup-compatibility/2006">
    <mc:Choice Requires="x15">
      <x15ac:absPath xmlns:x15ac="http://schemas.microsoft.com/office/spreadsheetml/2010/11/ac" url="/Users/zacharykeller/Desktop/"/>
    </mc:Choice>
  </mc:AlternateContent>
  <xr:revisionPtr revIDLastSave="0" documentId="13_ncr:1_{6BA573E5-CD4D-5041-B800-5484C0116B99}" xr6:coauthVersionLast="47" xr6:coauthVersionMax="47" xr10:uidLastSave="{00000000-0000-0000-0000-000000000000}"/>
  <bookViews>
    <workbookView xWindow="-1540" yWindow="-20340" windowWidth="37700" windowHeight="20200" activeTab="5" xr2:uid="{132C918C-5EB3-6748-9961-0AC93C52BE99}"/>
  </bookViews>
  <sheets>
    <sheet name="Sources &amp; Disclaimers" sheetId="6" r:id="rId1"/>
    <sheet name="NBA Valuations" sheetId="1" r:id="rId2"/>
    <sheet name="Revenue" sheetId="7" r:id="rId3"/>
    <sheet name="Operating Income" sheetId="8" r:id="rId4"/>
    <sheet name="Market Size" sheetId="10" r:id="rId5"/>
    <sheet name="Arena" sheetId="9" r:id="rId6"/>
    <sheet name="Sportico &amp; CNBC" sheetId="2" r:id="rId7"/>
    <sheet name="Salary Cap" sheetId="3" r:id="rId8"/>
    <sheet name="Team Performance" sheetId="5" r:id="rId9"/>
    <sheet name="Panel" sheetId="11"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5" i="10" l="1"/>
  <c r="L6" i="10"/>
  <c r="L7" i="10"/>
  <c r="L8" i="10"/>
  <c r="L9" i="10"/>
  <c r="L10" i="10"/>
  <c r="L11" i="10"/>
  <c r="L12" i="10"/>
  <c r="L13" i="10"/>
  <c r="L14" i="10"/>
  <c r="L15" i="10"/>
  <c r="L16" i="10"/>
  <c r="L17" i="10"/>
  <c r="L18" i="10"/>
  <c r="L19" i="10"/>
  <c r="L20" i="10"/>
  <c r="L21" i="10"/>
  <c r="L22" i="10"/>
  <c r="L23" i="10"/>
  <c r="L24" i="10"/>
  <c r="L25" i="10"/>
  <c r="L26" i="10"/>
  <c r="L27" i="10"/>
  <c r="L28" i="10"/>
  <c r="L29" i="10"/>
  <c r="L30" i="10"/>
  <c r="L31" i="10"/>
  <c r="L32" i="10"/>
  <c r="L33" i="10"/>
  <c r="L34" i="10"/>
  <c r="A241" i="5"/>
  <c r="E241" i="5"/>
  <c r="A242" i="5"/>
  <c r="E242" i="5"/>
  <c r="A243" i="5"/>
  <c r="E243" i="5"/>
  <c r="A244" i="5"/>
  <c r="E244" i="5"/>
  <c r="A245" i="5"/>
  <c r="E245" i="5"/>
  <c r="A246" i="5"/>
  <c r="E246" i="5"/>
  <c r="A247" i="5"/>
  <c r="E247" i="5"/>
  <c r="A248" i="5"/>
  <c r="E248" i="5"/>
  <c r="A249" i="5"/>
  <c r="E249" i="5"/>
  <c r="A250" i="5"/>
  <c r="E250" i="5"/>
  <c r="A251" i="5"/>
  <c r="E251" i="5"/>
  <c r="A252" i="5"/>
  <c r="E252" i="5"/>
  <c r="A253" i="5"/>
  <c r="E253" i="5"/>
  <c r="A254" i="5"/>
  <c r="E254" i="5"/>
  <c r="A255" i="5"/>
  <c r="E255" i="5"/>
  <c r="A256" i="5"/>
  <c r="E256" i="5"/>
  <c r="A257" i="5"/>
  <c r="E257" i="5"/>
  <c r="A258" i="5"/>
  <c r="E258" i="5"/>
  <c r="A259" i="5"/>
  <c r="E259" i="5"/>
  <c r="A260" i="5"/>
  <c r="E260" i="5"/>
  <c r="A261" i="5"/>
  <c r="E261" i="5"/>
  <c r="A262" i="5"/>
  <c r="E262" i="5"/>
  <c r="A263" i="5"/>
  <c r="E263" i="5"/>
  <c r="A264" i="5"/>
  <c r="E264" i="5"/>
  <c r="A265" i="5"/>
  <c r="E265" i="5"/>
  <c r="A266" i="5"/>
  <c r="E266" i="5"/>
  <c r="A267" i="5"/>
  <c r="E267" i="5"/>
  <c r="A268" i="5"/>
  <c r="E268" i="5"/>
  <c r="A269" i="5"/>
  <c r="E269" i="5"/>
  <c r="A270" i="5"/>
  <c r="E270" i="5"/>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6" i="11" a="1"/>
  <c r="B6" i="11"/>
  <c r="A7" i="11" a="1"/>
  <c r="B7" i="11"/>
  <c r="A8" i="11" a="1"/>
  <c r="B8" i="11"/>
  <c r="A9" i="11" a="1"/>
  <c r="B9" i="11"/>
  <c r="A10" i="11" a="1"/>
  <c r="B10" i="11"/>
  <c r="A11" i="11" a="1"/>
  <c r="B11" i="11"/>
  <c r="D11" i="11"/>
  <c r="E11" i="11"/>
  <c r="A12" i="11" a="1"/>
  <c r="B12" i="11"/>
  <c r="E12" i="11"/>
  <c r="G12" i="11"/>
  <c r="A13" i="11" a="1"/>
  <c r="B13" i="11"/>
  <c r="E13" i="11"/>
  <c r="G13" i="11"/>
  <c r="A14" i="11" a="1"/>
  <c r="B14" i="11"/>
  <c r="D14" i="11"/>
  <c r="E14" i="11"/>
  <c r="G14" i="11"/>
  <c r="A15" i="11" a="1"/>
  <c r="B15" i="11"/>
  <c r="A16" i="11" a="1"/>
  <c r="B16" i="11"/>
  <c r="A17" i="11" a="1"/>
  <c r="B17" i="11"/>
  <c r="D17" i="11"/>
  <c r="E17" i="11"/>
  <c r="G17" i="11"/>
  <c r="A18" i="11" a="1"/>
  <c r="B18" i="11"/>
  <c r="C18" i="11"/>
  <c r="D18" i="11"/>
  <c r="E18" i="11"/>
  <c r="G18" i="11"/>
  <c r="A19" i="11" a="1"/>
  <c r="B19" i="11"/>
  <c r="G19" i="11"/>
  <c r="A20" i="11" a="1"/>
  <c r="B20" i="11"/>
  <c r="A21" i="11" a="1"/>
  <c r="B21" i="11"/>
  <c r="A22" i="11" a="1"/>
  <c r="B22" i="11"/>
  <c r="G22" i="11"/>
  <c r="A23" i="11" a="1"/>
  <c r="B23" i="11"/>
  <c r="A24" i="11" a="1"/>
  <c r="B24" i="11"/>
  <c r="D24" i="11"/>
  <c r="E24" i="11"/>
  <c r="G24" i="11"/>
  <c r="A25" i="11" a="1"/>
  <c r="B25" i="11"/>
  <c r="G25" i="11"/>
  <c r="A26" i="11" a="1"/>
  <c r="B26" i="11"/>
  <c r="C26" i="11"/>
  <c r="D26" i="11"/>
  <c r="E26" i="11"/>
  <c r="G26" i="11"/>
  <c r="A27" i="11" a="1"/>
  <c r="B27" i="11"/>
  <c r="C27" i="11"/>
  <c r="D27" i="11"/>
  <c r="E27" i="11"/>
  <c r="G27" i="11"/>
  <c r="A28" i="11" a="1"/>
  <c r="B28" i="11"/>
  <c r="A29" i="11" a="1"/>
  <c r="B29" i="11"/>
  <c r="C29" i="11"/>
  <c r="D29" i="11"/>
  <c r="E29" i="11"/>
  <c r="G29" i="11"/>
  <c r="A30" i="11" a="1"/>
  <c r="B30" i="11"/>
  <c r="D30" i="11"/>
  <c r="E30" i="11"/>
  <c r="G30" i="11"/>
  <c r="A31" i="11" a="1"/>
  <c r="B31" i="11"/>
  <c r="A32" i="11" a="1"/>
  <c r="B32" i="11"/>
  <c r="A33" i="11" a="1"/>
  <c r="B33" i="11"/>
  <c r="E33" i="11"/>
  <c r="G33" i="11"/>
  <c r="A34" i="11" a="1"/>
  <c r="B34" i="11"/>
  <c r="A35" i="11" a="1"/>
  <c r="B35" i="11"/>
  <c r="A36" i="11" a="1"/>
  <c r="B36" i="11"/>
  <c r="A37" i="11" a="1"/>
  <c r="B37" i="11"/>
  <c r="A38" i="11" a="1"/>
  <c r="B38" i="11"/>
  <c r="A39" i="11" a="1"/>
  <c r="B39" i="11"/>
  <c r="A40" i="11" a="1"/>
  <c r="B40" i="11"/>
  <c r="A41" i="11" a="1"/>
  <c r="B41" i="11"/>
  <c r="E41" i="11"/>
  <c r="G41" i="11"/>
  <c r="A42" i="11" a="1"/>
  <c r="B42" i="11"/>
  <c r="A43" i="11" a="1"/>
  <c r="B43" i="11"/>
  <c r="G43" i="11"/>
  <c r="A44" i="11" a="1"/>
  <c r="B44" i="11"/>
  <c r="A45" i="11" a="1"/>
  <c r="B45" i="11"/>
  <c r="A46" i="11" a="1"/>
  <c r="B46" i="11"/>
  <c r="A47" i="11" a="1"/>
  <c r="B47" i="11"/>
  <c r="D47" i="11"/>
  <c r="E47" i="11"/>
  <c r="G47" i="11"/>
  <c r="A48" i="11" a="1"/>
  <c r="B48" i="11"/>
  <c r="E48" i="11"/>
  <c r="G48" i="11"/>
  <c r="A49" i="11" a="1"/>
  <c r="B49" i="11"/>
  <c r="C49" i="11"/>
  <c r="D49" i="11"/>
  <c r="E49" i="11"/>
  <c r="G49" i="11"/>
  <c r="A50" i="11" a="1"/>
  <c r="B50" i="11"/>
  <c r="A51" i="11" a="1"/>
  <c r="B51" i="11"/>
  <c r="A52" i="11" a="1"/>
  <c r="B52" i="11"/>
  <c r="A53" i="11" a="1"/>
  <c r="B53" i="11"/>
  <c r="A54" i="11" a="1"/>
  <c r="B54" i="11"/>
  <c r="A55" i="11" a="1"/>
  <c r="B55" i="11"/>
  <c r="A56" i="11" a="1"/>
  <c r="B56" i="11"/>
  <c r="D56" i="11"/>
  <c r="E56" i="11"/>
  <c r="G56" i="11"/>
  <c r="A57" i="11" a="1"/>
  <c r="B57" i="11"/>
  <c r="A58" i="11" a="1"/>
  <c r="B58" i="11"/>
  <c r="A59" i="11" a="1"/>
  <c r="B59" i="11"/>
  <c r="D59" i="11"/>
  <c r="E59" i="11"/>
  <c r="G59" i="11"/>
  <c r="A60" i="11" a="1"/>
  <c r="B60" i="11"/>
  <c r="A61" i="11" a="1"/>
  <c r="B61" i="11"/>
  <c r="A62" i="11" a="1"/>
  <c r="B62" i="11"/>
  <c r="D62" i="11"/>
  <c r="E62" i="11"/>
  <c r="G62" i="11"/>
  <c r="A63" i="11" a="1"/>
  <c r="B63" i="11"/>
  <c r="A64" i="11" a="1"/>
  <c r="B64" i="11"/>
  <c r="C64" i="11"/>
  <c r="D64" i="11"/>
  <c r="E64" i="11"/>
  <c r="G64" i="11"/>
  <c r="A65" i="11" a="1"/>
  <c r="B65" i="11"/>
  <c r="E65" i="11"/>
  <c r="G65" i="11"/>
  <c r="A66" i="11" a="1"/>
  <c r="B66" i="11"/>
  <c r="G66" i="11"/>
  <c r="A67" i="11" a="1"/>
  <c r="B67" i="11"/>
  <c r="A68" i="11" a="1"/>
  <c r="B68" i="11"/>
  <c r="A69" i="11" a="1"/>
  <c r="B69" i="11"/>
  <c r="G69" i="11"/>
  <c r="A70" i="11" a="1"/>
  <c r="B70" i="11"/>
  <c r="A71" i="11" a="1"/>
  <c r="B71" i="11"/>
  <c r="G71" i="11"/>
  <c r="A72" i="11" a="1"/>
  <c r="B72" i="11"/>
  <c r="A73" i="11" a="1"/>
  <c r="B73" i="11"/>
  <c r="A74" i="11" a="1"/>
  <c r="B74" i="11"/>
  <c r="D74" i="11"/>
  <c r="E74" i="11"/>
  <c r="G74" i="11"/>
  <c r="A75" i="11" a="1"/>
  <c r="B75" i="11"/>
  <c r="G75" i="11"/>
  <c r="A76" i="11" a="1"/>
  <c r="B76" i="11"/>
  <c r="A77" i="11" a="1"/>
  <c r="B77" i="11"/>
  <c r="A78" i="11" a="1"/>
  <c r="B78" i="11"/>
  <c r="E78" i="11"/>
  <c r="G78" i="11"/>
  <c r="A79" i="11" a="1"/>
  <c r="B79" i="11"/>
  <c r="G79" i="11"/>
  <c r="A80" i="11" a="1"/>
  <c r="B80" i="11"/>
  <c r="A81" i="11" a="1"/>
  <c r="B81" i="11"/>
  <c r="A82" i="11" a="1"/>
  <c r="B82" i="11"/>
  <c r="D82" i="11"/>
  <c r="E82" i="11"/>
  <c r="G82" i="11"/>
  <c r="A83" i="11" a="1"/>
  <c r="B83" i="11"/>
  <c r="A84" i="11" a="1"/>
  <c r="B84" i="11"/>
  <c r="A85" i="11" a="1"/>
  <c r="B85" i="11"/>
  <c r="G85" i="11"/>
  <c r="A86" i="11" a="1"/>
  <c r="B86" i="11"/>
  <c r="E86" i="11"/>
  <c r="G86" i="11"/>
  <c r="A87" i="11" a="1"/>
  <c r="B87" i="11"/>
  <c r="D87" i="11"/>
  <c r="E87" i="11"/>
  <c r="G87" i="11"/>
  <c r="A88" i="11" a="1"/>
  <c r="B88" i="11"/>
  <c r="C88" i="11"/>
  <c r="D88" i="11"/>
  <c r="E88" i="11"/>
  <c r="G88" i="11"/>
  <c r="A89" i="11" a="1"/>
  <c r="B89" i="11"/>
  <c r="A90" i="11" a="1"/>
  <c r="B90" i="11"/>
  <c r="A91" i="11" a="1"/>
  <c r="B91" i="11"/>
  <c r="A92" i="11" a="1"/>
  <c r="B92" i="11"/>
  <c r="G92" i="11"/>
  <c r="A93" i="11" a="1"/>
  <c r="B93" i="11"/>
  <c r="A94" i="11" a="1"/>
  <c r="B94" i="11"/>
  <c r="A95" i="11" a="1"/>
  <c r="B95" i="11"/>
  <c r="A96" i="11" a="1"/>
  <c r="B96" i="11"/>
  <c r="A97" i="11" a="1"/>
  <c r="B97" i="11"/>
  <c r="A98" i="11" a="1"/>
  <c r="B98" i="11"/>
  <c r="D98" i="11"/>
  <c r="E98" i="11"/>
  <c r="G98" i="11"/>
  <c r="A99" i="11" a="1"/>
  <c r="B99" i="11"/>
  <c r="A100" i="11" a="1"/>
  <c r="B100" i="11"/>
  <c r="A101" i="11" a="1"/>
  <c r="B101" i="11"/>
  <c r="A102" i="11" a="1"/>
  <c r="B102" i="11"/>
  <c r="G102" i="11"/>
  <c r="A103" i="11" a="1"/>
  <c r="B103" i="11"/>
  <c r="A104" i="11" a="1"/>
  <c r="B104" i="11"/>
  <c r="A105" i="11" a="1"/>
  <c r="B105" i="11"/>
  <c r="A106" i="11" a="1"/>
  <c r="B106" i="11"/>
  <c r="A107" i="11" a="1"/>
  <c r="B107" i="11"/>
  <c r="A108" i="11" a="1"/>
  <c r="B108" i="11"/>
  <c r="A109" i="11" a="1"/>
  <c r="B109" i="11"/>
  <c r="A110" i="11" a="1"/>
  <c r="B110" i="11"/>
  <c r="A111" i="11" a="1"/>
  <c r="B111" i="11"/>
  <c r="D111" i="11"/>
  <c r="E111" i="11"/>
  <c r="G111" i="11"/>
  <c r="A112" i="11" a="1"/>
  <c r="B112" i="11"/>
  <c r="A113" i="11" a="1"/>
  <c r="B113" i="11"/>
  <c r="A114" i="11" a="1"/>
  <c r="B114" i="11"/>
  <c r="A115" i="11" a="1"/>
  <c r="B115" i="11"/>
  <c r="A116" i="11" a="1"/>
  <c r="B116" i="11"/>
  <c r="A117" i="11" a="1"/>
  <c r="B117" i="11"/>
  <c r="E117" i="11"/>
  <c r="G117" i="11"/>
  <c r="A118" i="11" a="1"/>
  <c r="B118" i="11"/>
  <c r="A119" i="11" a="1"/>
  <c r="B119" i="11"/>
  <c r="G119" i="11"/>
  <c r="A120" i="11" a="1"/>
  <c r="B120" i="11"/>
  <c r="A121" i="11" a="1"/>
  <c r="B121" i="11"/>
  <c r="A122" i="11" a="1"/>
  <c r="B122" i="11"/>
  <c r="A123" i="11" a="1"/>
  <c r="B123" i="11"/>
  <c r="A124" i="11" a="1"/>
  <c r="B124" i="11"/>
  <c r="D124" i="11"/>
  <c r="E124" i="11"/>
  <c r="G124" i="11"/>
  <c r="A125" i="11" a="1"/>
  <c r="B125" i="11"/>
  <c r="A126" i="11" a="1"/>
  <c r="B126" i="11"/>
  <c r="A127" i="11" a="1"/>
  <c r="B127" i="11"/>
  <c r="E127" i="11"/>
  <c r="G127" i="11"/>
  <c r="A128" i="11" a="1"/>
  <c r="B128" i="11"/>
  <c r="A129" i="11" a="1"/>
  <c r="B129" i="11"/>
  <c r="A130" i="11" a="1"/>
  <c r="B130" i="11"/>
  <c r="D130" i="11"/>
  <c r="G130" i="11"/>
  <c r="A131" i="11" a="1"/>
  <c r="B131" i="11"/>
  <c r="A132" i="11" a="1"/>
  <c r="B132" i="11"/>
  <c r="D132" i="11"/>
  <c r="E132" i="11"/>
  <c r="G132" i="11"/>
  <c r="A133" i="11" a="1"/>
  <c r="B133" i="11"/>
  <c r="E133" i="11"/>
  <c r="G133" i="11"/>
  <c r="A134" i="11" a="1"/>
  <c r="B134" i="11"/>
  <c r="E134" i="11"/>
  <c r="G134" i="11"/>
  <c r="A135" i="11" a="1"/>
  <c r="B135" i="11"/>
  <c r="A136" i="11" a="1"/>
  <c r="B136" i="11"/>
  <c r="C136" i="11"/>
  <c r="D136" i="11"/>
  <c r="E136" i="11"/>
  <c r="G136" i="11"/>
  <c r="A137" i="11" a="1"/>
  <c r="B137" i="11"/>
  <c r="A138" i="11" a="1"/>
  <c r="B138" i="11"/>
  <c r="C138" i="11"/>
  <c r="D138" i="11"/>
  <c r="E138" i="11"/>
  <c r="G138" i="11"/>
  <c r="A139" i="11" a="1"/>
  <c r="B139" i="11"/>
  <c r="C139" i="11"/>
  <c r="D139" i="11"/>
  <c r="E139" i="11"/>
  <c r="G139" i="11"/>
  <c r="A140" i="11" a="1"/>
  <c r="B140" i="11"/>
  <c r="C140" i="11"/>
  <c r="D140" i="11"/>
  <c r="E140" i="11"/>
  <c r="G140" i="11"/>
  <c r="A141" i="11" a="1"/>
  <c r="B141" i="11"/>
  <c r="A142" i="11" a="1"/>
  <c r="B142" i="11"/>
  <c r="D142" i="11"/>
  <c r="E142" i="11"/>
  <c r="G142" i="11"/>
  <c r="A143" i="11" a="1"/>
  <c r="B143" i="11"/>
  <c r="A144" i="11" a="1"/>
  <c r="B144" i="11"/>
  <c r="D144" i="11"/>
  <c r="E144" i="11"/>
  <c r="G144" i="11"/>
  <c r="A145" i="11" a="1"/>
  <c r="B145" i="11"/>
  <c r="G145" i="11"/>
  <c r="A146" i="11" a="1"/>
  <c r="B146" i="11"/>
  <c r="D146" i="11"/>
  <c r="E146" i="11"/>
  <c r="G146" i="11"/>
  <c r="A147" i="11" a="1"/>
  <c r="B147" i="11"/>
  <c r="A148" i="11" a="1"/>
  <c r="B148" i="11"/>
  <c r="E148" i="11"/>
  <c r="G148" i="11"/>
  <c r="A149" i="11" a="1"/>
  <c r="B149" i="11"/>
  <c r="A150" i="11" a="1"/>
  <c r="B150" i="11"/>
  <c r="E150" i="11"/>
  <c r="G150" i="11"/>
  <c r="A151" i="11" a="1"/>
  <c r="B151" i="11"/>
  <c r="A152" i="11" a="1"/>
  <c r="B152" i="11"/>
  <c r="D152" i="11"/>
  <c r="E152" i="11"/>
  <c r="G152" i="11"/>
  <c r="A153" i="11" a="1"/>
  <c r="B153" i="11"/>
  <c r="A154" i="11" a="1"/>
  <c r="B154" i="11"/>
  <c r="C154" i="11"/>
  <c r="D154" i="11"/>
  <c r="E154" i="11"/>
  <c r="G154" i="11"/>
  <c r="A155" i="11" a="1"/>
  <c r="B155" i="11"/>
  <c r="E155" i="11"/>
  <c r="G155" i="11"/>
  <c r="A156" i="11" a="1"/>
  <c r="B156" i="11"/>
  <c r="G156" i="11"/>
  <c r="A157" i="11" a="1"/>
  <c r="B157" i="11"/>
  <c r="C157" i="11"/>
  <c r="D157" i="11"/>
  <c r="E157" i="11"/>
  <c r="G157" i="11"/>
  <c r="A158" i="11" a="1"/>
  <c r="B158" i="11"/>
  <c r="A159" i="11" a="1"/>
  <c r="B159" i="11"/>
  <c r="A160" i="11" a="1"/>
  <c r="B160" i="11"/>
  <c r="A161" i="11" a="1"/>
  <c r="B161" i="11"/>
  <c r="A162" i="11" a="1"/>
  <c r="B162" i="11"/>
  <c r="G162" i="11"/>
  <c r="A163" i="11" a="1"/>
  <c r="B163" i="11"/>
  <c r="A164" i="11" a="1"/>
  <c r="B164" i="11"/>
  <c r="A165" i="11" a="1"/>
  <c r="B165" i="11"/>
  <c r="A166" i="11" a="1"/>
  <c r="B166" i="11"/>
  <c r="G166" i="11"/>
  <c r="A167" i="11" a="1"/>
  <c r="B167" i="11"/>
  <c r="A168" i="11" a="1"/>
  <c r="B168" i="11"/>
  <c r="A169" i="11" a="1"/>
  <c r="B169" i="11"/>
  <c r="A170" i="11" a="1"/>
  <c r="B170" i="11"/>
  <c r="A171" i="11" a="1"/>
  <c r="B171" i="11"/>
  <c r="E171" i="11"/>
  <c r="G171" i="11"/>
  <c r="A172" i="11" a="1"/>
  <c r="B172" i="11"/>
  <c r="A173" i="11" a="1"/>
  <c r="B173" i="11"/>
  <c r="A174" i="11" a="1"/>
  <c r="B174" i="11"/>
  <c r="G174" i="11"/>
  <c r="A175" i="11" a="1"/>
  <c r="B175" i="11"/>
  <c r="A176" i="11" a="1"/>
  <c r="B176" i="11"/>
  <c r="A177" i="11" a="1"/>
  <c r="B177" i="11"/>
  <c r="A178" i="11" a="1"/>
  <c r="B178" i="11"/>
  <c r="A179" i="11" a="1"/>
  <c r="B179" i="11"/>
  <c r="A180" i="11" a="1"/>
  <c r="B180" i="11"/>
  <c r="A181" i="11" a="1"/>
  <c r="B181" i="11"/>
  <c r="G181" i="11"/>
  <c r="A182" i="11" a="1"/>
  <c r="B182" i="11"/>
  <c r="A183" i="11" a="1"/>
  <c r="B183" i="11"/>
  <c r="A184" i="11" a="1"/>
  <c r="B184" i="11"/>
  <c r="A185" i="11" a="1"/>
  <c r="B185" i="11"/>
  <c r="C185" i="11"/>
  <c r="D185" i="11"/>
  <c r="E185" i="11"/>
  <c r="G185" i="11"/>
  <c r="A186" i="11" a="1"/>
  <c r="B186" i="11"/>
  <c r="G186" i="11"/>
  <c r="A187" i="11" a="1"/>
  <c r="B187" i="11"/>
  <c r="G187" i="11"/>
  <c r="A188" i="11" a="1"/>
  <c r="B188" i="11"/>
  <c r="C188" i="11"/>
  <c r="D188" i="11"/>
  <c r="E188" i="11"/>
  <c r="G188" i="11"/>
  <c r="A189" i="11" a="1"/>
  <c r="B189" i="11"/>
  <c r="C189" i="11"/>
  <c r="D189" i="11"/>
  <c r="E189" i="11"/>
  <c r="G189" i="11"/>
  <c r="A190" i="11" a="1"/>
  <c r="B190" i="11"/>
  <c r="D190" i="11"/>
  <c r="E190" i="11"/>
  <c r="G190" i="11"/>
  <c r="A191" i="11" a="1"/>
  <c r="B191" i="11"/>
  <c r="C191" i="11"/>
  <c r="D191" i="11"/>
  <c r="E191" i="11"/>
  <c r="G191" i="11"/>
  <c r="A192" i="11" a="1"/>
  <c r="B192" i="11"/>
  <c r="C192" i="11"/>
  <c r="D192" i="11"/>
  <c r="E192" i="11"/>
  <c r="G192" i="11"/>
  <c r="A193" i="11" a="1"/>
  <c r="B193" i="11"/>
  <c r="C193" i="11"/>
  <c r="D193" i="11"/>
  <c r="E193" i="11"/>
  <c r="G193" i="11"/>
  <c r="A194" i="11" a="1"/>
  <c r="B194" i="11"/>
  <c r="C194" i="11"/>
  <c r="D194" i="11"/>
  <c r="E194" i="11"/>
  <c r="G194" i="11"/>
  <c r="A195" i="11" a="1"/>
  <c r="B195" i="11"/>
  <c r="C195" i="11"/>
  <c r="D195" i="11"/>
  <c r="E195" i="11"/>
  <c r="G195" i="11"/>
  <c r="A196" i="11" a="1"/>
  <c r="B196" i="11"/>
  <c r="C196" i="11"/>
  <c r="D196" i="11"/>
  <c r="E196" i="11"/>
  <c r="G196" i="11"/>
  <c r="A197" i="11" a="1"/>
  <c r="B197" i="11"/>
  <c r="D197" i="11"/>
  <c r="E197" i="11"/>
  <c r="G197" i="11"/>
  <c r="A198" i="11" a="1"/>
  <c r="B198" i="11"/>
  <c r="A199" i="11" a="1"/>
  <c r="B199" i="11"/>
  <c r="A200" i="11" a="1"/>
  <c r="B200" i="11"/>
  <c r="A201" i="11" a="1"/>
  <c r="B201" i="11"/>
  <c r="C201" i="11"/>
  <c r="D201" i="11"/>
  <c r="E201" i="11"/>
  <c r="G201" i="11"/>
  <c r="A202" i="11" a="1"/>
  <c r="B202" i="11"/>
  <c r="A203" i="11" a="1"/>
  <c r="B203" i="11"/>
  <c r="G203" i="11"/>
  <c r="A204" i="11" a="1"/>
  <c r="B204" i="11"/>
  <c r="G204" i="11"/>
  <c r="A205" i="11" a="1"/>
  <c r="B205" i="11"/>
  <c r="C205" i="11"/>
  <c r="D205" i="11"/>
  <c r="E205" i="11"/>
  <c r="G205" i="11"/>
  <c r="A206" i="11" a="1"/>
  <c r="B206" i="11"/>
  <c r="A207" i="11" a="1"/>
  <c r="B207" i="11"/>
  <c r="E207" i="11"/>
  <c r="G207" i="11"/>
  <c r="A208" i="11" a="1"/>
  <c r="B208" i="11"/>
  <c r="A209" i="11" a="1"/>
  <c r="B209" i="11"/>
  <c r="G209" i="11"/>
  <c r="A210" i="11" a="1"/>
  <c r="B210" i="11"/>
  <c r="E210" i="11"/>
  <c r="A211" i="11" a="1"/>
  <c r="B211" i="11"/>
  <c r="A212" i="11" a="1"/>
  <c r="B212" i="11"/>
  <c r="A213" i="11" a="1"/>
  <c r="B213" i="11"/>
  <c r="D213" i="11"/>
  <c r="E213" i="11"/>
  <c r="G213" i="11"/>
  <c r="A214" i="11" a="1"/>
  <c r="B214" i="11"/>
  <c r="E214" i="11"/>
  <c r="G214" i="11"/>
  <c r="A215" i="11" a="1"/>
  <c r="B215" i="11"/>
  <c r="G215" i="11"/>
  <c r="A216" i="11" a="1"/>
  <c r="B216" i="11"/>
  <c r="A217" i="11" a="1"/>
  <c r="B217" i="11"/>
  <c r="A218" i="11" a="1"/>
  <c r="B218" i="11"/>
  <c r="E218" i="11"/>
  <c r="A219" i="11" a="1"/>
  <c r="B219" i="11"/>
  <c r="G219" i="11"/>
  <c r="A220" i="11" a="1"/>
  <c r="B220" i="11"/>
  <c r="A221" i="11" a="1"/>
  <c r="B221" i="11"/>
  <c r="C221" i="11"/>
  <c r="D221" i="11"/>
  <c r="E221" i="11"/>
  <c r="G221" i="11"/>
  <c r="A222" i="11" a="1"/>
  <c r="B222" i="11"/>
  <c r="G222" i="11"/>
  <c r="A223" i="11" a="1"/>
  <c r="B223" i="11"/>
  <c r="G223" i="11"/>
  <c r="A224" i="11" a="1"/>
  <c r="B224" i="11"/>
  <c r="A225" i="11" a="1"/>
  <c r="B225" i="11"/>
  <c r="D225" i="11"/>
  <c r="A226" i="11" a="1"/>
  <c r="B226" i="11"/>
  <c r="A227" i="11" a="1"/>
  <c r="B227" i="11"/>
  <c r="A228" i="11" a="1"/>
  <c r="B228" i="11"/>
  <c r="A229" i="11" a="1"/>
  <c r="B229" i="11"/>
  <c r="A230" i="11" a="1"/>
  <c r="B230" i="11"/>
  <c r="A231" i="11" a="1"/>
  <c r="B231" i="11"/>
  <c r="A232" i="11" a="1"/>
  <c r="B232" i="11"/>
  <c r="G232" i="11"/>
  <c r="A233" i="11" a="1"/>
  <c r="B233" i="11"/>
  <c r="A234" i="11" a="1"/>
  <c r="B234" i="11"/>
  <c r="A235" i="11" a="1"/>
  <c r="B235" i="11"/>
  <c r="A236" i="11" a="1"/>
  <c r="B236" i="11"/>
  <c r="A237" i="11" a="1"/>
  <c r="B237" i="11"/>
  <c r="A238" i="11" a="1"/>
  <c r="B238" i="11"/>
  <c r="G238" i="11"/>
  <c r="A239" i="11" a="1"/>
  <c r="B239" i="11"/>
  <c r="A240" i="11" a="1"/>
  <c r="B240" i="11"/>
  <c r="A241" i="11" a="1"/>
  <c r="B241" i="11"/>
  <c r="E241" i="11"/>
  <c r="G241" i="11"/>
  <c r="A242" i="11" a="1"/>
  <c r="B242" i="11"/>
  <c r="A243" i="11" a="1"/>
  <c r="B243" i="11"/>
  <c r="A244" i="11" a="1"/>
  <c r="B244" i="11"/>
  <c r="G244" i="11"/>
  <c r="A245" i="11" a="1"/>
  <c r="B245" i="11"/>
  <c r="A246" i="11" a="1"/>
  <c r="B246" i="11"/>
  <c r="A247" i="11" a="1"/>
  <c r="B247" i="11"/>
  <c r="A248" i="11" a="1"/>
  <c r="B248" i="11"/>
  <c r="E248" i="11"/>
  <c r="G248" i="11"/>
  <c r="A249" i="11" a="1"/>
  <c r="B249" i="11"/>
  <c r="A250" i="11" a="1"/>
  <c r="B250" i="11"/>
  <c r="G250" i="11"/>
  <c r="A251" i="11" a="1"/>
  <c r="B251" i="11"/>
  <c r="A252" i="11" a="1"/>
  <c r="B252" i="11"/>
  <c r="E252" i="11"/>
  <c r="G252" i="11"/>
  <c r="A253" i="11" a="1"/>
  <c r="B253" i="11"/>
  <c r="A254" i="11" a="1"/>
  <c r="B254" i="11"/>
  <c r="G254" i="11"/>
  <c r="A255" i="11" a="1"/>
  <c r="B255" i="11"/>
  <c r="A256" i="11" a="1"/>
  <c r="B256" i="11"/>
  <c r="E256" i="11"/>
  <c r="G256" i="11"/>
  <c r="A257" i="11" a="1"/>
  <c r="B257" i="11"/>
  <c r="G257" i="11"/>
  <c r="A258" i="11" a="1"/>
  <c r="B258" i="11"/>
  <c r="E258" i="11"/>
  <c r="G258" i="11"/>
  <c r="A259" i="11" a="1"/>
  <c r="B259" i="11"/>
  <c r="D259" i="11"/>
  <c r="E259" i="11"/>
  <c r="G259" i="11"/>
  <c r="A260" i="11" a="1"/>
  <c r="B260" i="11"/>
  <c r="C260" i="11"/>
  <c r="D260" i="11"/>
  <c r="E260" i="11"/>
  <c r="G260" i="11"/>
  <c r="A261" i="11" a="1"/>
  <c r="B261" i="11"/>
  <c r="G261" i="11"/>
  <c r="A262" i="11" a="1"/>
  <c r="B262" i="11"/>
  <c r="A263" i="11" a="1"/>
  <c r="B263" i="11"/>
  <c r="A264" i="11" a="1"/>
  <c r="B264" i="11"/>
  <c r="A265" i="11" a="1"/>
  <c r="B265" i="11"/>
  <c r="A266" i="11" a="1"/>
  <c r="B266" i="11"/>
  <c r="G266" i="11"/>
  <c r="A267" i="11" a="1"/>
  <c r="B267" i="11"/>
  <c r="A268" i="11" a="1"/>
  <c r="B268" i="11"/>
  <c r="E268" i="11"/>
  <c r="A269" i="11" a="1"/>
  <c r="B269" i="11"/>
  <c r="A270" i="11" a="1"/>
  <c r="B270" i="11"/>
  <c r="A271" i="11" a="1"/>
  <c r="B271" i="11"/>
  <c r="G271" i="11"/>
  <c r="A272" i="11" a="1"/>
  <c r="B272" i="11"/>
  <c r="G272" i="11"/>
  <c r="A273" i="11" a="1"/>
  <c r="B273" i="11"/>
  <c r="A274" i="11" a="1"/>
  <c r="B274" i="11"/>
  <c r="A275" i="11" a="1"/>
  <c r="B275" i="11"/>
  <c r="A276" i="11" a="1"/>
  <c r="B276" i="11"/>
  <c r="A277" i="11" a="1"/>
  <c r="B277" i="11"/>
  <c r="E277" i="11"/>
  <c r="A278" i="11" a="1"/>
  <c r="B278" i="11"/>
  <c r="G278" i="11"/>
  <c r="A279" i="11" a="1"/>
  <c r="B279" i="11"/>
  <c r="A280" i="11" a="1"/>
  <c r="B280" i="11"/>
  <c r="A281" i="11" a="1"/>
  <c r="B281" i="11"/>
  <c r="E281" i="11"/>
  <c r="G281" i="11"/>
  <c r="A282" i="11" a="1"/>
  <c r="B282" i="11"/>
  <c r="C282" i="11"/>
  <c r="D282" i="11"/>
  <c r="E282" i="11"/>
  <c r="G282" i="11"/>
  <c r="A283" i="11" a="1"/>
  <c r="B283" i="11"/>
  <c r="G283" i="11"/>
  <c r="A284" i="11" a="1"/>
  <c r="B284" i="11"/>
  <c r="D284" i="11"/>
  <c r="E284" i="11"/>
  <c r="G284" i="11"/>
  <c r="A285" i="11" a="1"/>
  <c r="B285" i="11"/>
  <c r="C285" i="11"/>
  <c r="D285" i="11"/>
  <c r="E285" i="11"/>
  <c r="G285" i="11"/>
  <c r="A286" i="11" a="1"/>
  <c r="B286" i="11"/>
  <c r="C286" i="11"/>
  <c r="D286" i="11"/>
  <c r="E286" i="11"/>
  <c r="G286" i="11"/>
  <c r="A287" i="11" a="1"/>
  <c r="B287" i="11"/>
  <c r="G287" i="11"/>
  <c r="A288" i="11" a="1"/>
  <c r="B288" i="11"/>
  <c r="A289" i="11" a="1"/>
  <c r="B289" i="11"/>
  <c r="C289" i="11"/>
  <c r="E289" i="11"/>
  <c r="G289" i="11"/>
  <c r="A290" i="11" a="1"/>
  <c r="B290" i="11"/>
  <c r="A291" i="11" a="1"/>
  <c r="B291" i="11"/>
  <c r="A292" i="11" a="1"/>
  <c r="B292" i="11"/>
  <c r="A293" i="11" a="1"/>
  <c r="B293" i="11"/>
  <c r="G293" i="11"/>
  <c r="A294" i="11" a="1"/>
  <c r="B294" i="11"/>
  <c r="A295" i="11" a="1"/>
  <c r="B295" i="11"/>
  <c r="A296" i="11" a="1"/>
  <c r="B296" i="11"/>
  <c r="A297" i="11" a="1"/>
  <c r="B297" i="11"/>
  <c r="A298" i="11" a="1"/>
  <c r="B298" i="11"/>
  <c r="A299" i="11" a="1"/>
  <c r="B299" i="11"/>
  <c r="E299" i="11"/>
  <c r="G299" i="11"/>
  <c r="A300" i="11" a="1"/>
  <c r="B300" i="11"/>
  <c r="A301" i="11" a="1"/>
  <c r="B301" i="11"/>
  <c r="A302" i="11" a="1"/>
  <c r="B302" i="11"/>
  <c r="E302" i="11"/>
  <c r="G302" i="11"/>
  <c r="A303" i="11" a="1"/>
  <c r="B303" i="11"/>
  <c r="G303" i="11"/>
  <c r="A304" i="11" a="1"/>
  <c r="B304" i="11"/>
  <c r="A5" i="11" a="1"/>
  <c r="B5" i="11"/>
  <c r="D5" i="11"/>
  <c r="E5" i="11"/>
  <c r="G5" i="11"/>
  <c r="M47" i="5"/>
  <c r="P28" i="5"/>
  <c r="O28" i="5"/>
  <c r="N28" i="5"/>
  <c r="M27" i="5"/>
  <c r="M26" i="5"/>
  <c r="M25" i="5"/>
  <c r="M24" i="5"/>
  <c r="M23" i="5"/>
  <c r="M22" i="5"/>
  <c r="K209" i="5"/>
  <c r="J203" i="5"/>
  <c r="I203" i="5"/>
  <c r="H203" i="5"/>
  <c r="G203" i="5"/>
  <c r="F203" i="5"/>
  <c r="E203" i="5"/>
  <c r="D203" i="5"/>
  <c r="C203" i="5"/>
  <c r="B203" i="5"/>
  <c r="K236" i="5"/>
  <c r="J202" i="5"/>
  <c r="J236" i="5" s="1"/>
  <c r="I202" i="5"/>
  <c r="I236" i="5" s="1"/>
  <c r="H202" i="5"/>
  <c r="H236" i="5" s="1"/>
  <c r="G202" i="5"/>
  <c r="G236" i="5" s="1"/>
  <c r="F202" i="5"/>
  <c r="F236" i="5" s="1"/>
  <c r="E202" i="5"/>
  <c r="E236" i="5" s="1"/>
  <c r="D202" i="5"/>
  <c r="D236" i="5" s="1"/>
  <c r="C202" i="5"/>
  <c r="C236" i="5" s="1"/>
  <c r="B202" i="5"/>
  <c r="B236" i="5" s="1"/>
  <c r="K235" i="5"/>
  <c r="J201" i="5"/>
  <c r="J235" i="5" s="1"/>
  <c r="I201" i="5"/>
  <c r="I235" i="5" s="1"/>
  <c r="H201" i="5"/>
  <c r="H235" i="5" s="1"/>
  <c r="G201" i="5"/>
  <c r="G235" i="5" s="1"/>
  <c r="F201" i="5"/>
  <c r="F235" i="5" s="1"/>
  <c r="E201" i="5"/>
  <c r="E235" i="5" s="1"/>
  <c r="D201" i="5"/>
  <c r="D235" i="5" s="1"/>
  <c r="C201" i="5"/>
  <c r="C235" i="5" s="1"/>
  <c r="B201" i="5"/>
  <c r="B235" i="5" s="1"/>
  <c r="K234" i="5"/>
  <c r="J200" i="5"/>
  <c r="J234" i="5" s="1"/>
  <c r="I200" i="5"/>
  <c r="I234" i="5" s="1"/>
  <c r="H200" i="5"/>
  <c r="H234" i="5" s="1"/>
  <c r="G200" i="5"/>
  <c r="G234" i="5" s="1"/>
  <c r="F200" i="5"/>
  <c r="F234" i="5" s="1"/>
  <c r="E200" i="5"/>
  <c r="E234" i="5" s="1"/>
  <c r="D200" i="5"/>
  <c r="D234" i="5" s="1"/>
  <c r="C200" i="5"/>
  <c r="C234" i="5" s="1"/>
  <c r="B200" i="5"/>
  <c r="B234" i="5" s="1"/>
  <c r="K233" i="5"/>
  <c r="J199" i="5"/>
  <c r="J233" i="5" s="1"/>
  <c r="I199" i="5"/>
  <c r="I233" i="5" s="1"/>
  <c r="H199" i="5"/>
  <c r="H233" i="5" s="1"/>
  <c r="G199" i="5"/>
  <c r="G233" i="5" s="1"/>
  <c r="F199" i="5"/>
  <c r="F233" i="5" s="1"/>
  <c r="E199" i="5"/>
  <c r="E233" i="5" s="1"/>
  <c r="D199" i="5"/>
  <c r="D233" i="5" s="1"/>
  <c r="C199" i="5"/>
  <c r="C233" i="5" s="1"/>
  <c r="B199" i="5"/>
  <c r="B233" i="5" s="1"/>
  <c r="K232" i="5"/>
  <c r="J198" i="5"/>
  <c r="J232" i="5" s="1"/>
  <c r="I198" i="5"/>
  <c r="I232" i="5" s="1"/>
  <c r="H198" i="5"/>
  <c r="H232" i="5" s="1"/>
  <c r="G198" i="5"/>
  <c r="G232" i="5" s="1"/>
  <c r="F198" i="5"/>
  <c r="F232" i="5" s="1"/>
  <c r="E198" i="5"/>
  <c r="E232" i="5" s="1"/>
  <c r="D198" i="5"/>
  <c r="D232" i="5" s="1"/>
  <c r="C198" i="5"/>
  <c r="C232" i="5" s="1"/>
  <c r="B198" i="5"/>
  <c r="B232" i="5" s="1"/>
  <c r="K231" i="5"/>
  <c r="J197" i="5"/>
  <c r="J231" i="5" s="1"/>
  <c r="I197" i="5"/>
  <c r="I231" i="5" s="1"/>
  <c r="H197" i="5"/>
  <c r="H231" i="5" s="1"/>
  <c r="G197" i="5"/>
  <c r="G231" i="5" s="1"/>
  <c r="F197" i="5"/>
  <c r="F231" i="5" s="1"/>
  <c r="E197" i="5"/>
  <c r="E231" i="5" s="1"/>
  <c r="D197" i="5"/>
  <c r="D231" i="5" s="1"/>
  <c r="C197" i="5"/>
  <c r="C231" i="5" s="1"/>
  <c r="B197" i="5"/>
  <c r="B231" i="5" s="1"/>
  <c r="K230" i="5"/>
  <c r="J196" i="5"/>
  <c r="J230" i="5" s="1"/>
  <c r="I196" i="5"/>
  <c r="I230" i="5" s="1"/>
  <c r="H196" i="5"/>
  <c r="H230" i="5" s="1"/>
  <c r="G196" i="5"/>
  <c r="G230" i="5" s="1"/>
  <c r="F196" i="5"/>
  <c r="F230" i="5" s="1"/>
  <c r="E196" i="5"/>
  <c r="E230" i="5" s="1"/>
  <c r="D196" i="5"/>
  <c r="D230" i="5" s="1"/>
  <c r="C196" i="5"/>
  <c r="C230" i="5" s="1"/>
  <c r="B196" i="5"/>
  <c r="B230" i="5" s="1"/>
  <c r="K229" i="5"/>
  <c r="J195" i="5"/>
  <c r="J229" i="5" s="1"/>
  <c r="I195" i="5"/>
  <c r="I229" i="5" s="1"/>
  <c r="H195" i="5"/>
  <c r="H229" i="5" s="1"/>
  <c r="G195" i="5"/>
  <c r="G229" i="5" s="1"/>
  <c r="F195" i="5"/>
  <c r="F229" i="5" s="1"/>
  <c r="E195" i="5"/>
  <c r="E229" i="5" s="1"/>
  <c r="D195" i="5"/>
  <c r="D229" i="5" s="1"/>
  <c r="C195" i="5"/>
  <c r="C229" i="5" s="1"/>
  <c r="B195" i="5"/>
  <c r="B229" i="5" s="1"/>
  <c r="K228" i="5"/>
  <c r="J194" i="5"/>
  <c r="J228" i="5" s="1"/>
  <c r="I194" i="5"/>
  <c r="I228" i="5" s="1"/>
  <c r="H194" i="5"/>
  <c r="H228" i="5" s="1"/>
  <c r="G194" i="5"/>
  <c r="G228" i="5" s="1"/>
  <c r="F194" i="5"/>
  <c r="F228" i="5" s="1"/>
  <c r="E194" i="5"/>
  <c r="E228" i="5" s="1"/>
  <c r="D194" i="5"/>
  <c r="D228" i="5" s="1"/>
  <c r="C194" i="5"/>
  <c r="C228" i="5" s="1"/>
  <c r="B194" i="5"/>
  <c r="B228" i="5" s="1"/>
  <c r="K227" i="5"/>
  <c r="J193" i="5"/>
  <c r="J227" i="5" s="1"/>
  <c r="I193" i="5"/>
  <c r="I227" i="5" s="1"/>
  <c r="H193" i="5"/>
  <c r="H227" i="5" s="1"/>
  <c r="G193" i="5"/>
  <c r="G227" i="5" s="1"/>
  <c r="F193" i="5"/>
  <c r="F227" i="5" s="1"/>
  <c r="E193" i="5"/>
  <c r="E227" i="5" s="1"/>
  <c r="D193" i="5"/>
  <c r="D227" i="5" s="1"/>
  <c r="C193" i="5"/>
  <c r="C227" i="5" s="1"/>
  <c r="B193" i="5"/>
  <c r="B227" i="5" s="1"/>
  <c r="K226" i="5"/>
  <c r="J192" i="5"/>
  <c r="J226" i="5" s="1"/>
  <c r="I192" i="5"/>
  <c r="I226" i="5" s="1"/>
  <c r="H192" i="5"/>
  <c r="H226" i="5" s="1"/>
  <c r="G192" i="5"/>
  <c r="G226" i="5" s="1"/>
  <c r="F192" i="5"/>
  <c r="F226" i="5" s="1"/>
  <c r="E192" i="5"/>
  <c r="E226" i="5" s="1"/>
  <c r="D192" i="5"/>
  <c r="D226" i="5" s="1"/>
  <c r="C192" i="5"/>
  <c r="C226" i="5" s="1"/>
  <c r="B192" i="5"/>
  <c r="B226" i="5" s="1"/>
  <c r="K225" i="5"/>
  <c r="J191" i="5"/>
  <c r="J225" i="5" s="1"/>
  <c r="I191" i="5"/>
  <c r="I225" i="5" s="1"/>
  <c r="H191" i="5"/>
  <c r="H225" i="5" s="1"/>
  <c r="G191" i="5"/>
  <c r="F191" i="5"/>
  <c r="E191" i="5"/>
  <c r="D191" i="5"/>
  <c r="C191" i="5"/>
  <c r="B191" i="5"/>
  <c r="K224" i="5"/>
  <c r="J190" i="5"/>
  <c r="I190" i="5"/>
  <c r="H190" i="5"/>
  <c r="G190" i="5"/>
  <c r="F190" i="5"/>
  <c r="E190" i="5"/>
  <c r="D190" i="5"/>
  <c r="C190" i="5"/>
  <c r="B190" i="5"/>
  <c r="K223" i="5"/>
  <c r="J189" i="5"/>
  <c r="I189" i="5"/>
  <c r="H189" i="5"/>
  <c r="G189" i="5"/>
  <c r="F189" i="5"/>
  <c r="E189" i="5"/>
  <c r="D189" i="5"/>
  <c r="C189" i="5"/>
  <c r="B189" i="5"/>
  <c r="K222" i="5"/>
  <c r="J188" i="5"/>
  <c r="I188" i="5"/>
  <c r="H188" i="5"/>
  <c r="G188" i="5"/>
  <c r="F188" i="5"/>
  <c r="E188" i="5"/>
  <c r="D188" i="5"/>
  <c r="C188" i="5"/>
  <c r="B188" i="5"/>
  <c r="K221" i="5"/>
  <c r="J187" i="5"/>
  <c r="I187" i="5"/>
  <c r="H187" i="5"/>
  <c r="G187" i="5"/>
  <c r="F187" i="5"/>
  <c r="E187" i="5"/>
  <c r="D187" i="5"/>
  <c r="C187" i="5"/>
  <c r="B187" i="5"/>
  <c r="K220" i="5"/>
  <c r="J186" i="5"/>
  <c r="I186" i="5"/>
  <c r="H186" i="5"/>
  <c r="G186" i="5"/>
  <c r="F186" i="5"/>
  <c r="E186" i="5"/>
  <c r="D186" i="5"/>
  <c r="C186" i="5"/>
  <c r="B186" i="5"/>
  <c r="K219" i="5"/>
  <c r="J185" i="5"/>
  <c r="I185" i="5"/>
  <c r="H185" i="5"/>
  <c r="G185" i="5"/>
  <c r="F185" i="5"/>
  <c r="E185" i="5"/>
  <c r="D185" i="5"/>
  <c r="C185" i="5"/>
  <c r="B185" i="5"/>
  <c r="K218" i="5"/>
  <c r="J184" i="5"/>
  <c r="I184" i="5"/>
  <c r="H184" i="5"/>
  <c r="G184" i="5"/>
  <c r="F184" i="5"/>
  <c r="E184" i="5"/>
  <c r="D184" i="5"/>
  <c r="C184" i="5"/>
  <c r="B184" i="5"/>
  <c r="K217" i="5"/>
  <c r="J183" i="5"/>
  <c r="I183" i="5"/>
  <c r="H183" i="5"/>
  <c r="G183" i="5"/>
  <c r="F183" i="5"/>
  <c r="E183" i="5"/>
  <c r="D183" i="5"/>
  <c r="C183" i="5"/>
  <c r="B183" i="5"/>
  <c r="K216" i="5"/>
  <c r="J182" i="5"/>
  <c r="I182" i="5"/>
  <c r="H182" i="5"/>
  <c r="G182" i="5"/>
  <c r="F182" i="5"/>
  <c r="E182" i="5"/>
  <c r="D182" i="5"/>
  <c r="C182" i="5"/>
  <c r="B182" i="5"/>
  <c r="K215" i="5"/>
  <c r="J181" i="5"/>
  <c r="J215" i="5" s="1"/>
  <c r="I181" i="5"/>
  <c r="I215" i="5" s="1"/>
  <c r="H181" i="5"/>
  <c r="H215" i="5" s="1"/>
  <c r="G181" i="5"/>
  <c r="G215" i="5" s="1"/>
  <c r="F181" i="5"/>
  <c r="F215" i="5" s="1"/>
  <c r="E181" i="5"/>
  <c r="E215" i="5" s="1"/>
  <c r="D181" i="5"/>
  <c r="D215" i="5" s="1"/>
  <c r="C181" i="5"/>
  <c r="C215" i="5" s="1"/>
  <c r="B181" i="5"/>
  <c r="B215" i="5" s="1"/>
  <c r="K214" i="5"/>
  <c r="J180" i="5"/>
  <c r="J214" i="5" s="1"/>
  <c r="I180" i="5"/>
  <c r="I214" i="5" s="1"/>
  <c r="H180" i="5"/>
  <c r="H214" i="5" s="1"/>
  <c r="G180" i="5"/>
  <c r="G214" i="5" s="1"/>
  <c r="F180" i="5"/>
  <c r="F214" i="5" s="1"/>
  <c r="E180" i="5"/>
  <c r="E214" i="5" s="1"/>
  <c r="D180" i="5"/>
  <c r="D214" i="5" s="1"/>
  <c r="C180" i="5"/>
  <c r="C214" i="5" s="1"/>
  <c r="B180" i="5"/>
  <c r="B214" i="5" s="1"/>
  <c r="K213" i="5"/>
  <c r="J179" i="5"/>
  <c r="J213" i="5" s="1"/>
  <c r="I179" i="5"/>
  <c r="I213" i="5" s="1"/>
  <c r="H179" i="5"/>
  <c r="H213" i="5" s="1"/>
  <c r="G179" i="5"/>
  <c r="G213" i="5" s="1"/>
  <c r="F179" i="5"/>
  <c r="F213" i="5" s="1"/>
  <c r="E179" i="5"/>
  <c r="E213" i="5" s="1"/>
  <c r="D179" i="5"/>
  <c r="D213" i="5" s="1"/>
  <c r="C179" i="5"/>
  <c r="B179" i="5"/>
  <c r="K212" i="5"/>
  <c r="J178" i="5"/>
  <c r="I178" i="5"/>
  <c r="H178" i="5"/>
  <c r="G178" i="5"/>
  <c r="F178" i="5"/>
  <c r="E178" i="5"/>
  <c r="D178" i="5"/>
  <c r="C178" i="5"/>
  <c r="B178" i="5"/>
  <c r="K211" i="5"/>
  <c r="J177" i="5"/>
  <c r="I177" i="5"/>
  <c r="H177" i="5"/>
  <c r="G177" i="5"/>
  <c r="F177" i="5"/>
  <c r="E177" i="5"/>
  <c r="D177" i="5"/>
  <c r="C177" i="5"/>
  <c r="B177" i="5"/>
  <c r="K210" i="5"/>
  <c r="J176" i="5"/>
  <c r="I176" i="5"/>
  <c r="H176" i="5"/>
  <c r="G176" i="5"/>
  <c r="F176" i="5"/>
  <c r="E176" i="5"/>
  <c r="D176" i="5"/>
  <c r="C176" i="5"/>
  <c r="B176" i="5"/>
  <c r="J175" i="5"/>
  <c r="I175" i="5"/>
  <c r="H175" i="5"/>
  <c r="G175" i="5"/>
  <c r="F175" i="5"/>
  <c r="E175" i="5"/>
  <c r="D175" i="5"/>
  <c r="C175" i="5"/>
  <c r="B175" i="5"/>
  <c r="K208" i="5"/>
  <c r="J174" i="5"/>
  <c r="I174" i="5"/>
  <c r="H174" i="5"/>
  <c r="G174" i="5"/>
  <c r="F174" i="5"/>
  <c r="E174" i="5"/>
  <c r="D174" i="5"/>
  <c r="C174" i="5"/>
  <c r="B174" i="5"/>
  <c r="K207" i="5"/>
  <c r="J173" i="5"/>
  <c r="I173" i="5"/>
  <c r="H173" i="5"/>
  <c r="G173" i="5"/>
  <c r="F173" i="5"/>
  <c r="E173" i="5"/>
  <c r="D173" i="5"/>
  <c r="C173" i="5"/>
  <c r="B173" i="5"/>
  <c r="K169" i="5"/>
  <c r="J169" i="5"/>
  <c r="I169" i="5"/>
  <c r="H169" i="5"/>
  <c r="G169" i="5"/>
  <c r="F169" i="5"/>
  <c r="E169" i="5"/>
  <c r="D169" i="5"/>
  <c r="C169" i="5"/>
  <c r="B169" i="5"/>
  <c r="K168" i="5"/>
  <c r="J168" i="5"/>
  <c r="I168" i="5"/>
  <c r="H168" i="5"/>
  <c r="G168" i="5"/>
  <c r="F168" i="5"/>
  <c r="E168" i="5"/>
  <c r="D168" i="5"/>
  <c r="C168" i="5"/>
  <c r="B168" i="5"/>
  <c r="K167" i="5"/>
  <c r="J167" i="5"/>
  <c r="I167" i="5"/>
  <c r="H167" i="5"/>
  <c r="G167" i="5"/>
  <c r="F167" i="5"/>
  <c r="E167" i="5"/>
  <c r="D167" i="5"/>
  <c r="C167" i="5"/>
  <c r="B167" i="5"/>
  <c r="K166" i="5"/>
  <c r="J166" i="5"/>
  <c r="I166" i="5"/>
  <c r="H166" i="5"/>
  <c r="G166" i="5"/>
  <c r="F166" i="5"/>
  <c r="E166" i="5"/>
  <c r="D166" i="5"/>
  <c r="C166" i="5"/>
  <c r="B166" i="5"/>
  <c r="K165" i="5"/>
  <c r="J165" i="5"/>
  <c r="I165" i="5"/>
  <c r="H165" i="5"/>
  <c r="G165" i="5"/>
  <c r="F165" i="5"/>
  <c r="E165" i="5"/>
  <c r="D165" i="5"/>
  <c r="C165" i="5"/>
  <c r="B165" i="5"/>
  <c r="K164" i="5"/>
  <c r="J164" i="5"/>
  <c r="I164" i="5"/>
  <c r="H164" i="5"/>
  <c r="G164" i="5"/>
  <c r="F164" i="5"/>
  <c r="E164" i="5"/>
  <c r="D164" i="5"/>
  <c r="C164" i="5"/>
  <c r="B164" i="5"/>
  <c r="K163" i="5"/>
  <c r="J163" i="5"/>
  <c r="I163" i="5"/>
  <c r="H163" i="5"/>
  <c r="G163" i="5"/>
  <c r="F163" i="5"/>
  <c r="E163" i="5"/>
  <c r="D163" i="5"/>
  <c r="C163" i="5"/>
  <c r="B163" i="5"/>
  <c r="K162" i="5"/>
  <c r="J162" i="5"/>
  <c r="I162" i="5"/>
  <c r="H162" i="5"/>
  <c r="G162" i="5"/>
  <c r="F162" i="5"/>
  <c r="E162" i="5"/>
  <c r="D162" i="5"/>
  <c r="C162" i="5"/>
  <c r="B162" i="5"/>
  <c r="K161" i="5"/>
  <c r="J161" i="5"/>
  <c r="I161" i="5"/>
  <c r="H161" i="5"/>
  <c r="G161" i="5"/>
  <c r="F161" i="5"/>
  <c r="E161" i="5"/>
  <c r="D161" i="5"/>
  <c r="C161" i="5"/>
  <c r="B161" i="5"/>
  <c r="K160" i="5"/>
  <c r="J160" i="5"/>
  <c r="I160" i="5"/>
  <c r="H160" i="5"/>
  <c r="G160" i="5"/>
  <c r="F160" i="5"/>
  <c r="E160" i="5"/>
  <c r="D160" i="5"/>
  <c r="C160" i="5"/>
  <c r="B160" i="5"/>
  <c r="K159" i="5"/>
  <c r="J159" i="5"/>
  <c r="I159" i="5"/>
  <c r="H159" i="5"/>
  <c r="G159" i="5"/>
  <c r="F159" i="5"/>
  <c r="E159" i="5"/>
  <c r="D159" i="5"/>
  <c r="C159" i="5"/>
  <c r="B159" i="5"/>
  <c r="K158" i="5"/>
  <c r="J158" i="5"/>
  <c r="I158" i="5"/>
  <c r="H158" i="5"/>
  <c r="G158" i="5"/>
  <c r="F158" i="5"/>
  <c r="E158" i="5"/>
  <c r="D158" i="5"/>
  <c r="C158" i="5"/>
  <c r="B158" i="5"/>
  <c r="K157" i="5"/>
  <c r="J157" i="5"/>
  <c r="I157" i="5"/>
  <c r="H157" i="5"/>
  <c r="G157" i="5"/>
  <c r="F157" i="5"/>
  <c r="E157" i="5"/>
  <c r="D157" i="5"/>
  <c r="C157" i="5"/>
  <c r="B157" i="5"/>
  <c r="K156" i="5"/>
  <c r="J156" i="5"/>
  <c r="I156" i="5"/>
  <c r="H156" i="5"/>
  <c r="G156" i="5"/>
  <c r="F156" i="5"/>
  <c r="E156" i="5"/>
  <c r="D156" i="5"/>
  <c r="C156" i="5"/>
  <c r="B156" i="5"/>
  <c r="K155" i="5"/>
  <c r="J155" i="5"/>
  <c r="I155" i="5"/>
  <c r="H155" i="5"/>
  <c r="G155" i="5"/>
  <c r="F155" i="5"/>
  <c r="E155" i="5"/>
  <c r="D155" i="5"/>
  <c r="C155" i="5"/>
  <c r="B155" i="5"/>
  <c r="K154" i="5"/>
  <c r="J154" i="5"/>
  <c r="I154" i="5"/>
  <c r="H154" i="5"/>
  <c r="G154" i="5"/>
  <c r="F154" i="5"/>
  <c r="E154" i="5"/>
  <c r="D154" i="5"/>
  <c r="C154" i="5"/>
  <c r="B154" i="5"/>
  <c r="K153" i="5"/>
  <c r="J153" i="5"/>
  <c r="I153" i="5"/>
  <c r="H153" i="5"/>
  <c r="G153" i="5"/>
  <c r="F153" i="5"/>
  <c r="E153" i="5"/>
  <c r="D153" i="5"/>
  <c r="C153" i="5"/>
  <c r="B153" i="5"/>
  <c r="K152" i="5"/>
  <c r="J152" i="5"/>
  <c r="I152" i="5"/>
  <c r="H152" i="5"/>
  <c r="G152" i="5"/>
  <c r="F152" i="5"/>
  <c r="E152" i="5"/>
  <c r="D152" i="5"/>
  <c r="C152" i="5"/>
  <c r="B152" i="5"/>
  <c r="K151" i="5"/>
  <c r="J151" i="5"/>
  <c r="I151" i="5"/>
  <c r="H151" i="5"/>
  <c r="G151" i="5"/>
  <c r="F151" i="5"/>
  <c r="E151" i="5"/>
  <c r="D151" i="5"/>
  <c r="C151" i="5"/>
  <c r="B151" i="5"/>
  <c r="K150" i="5"/>
  <c r="J150" i="5"/>
  <c r="I150" i="5"/>
  <c r="H150" i="5"/>
  <c r="G150" i="5"/>
  <c r="F150" i="5"/>
  <c r="E150" i="5"/>
  <c r="D150" i="5"/>
  <c r="C150" i="5"/>
  <c r="B150" i="5"/>
  <c r="K149" i="5"/>
  <c r="J149" i="5"/>
  <c r="I149" i="5"/>
  <c r="H149" i="5"/>
  <c r="G149" i="5"/>
  <c r="F149" i="5"/>
  <c r="E149" i="5"/>
  <c r="D149" i="5"/>
  <c r="C149" i="5"/>
  <c r="B149" i="5"/>
  <c r="K148" i="5"/>
  <c r="J148" i="5"/>
  <c r="I148" i="5"/>
  <c r="H148" i="5"/>
  <c r="G148" i="5"/>
  <c r="F148" i="5"/>
  <c r="E148" i="5"/>
  <c r="D148" i="5"/>
  <c r="C148" i="5"/>
  <c r="B148" i="5"/>
  <c r="K147" i="5"/>
  <c r="J147" i="5"/>
  <c r="I147" i="5"/>
  <c r="H147" i="5"/>
  <c r="G147" i="5"/>
  <c r="F147" i="5"/>
  <c r="E147" i="5"/>
  <c r="D147" i="5"/>
  <c r="C147" i="5"/>
  <c r="B147" i="5"/>
  <c r="K146" i="5"/>
  <c r="J146" i="5"/>
  <c r="I146" i="5"/>
  <c r="H146" i="5"/>
  <c r="G146" i="5"/>
  <c r="F146" i="5"/>
  <c r="E146" i="5"/>
  <c r="D146" i="5"/>
  <c r="C146" i="5"/>
  <c r="B146" i="5"/>
  <c r="K145" i="5"/>
  <c r="J145" i="5"/>
  <c r="I145" i="5"/>
  <c r="H145" i="5"/>
  <c r="G145" i="5"/>
  <c r="F145" i="5"/>
  <c r="E145" i="5"/>
  <c r="D145" i="5"/>
  <c r="C145" i="5"/>
  <c r="B145" i="5"/>
  <c r="K144" i="5"/>
  <c r="J144" i="5"/>
  <c r="I144" i="5"/>
  <c r="H144" i="5"/>
  <c r="G144" i="5"/>
  <c r="F144" i="5"/>
  <c r="E144" i="5"/>
  <c r="D144" i="5"/>
  <c r="C144" i="5"/>
  <c r="B144" i="5"/>
  <c r="K143" i="5"/>
  <c r="J143" i="5"/>
  <c r="I143" i="5"/>
  <c r="H143" i="5"/>
  <c r="G143" i="5"/>
  <c r="F143" i="5"/>
  <c r="E143" i="5"/>
  <c r="D143" i="5"/>
  <c r="C143" i="5"/>
  <c r="B143" i="5"/>
  <c r="K142" i="5"/>
  <c r="J142" i="5"/>
  <c r="I142" i="5"/>
  <c r="H142" i="5"/>
  <c r="G142" i="5"/>
  <c r="F142" i="5"/>
  <c r="E142" i="5"/>
  <c r="D142" i="5"/>
  <c r="C142" i="5"/>
  <c r="B142" i="5"/>
  <c r="K141" i="5"/>
  <c r="J141" i="5"/>
  <c r="I141" i="5"/>
  <c r="H141" i="5"/>
  <c r="G141" i="5"/>
  <c r="F141" i="5"/>
  <c r="E141" i="5"/>
  <c r="D141" i="5"/>
  <c r="C141" i="5"/>
  <c r="B141" i="5"/>
  <c r="K140" i="5"/>
  <c r="J140" i="5"/>
  <c r="I140" i="5"/>
  <c r="H140" i="5"/>
  <c r="G140" i="5"/>
  <c r="F140" i="5"/>
  <c r="E140" i="5"/>
  <c r="D140" i="5"/>
  <c r="C140" i="5"/>
  <c r="B140" i="5"/>
  <c r="K101" i="5"/>
  <c r="J101" i="5"/>
  <c r="I101" i="5"/>
  <c r="H101" i="5"/>
  <c r="G101" i="5"/>
  <c r="F101" i="5"/>
  <c r="E101" i="5"/>
  <c r="D101" i="5"/>
  <c r="C101" i="5"/>
  <c r="B101" i="5"/>
  <c r="K100" i="5"/>
  <c r="J100" i="5"/>
  <c r="I100" i="5"/>
  <c r="H100" i="5"/>
  <c r="G100" i="5"/>
  <c r="F100" i="5"/>
  <c r="E100" i="5"/>
  <c r="D100" i="5"/>
  <c r="C100" i="5"/>
  <c r="B100" i="5"/>
  <c r="K99" i="5"/>
  <c r="J99" i="5"/>
  <c r="I99" i="5"/>
  <c r="H99" i="5"/>
  <c r="G99" i="5"/>
  <c r="F99" i="5"/>
  <c r="E99" i="5"/>
  <c r="D99" i="5"/>
  <c r="C99" i="5"/>
  <c r="B99" i="5"/>
  <c r="K98" i="5"/>
  <c r="J98" i="5"/>
  <c r="I98" i="5"/>
  <c r="H98" i="5"/>
  <c r="G98" i="5"/>
  <c r="F98" i="5"/>
  <c r="E98" i="5"/>
  <c r="D98" i="5"/>
  <c r="C98" i="5"/>
  <c r="B98" i="5"/>
  <c r="K97" i="5"/>
  <c r="J97" i="5"/>
  <c r="I97" i="5"/>
  <c r="H97" i="5"/>
  <c r="G97" i="5"/>
  <c r="F97" i="5"/>
  <c r="E97" i="5"/>
  <c r="D97" i="5"/>
  <c r="C97" i="5"/>
  <c r="B97" i="5"/>
  <c r="K96" i="5"/>
  <c r="J96" i="5"/>
  <c r="I96" i="5"/>
  <c r="H96" i="5"/>
  <c r="G96" i="5"/>
  <c r="F96" i="5"/>
  <c r="E96" i="5"/>
  <c r="D96" i="5"/>
  <c r="C96" i="5"/>
  <c r="B96" i="5"/>
  <c r="K95" i="5"/>
  <c r="J95" i="5"/>
  <c r="I95" i="5"/>
  <c r="H95" i="5"/>
  <c r="G95" i="5"/>
  <c r="F95" i="5"/>
  <c r="E95" i="5"/>
  <c r="D95" i="5"/>
  <c r="C95" i="5"/>
  <c r="B95" i="5"/>
  <c r="K94" i="5"/>
  <c r="J94" i="5"/>
  <c r="I94" i="5"/>
  <c r="H94" i="5"/>
  <c r="G94" i="5"/>
  <c r="F94" i="5"/>
  <c r="E94" i="5"/>
  <c r="D94" i="5"/>
  <c r="C94" i="5"/>
  <c r="B94" i="5"/>
  <c r="K93" i="5"/>
  <c r="J93" i="5"/>
  <c r="I93" i="5"/>
  <c r="H93" i="5"/>
  <c r="G93" i="5"/>
  <c r="F93" i="5"/>
  <c r="E93" i="5"/>
  <c r="D93" i="5"/>
  <c r="C93" i="5"/>
  <c r="B93" i="5"/>
  <c r="K92" i="5"/>
  <c r="J92" i="5"/>
  <c r="I92" i="5"/>
  <c r="H92" i="5"/>
  <c r="G92" i="5"/>
  <c r="F92" i="5"/>
  <c r="E92" i="5"/>
  <c r="D92" i="5"/>
  <c r="C92" i="5"/>
  <c r="B92" i="5"/>
  <c r="K91" i="5"/>
  <c r="J91" i="5"/>
  <c r="I91" i="5"/>
  <c r="H91" i="5"/>
  <c r="G91" i="5"/>
  <c r="F91" i="5"/>
  <c r="E91" i="5"/>
  <c r="D91" i="5"/>
  <c r="C91" i="5"/>
  <c r="B91" i="5"/>
  <c r="K90" i="5"/>
  <c r="J90" i="5"/>
  <c r="I90" i="5"/>
  <c r="H90" i="5"/>
  <c r="G90" i="5"/>
  <c r="F90" i="5"/>
  <c r="E90" i="5"/>
  <c r="D90" i="5"/>
  <c r="C90" i="5"/>
  <c r="B90" i="5"/>
  <c r="K89" i="5"/>
  <c r="J89" i="5"/>
  <c r="I89" i="5"/>
  <c r="H89" i="5"/>
  <c r="G89" i="5"/>
  <c r="F89" i="5"/>
  <c r="E89" i="5"/>
  <c r="D89" i="5"/>
  <c r="C89" i="5"/>
  <c r="B89" i="5"/>
  <c r="K88" i="5"/>
  <c r="J88" i="5"/>
  <c r="I88" i="5"/>
  <c r="H88" i="5"/>
  <c r="G88" i="5"/>
  <c r="F88" i="5"/>
  <c r="E88" i="5"/>
  <c r="D88" i="5"/>
  <c r="C88" i="5"/>
  <c r="B88" i="5"/>
  <c r="K87" i="5"/>
  <c r="J87" i="5"/>
  <c r="I87" i="5"/>
  <c r="H87" i="5"/>
  <c r="G87" i="5"/>
  <c r="F87" i="5"/>
  <c r="E87" i="5"/>
  <c r="D87" i="5"/>
  <c r="C87" i="5"/>
  <c r="B87" i="5"/>
  <c r="K86" i="5"/>
  <c r="J86" i="5"/>
  <c r="I86" i="5"/>
  <c r="H86" i="5"/>
  <c r="G86" i="5"/>
  <c r="F86" i="5"/>
  <c r="E86" i="5"/>
  <c r="D86" i="5"/>
  <c r="C86" i="5"/>
  <c r="B86" i="5"/>
  <c r="K85" i="5"/>
  <c r="J85" i="5"/>
  <c r="I85" i="5"/>
  <c r="H85" i="5"/>
  <c r="G85" i="5"/>
  <c r="F85" i="5"/>
  <c r="E85" i="5"/>
  <c r="D85" i="5"/>
  <c r="C85" i="5"/>
  <c r="B85" i="5"/>
  <c r="K84" i="5"/>
  <c r="J84" i="5"/>
  <c r="J102" i="5" s="1"/>
  <c r="I84" i="5"/>
  <c r="H84" i="5"/>
  <c r="G84" i="5"/>
  <c r="F84" i="5"/>
  <c r="E84" i="5"/>
  <c r="D84" i="5"/>
  <c r="C84" i="5"/>
  <c r="B84" i="5"/>
  <c r="K83" i="5"/>
  <c r="J83" i="5"/>
  <c r="I83" i="5"/>
  <c r="H83" i="5"/>
  <c r="G83" i="5"/>
  <c r="F83" i="5"/>
  <c r="E83" i="5"/>
  <c r="D83" i="5"/>
  <c r="C83" i="5"/>
  <c r="B83" i="5"/>
  <c r="K82" i="5"/>
  <c r="J82" i="5"/>
  <c r="I82" i="5"/>
  <c r="H82" i="5"/>
  <c r="G82" i="5"/>
  <c r="F82" i="5"/>
  <c r="E82" i="5"/>
  <c r="D82" i="5"/>
  <c r="C82" i="5"/>
  <c r="B82" i="5"/>
  <c r="K81" i="5"/>
  <c r="J81" i="5"/>
  <c r="I81" i="5"/>
  <c r="H81" i="5"/>
  <c r="G81" i="5"/>
  <c r="F81" i="5"/>
  <c r="E81" i="5"/>
  <c r="D81" i="5"/>
  <c r="C81" i="5"/>
  <c r="B81" i="5"/>
  <c r="K80" i="5"/>
  <c r="J80" i="5"/>
  <c r="I80" i="5"/>
  <c r="H80" i="5"/>
  <c r="G80" i="5"/>
  <c r="F80" i="5"/>
  <c r="E80" i="5"/>
  <c r="D80" i="5"/>
  <c r="C80" i="5"/>
  <c r="B80" i="5"/>
  <c r="K79" i="5"/>
  <c r="J79" i="5"/>
  <c r="I79" i="5"/>
  <c r="H79" i="5"/>
  <c r="G79" i="5"/>
  <c r="F79" i="5"/>
  <c r="E79" i="5"/>
  <c r="D79" i="5"/>
  <c r="C79" i="5"/>
  <c r="B79" i="5"/>
  <c r="K78" i="5"/>
  <c r="J78" i="5"/>
  <c r="I78" i="5"/>
  <c r="H78" i="5"/>
  <c r="G78" i="5"/>
  <c r="F78" i="5"/>
  <c r="E78" i="5"/>
  <c r="D78" i="5"/>
  <c r="C78" i="5"/>
  <c r="B78" i="5"/>
  <c r="K77" i="5"/>
  <c r="J77" i="5"/>
  <c r="I77" i="5"/>
  <c r="H77" i="5"/>
  <c r="G77" i="5"/>
  <c r="F77" i="5"/>
  <c r="E77" i="5"/>
  <c r="D77" i="5"/>
  <c r="C77" i="5"/>
  <c r="B77" i="5"/>
  <c r="K76" i="5"/>
  <c r="J76" i="5"/>
  <c r="I76" i="5"/>
  <c r="H76" i="5"/>
  <c r="G76" i="5"/>
  <c r="F76" i="5"/>
  <c r="E76" i="5"/>
  <c r="D76" i="5"/>
  <c r="C76" i="5"/>
  <c r="B76" i="5"/>
  <c r="K75" i="5"/>
  <c r="J75" i="5"/>
  <c r="I75" i="5"/>
  <c r="H75" i="5"/>
  <c r="G75" i="5"/>
  <c r="F75" i="5"/>
  <c r="E75" i="5"/>
  <c r="D75" i="5"/>
  <c r="C75" i="5"/>
  <c r="B75" i="5"/>
  <c r="K74" i="5"/>
  <c r="J74" i="5"/>
  <c r="I74" i="5"/>
  <c r="H74" i="5"/>
  <c r="G74" i="5"/>
  <c r="F74" i="5"/>
  <c r="E74" i="5"/>
  <c r="D74" i="5"/>
  <c r="C74" i="5"/>
  <c r="B74" i="5"/>
  <c r="K73" i="5"/>
  <c r="J73" i="5"/>
  <c r="I73" i="5"/>
  <c r="H73" i="5"/>
  <c r="G73" i="5"/>
  <c r="F73" i="5"/>
  <c r="E73" i="5"/>
  <c r="D73" i="5"/>
  <c r="C73" i="5"/>
  <c r="B73" i="5"/>
  <c r="K72" i="5"/>
  <c r="J72" i="5"/>
  <c r="I72" i="5"/>
  <c r="H72" i="5"/>
  <c r="G72" i="5"/>
  <c r="F72" i="5"/>
  <c r="E72" i="5"/>
  <c r="D72" i="5"/>
  <c r="C72" i="5"/>
  <c r="B72" i="5"/>
  <c r="N10" i="3"/>
  <c r="O10" i="3"/>
  <c r="P10" i="3"/>
  <c r="Q10" i="3"/>
  <c r="R10" i="3"/>
  <c r="S10" i="3"/>
  <c r="N11" i="3"/>
  <c r="O11" i="3"/>
  <c r="P11" i="3"/>
  <c r="Q11" i="3"/>
  <c r="R11" i="3"/>
  <c r="N12" i="3"/>
  <c r="O12" i="3"/>
  <c r="P12" i="3"/>
  <c r="Q12" i="3"/>
  <c r="R12" i="3"/>
  <c r="S12" i="3"/>
  <c r="N13" i="3"/>
  <c r="O13" i="3"/>
  <c r="P13" i="3"/>
  <c r="Q13" i="3"/>
  <c r="R13" i="3"/>
  <c r="S13" i="3" s="1"/>
  <c r="N14" i="3"/>
  <c r="O14" i="3"/>
  <c r="P14" i="3"/>
  <c r="Q14" i="3"/>
  <c r="R14" i="3"/>
  <c r="N15" i="3"/>
  <c r="O15" i="3"/>
  <c r="P15" i="3"/>
  <c r="Q15" i="3"/>
  <c r="R15" i="3"/>
  <c r="S15" i="3"/>
  <c r="N16" i="3"/>
  <c r="O16" i="3"/>
  <c r="P16" i="3"/>
  <c r="Q16" i="3"/>
  <c r="R16" i="3"/>
  <c r="S16" i="3" s="1"/>
  <c r="N17" i="3"/>
  <c r="O17" i="3"/>
  <c r="P17" i="3"/>
  <c r="Q17" i="3"/>
  <c r="R17" i="3"/>
  <c r="S17" i="3"/>
  <c r="N18" i="3"/>
  <c r="O18" i="3"/>
  <c r="P18" i="3"/>
  <c r="Q18" i="3"/>
  <c r="R18" i="3"/>
  <c r="N19" i="3"/>
  <c r="O19" i="3"/>
  <c r="P19" i="3"/>
  <c r="Q19" i="3"/>
  <c r="R19" i="3"/>
  <c r="S19" i="3" s="1"/>
  <c r="N20" i="3"/>
  <c r="O20" i="3"/>
  <c r="P20" i="3"/>
  <c r="Q20" i="3"/>
  <c r="R20" i="3"/>
  <c r="N21" i="3"/>
  <c r="O21" i="3"/>
  <c r="P21" i="3"/>
  <c r="Q21" i="3"/>
  <c r="R21" i="3"/>
  <c r="S21" i="3"/>
  <c r="N22" i="3"/>
  <c r="O22" i="3"/>
  <c r="P22" i="3"/>
  <c r="Q22" i="3"/>
  <c r="R22" i="3"/>
  <c r="S22" i="3" s="1"/>
  <c r="N23" i="3"/>
  <c r="O23" i="3"/>
  <c r="P23" i="3"/>
  <c r="Q23" i="3"/>
  <c r="R23" i="3"/>
  <c r="S23" i="3" s="1"/>
  <c r="N24" i="3"/>
  <c r="O24" i="3"/>
  <c r="P24" i="3"/>
  <c r="Q24" i="3"/>
  <c r="R24" i="3"/>
  <c r="S24" i="3" s="1"/>
  <c r="N25" i="3"/>
  <c r="O25" i="3"/>
  <c r="P25" i="3"/>
  <c r="Q25" i="3"/>
  <c r="R25" i="3"/>
  <c r="S25" i="3" s="1"/>
  <c r="N26" i="3"/>
  <c r="O26" i="3"/>
  <c r="P26" i="3"/>
  <c r="Q26" i="3"/>
  <c r="R26" i="3"/>
  <c r="S26" i="3" s="1"/>
  <c r="N27" i="3"/>
  <c r="O27" i="3"/>
  <c r="P27" i="3"/>
  <c r="Q27" i="3"/>
  <c r="R27" i="3"/>
  <c r="S27" i="3"/>
  <c r="N28" i="3"/>
  <c r="O28" i="3"/>
  <c r="P28" i="3"/>
  <c r="Q28" i="3"/>
  <c r="R28" i="3"/>
  <c r="S28" i="3"/>
  <c r="N29" i="3"/>
  <c r="O29" i="3"/>
  <c r="P29" i="3"/>
  <c r="Q29" i="3"/>
  <c r="R29" i="3"/>
  <c r="S29" i="3"/>
  <c r="N30" i="3"/>
  <c r="O30" i="3"/>
  <c r="P30" i="3"/>
  <c r="Q30" i="3"/>
  <c r="R30" i="3"/>
  <c r="S30" i="3"/>
  <c r="N31" i="3"/>
  <c r="O31" i="3"/>
  <c r="P31" i="3"/>
  <c r="Q31" i="3"/>
  <c r="R31" i="3"/>
  <c r="S31" i="3"/>
  <c r="N32" i="3"/>
  <c r="O32" i="3"/>
  <c r="P32" i="3"/>
  <c r="Q32" i="3"/>
  <c r="R32" i="3"/>
  <c r="S32" i="3"/>
  <c r="N33" i="3"/>
  <c r="O33" i="3"/>
  <c r="P33" i="3"/>
  <c r="Q33" i="3"/>
  <c r="R33" i="3"/>
  <c r="S33" i="3" s="1"/>
  <c r="N34" i="3"/>
  <c r="O34" i="3"/>
  <c r="P34" i="3"/>
  <c r="Q34" i="3"/>
  <c r="R34" i="3"/>
  <c r="S34" i="3"/>
  <c r="N35" i="3"/>
  <c r="O35" i="3"/>
  <c r="P35" i="3"/>
  <c r="Q35" i="3"/>
  <c r="R35" i="3"/>
  <c r="S35" i="3"/>
  <c r="N36" i="3"/>
  <c r="O36" i="3"/>
  <c r="P36" i="3"/>
  <c r="Q36" i="3"/>
  <c r="R36" i="3"/>
  <c r="N37" i="3"/>
  <c r="O37" i="3"/>
  <c r="P37" i="3"/>
  <c r="Q37" i="3"/>
  <c r="R37" i="3"/>
  <c r="N38" i="3"/>
  <c r="O38" i="3"/>
  <c r="P38" i="3"/>
  <c r="Q38" i="3"/>
  <c r="R38" i="3"/>
  <c r="S38" i="3" s="1"/>
  <c r="N39" i="3"/>
  <c r="O39" i="3"/>
  <c r="P39" i="3"/>
  <c r="Q39" i="3"/>
  <c r="R39" i="3"/>
  <c r="S39" i="3"/>
  <c r="B76" i="3"/>
  <c r="C76" i="3"/>
  <c r="D76" i="3"/>
  <c r="E76" i="3"/>
  <c r="F76" i="3"/>
  <c r="G76" i="3"/>
  <c r="H76" i="3"/>
  <c r="I76" i="3"/>
  <c r="J76" i="3"/>
  <c r="K76" i="3"/>
  <c r="B77" i="3"/>
  <c r="C77" i="3"/>
  <c r="D77" i="3"/>
  <c r="E77" i="3"/>
  <c r="F77" i="3"/>
  <c r="G77" i="3"/>
  <c r="H77" i="3"/>
  <c r="I77" i="3"/>
  <c r="J77" i="3"/>
  <c r="K77" i="3"/>
  <c r="B78" i="3"/>
  <c r="C78" i="3"/>
  <c r="D78" i="3"/>
  <c r="E78" i="3"/>
  <c r="F78" i="3"/>
  <c r="G78" i="3"/>
  <c r="H78" i="3"/>
  <c r="I78" i="3"/>
  <c r="J78" i="3"/>
  <c r="K78" i="3"/>
  <c r="B79" i="3"/>
  <c r="C79" i="3"/>
  <c r="D79" i="3"/>
  <c r="E79" i="3"/>
  <c r="F79" i="3"/>
  <c r="G79" i="3"/>
  <c r="H79" i="3"/>
  <c r="I79" i="3"/>
  <c r="J79" i="3"/>
  <c r="K79" i="3"/>
  <c r="B80" i="3"/>
  <c r="C80" i="3"/>
  <c r="D80" i="3"/>
  <c r="E80" i="3"/>
  <c r="F80" i="3"/>
  <c r="G80" i="3"/>
  <c r="H80" i="3"/>
  <c r="I80" i="3"/>
  <c r="J80" i="3"/>
  <c r="K80" i="3"/>
  <c r="B81" i="3"/>
  <c r="C81" i="3"/>
  <c r="D81" i="3"/>
  <c r="E81" i="3"/>
  <c r="F81" i="3"/>
  <c r="G81" i="3"/>
  <c r="H81" i="3"/>
  <c r="I81" i="3"/>
  <c r="J81" i="3"/>
  <c r="K81" i="3"/>
  <c r="B82" i="3"/>
  <c r="C82" i="3"/>
  <c r="D82" i="3"/>
  <c r="E82" i="3"/>
  <c r="F82" i="3"/>
  <c r="G82" i="3"/>
  <c r="H82" i="3"/>
  <c r="I82" i="3"/>
  <c r="J82" i="3"/>
  <c r="K82" i="3"/>
  <c r="B83" i="3"/>
  <c r="C83" i="3"/>
  <c r="D83" i="3"/>
  <c r="E83" i="3"/>
  <c r="F83" i="3"/>
  <c r="G83" i="3"/>
  <c r="H83" i="3"/>
  <c r="I83" i="3"/>
  <c r="J83" i="3"/>
  <c r="K83" i="3"/>
  <c r="B84" i="3"/>
  <c r="C84" i="3"/>
  <c r="D84" i="3"/>
  <c r="E84" i="3"/>
  <c r="F84" i="3"/>
  <c r="G84" i="3"/>
  <c r="H84" i="3"/>
  <c r="I84" i="3"/>
  <c r="J84" i="3"/>
  <c r="K84" i="3"/>
  <c r="B85" i="3"/>
  <c r="C85" i="3"/>
  <c r="D85" i="3"/>
  <c r="E85" i="3"/>
  <c r="F85" i="3"/>
  <c r="G85" i="3"/>
  <c r="H85" i="3"/>
  <c r="I85" i="3"/>
  <c r="J85" i="3"/>
  <c r="K85" i="3"/>
  <c r="B86" i="3"/>
  <c r="C86" i="3"/>
  <c r="D86" i="3"/>
  <c r="E86" i="3"/>
  <c r="F86" i="3"/>
  <c r="G86" i="3"/>
  <c r="H86" i="3"/>
  <c r="I86" i="3"/>
  <c r="J86" i="3"/>
  <c r="K86" i="3"/>
  <c r="B87" i="3"/>
  <c r="C87" i="3"/>
  <c r="D87" i="3"/>
  <c r="E87" i="3"/>
  <c r="F87" i="3"/>
  <c r="G87" i="3"/>
  <c r="H87" i="3"/>
  <c r="I87" i="3"/>
  <c r="J87" i="3"/>
  <c r="K87" i="3"/>
  <c r="B88" i="3"/>
  <c r="C88" i="3"/>
  <c r="D88" i="3"/>
  <c r="E88" i="3"/>
  <c r="F88" i="3"/>
  <c r="G88" i="3"/>
  <c r="H88" i="3"/>
  <c r="I88" i="3"/>
  <c r="J88" i="3"/>
  <c r="K88" i="3"/>
  <c r="B89" i="3"/>
  <c r="C89" i="3"/>
  <c r="D89" i="3"/>
  <c r="E89" i="3"/>
  <c r="F89" i="3"/>
  <c r="G89" i="3"/>
  <c r="H89" i="3"/>
  <c r="I89" i="3"/>
  <c r="J89" i="3"/>
  <c r="K89" i="3"/>
  <c r="B90" i="3"/>
  <c r="C90" i="3"/>
  <c r="D90" i="3"/>
  <c r="E90" i="3"/>
  <c r="F90" i="3"/>
  <c r="G90" i="3"/>
  <c r="H90" i="3"/>
  <c r="I90" i="3"/>
  <c r="J90" i="3"/>
  <c r="K90" i="3"/>
  <c r="B91" i="3"/>
  <c r="C91" i="3"/>
  <c r="D91" i="3"/>
  <c r="E91" i="3"/>
  <c r="F91" i="3"/>
  <c r="G91" i="3"/>
  <c r="H91" i="3"/>
  <c r="I91" i="3"/>
  <c r="J91" i="3"/>
  <c r="K91" i="3"/>
  <c r="B92" i="3"/>
  <c r="C92" i="3"/>
  <c r="D92" i="3"/>
  <c r="E92" i="3"/>
  <c r="F92" i="3"/>
  <c r="G92" i="3"/>
  <c r="H92" i="3"/>
  <c r="I92" i="3"/>
  <c r="J92" i="3"/>
  <c r="K92" i="3"/>
  <c r="B93" i="3"/>
  <c r="C93" i="3"/>
  <c r="D93" i="3"/>
  <c r="E93" i="3"/>
  <c r="F93" i="3"/>
  <c r="G93" i="3"/>
  <c r="H93" i="3"/>
  <c r="I93" i="3"/>
  <c r="J93" i="3"/>
  <c r="K93" i="3"/>
  <c r="B94" i="3"/>
  <c r="C94" i="3"/>
  <c r="D94" i="3"/>
  <c r="E94" i="3"/>
  <c r="F94" i="3"/>
  <c r="G94" i="3"/>
  <c r="H94" i="3"/>
  <c r="I94" i="3"/>
  <c r="J94" i="3"/>
  <c r="K94" i="3"/>
  <c r="B95" i="3"/>
  <c r="C95" i="3"/>
  <c r="D95" i="3"/>
  <c r="E95" i="3"/>
  <c r="F95" i="3"/>
  <c r="G95" i="3"/>
  <c r="H95" i="3"/>
  <c r="I95" i="3"/>
  <c r="J95" i="3"/>
  <c r="K95" i="3"/>
  <c r="B96" i="3"/>
  <c r="C96" i="3"/>
  <c r="D96" i="3"/>
  <c r="E96" i="3"/>
  <c r="F96" i="3"/>
  <c r="G96" i="3"/>
  <c r="H96" i="3"/>
  <c r="I96" i="3"/>
  <c r="J96" i="3"/>
  <c r="K96" i="3"/>
  <c r="B97" i="3"/>
  <c r="C97" i="3"/>
  <c r="D97" i="3"/>
  <c r="E97" i="3"/>
  <c r="F97" i="3"/>
  <c r="G97" i="3"/>
  <c r="H97" i="3"/>
  <c r="I97" i="3"/>
  <c r="J97" i="3"/>
  <c r="K97" i="3"/>
  <c r="B98" i="3"/>
  <c r="C98" i="3"/>
  <c r="D98" i="3"/>
  <c r="E98" i="3"/>
  <c r="F98" i="3"/>
  <c r="G98" i="3"/>
  <c r="H98" i="3"/>
  <c r="I98" i="3"/>
  <c r="J98" i="3"/>
  <c r="K98" i="3"/>
  <c r="B99" i="3"/>
  <c r="C99" i="3"/>
  <c r="D99" i="3"/>
  <c r="E99" i="3"/>
  <c r="F99" i="3"/>
  <c r="G99" i="3"/>
  <c r="H99" i="3"/>
  <c r="I99" i="3"/>
  <c r="J99" i="3"/>
  <c r="K99" i="3"/>
  <c r="B100" i="3"/>
  <c r="C100" i="3"/>
  <c r="D100" i="3"/>
  <c r="E100" i="3"/>
  <c r="F100" i="3"/>
  <c r="G100" i="3"/>
  <c r="H100" i="3"/>
  <c r="I100" i="3"/>
  <c r="J100" i="3"/>
  <c r="K100" i="3"/>
  <c r="B101" i="3"/>
  <c r="C101" i="3"/>
  <c r="D101" i="3"/>
  <c r="E101" i="3"/>
  <c r="F101" i="3"/>
  <c r="G101" i="3"/>
  <c r="H101" i="3"/>
  <c r="I101" i="3"/>
  <c r="J101" i="3"/>
  <c r="K101" i="3"/>
  <c r="B102" i="3"/>
  <c r="C102" i="3"/>
  <c r="D102" i="3"/>
  <c r="E102" i="3"/>
  <c r="F102" i="3"/>
  <c r="G102" i="3"/>
  <c r="H102" i="3"/>
  <c r="I102" i="3"/>
  <c r="J102" i="3"/>
  <c r="K102" i="3"/>
  <c r="B103" i="3"/>
  <c r="C103" i="3"/>
  <c r="D103" i="3"/>
  <c r="E103" i="3"/>
  <c r="F103" i="3"/>
  <c r="G103" i="3"/>
  <c r="H103" i="3"/>
  <c r="I103" i="3"/>
  <c r="J103" i="3"/>
  <c r="K103" i="3"/>
  <c r="B104" i="3"/>
  <c r="C104" i="3"/>
  <c r="D104" i="3"/>
  <c r="E104" i="3"/>
  <c r="F104" i="3"/>
  <c r="G104" i="3"/>
  <c r="H104" i="3"/>
  <c r="I104" i="3"/>
  <c r="J104" i="3"/>
  <c r="K104" i="3"/>
  <c r="B105" i="3"/>
  <c r="C105" i="3"/>
  <c r="D105" i="3"/>
  <c r="E105" i="3"/>
  <c r="F105" i="3"/>
  <c r="G105" i="3"/>
  <c r="H105" i="3"/>
  <c r="I105" i="3"/>
  <c r="J105" i="3"/>
  <c r="K105" i="3"/>
  <c r="B43" i="3"/>
  <c r="C43" i="3"/>
  <c r="D43" i="3"/>
  <c r="E43" i="3"/>
  <c r="F43" i="3"/>
  <c r="G43" i="3"/>
  <c r="H43" i="3"/>
  <c r="I43" i="3"/>
  <c r="J43" i="3"/>
  <c r="K43" i="3"/>
  <c r="B44" i="3"/>
  <c r="C44" i="3"/>
  <c r="D44" i="3"/>
  <c r="E44" i="3"/>
  <c r="F44" i="3"/>
  <c r="G44" i="3"/>
  <c r="H44" i="3"/>
  <c r="I44" i="3"/>
  <c r="J44" i="3"/>
  <c r="K44" i="3"/>
  <c r="B45" i="3"/>
  <c r="C45" i="3"/>
  <c r="D45" i="3"/>
  <c r="E45" i="3"/>
  <c r="F45" i="3"/>
  <c r="G45" i="3"/>
  <c r="H45" i="3"/>
  <c r="I45" i="3"/>
  <c r="J45" i="3"/>
  <c r="K45" i="3"/>
  <c r="B46" i="3"/>
  <c r="C46" i="3"/>
  <c r="D46" i="3"/>
  <c r="E46" i="3"/>
  <c r="F46" i="3"/>
  <c r="G46" i="3"/>
  <c r="H46" i="3"/>
  <c r="I46" i="3"/>
  <c r="J46" i="3"/>
  <c r="K46" i="3"/>
  <c r="B47" i="3"/>
  <c r="C47" i="3"/>
  <c r="D47" i="3"/>
  <c r="E47" i="3"/>
  <c r="F47" i="3"/>
  <c r="G47" i="3"/>
  <c r="H47" i="3"/>
  <c r="I47" i="3"/>
  <c r="J47" i="3"/>
  <c r="K47" i="3"/>
  <c r="B48" i="3"/>
  <c r="C48" i="3"/>
  <c r="D48" i="3"/>
  <c r="E48" i="3"/>
  <c r="F48" i="3"/>
  <c r="G48" i="3"/>
  <c r="H48" i="3"/>
  <c r="I48" i="3"/>
  <c r="J48" i="3"/>
  <c r="K48" i="3"/>
  <c r="B49" i="3"/>
  <c r="C49" i="3"/>
  <c r="D49" i="3"/>
  <c r="E49" i="3"/>
  <c r="F49" i="3"/>
  <c r="G49" i="3"/>
  <c r="H49" i="3"/>
  <c r="I49" i="3"/>
  <c r="J49" i="3"/>
  <c r="K49" i="3"/>
  <c r="B50" i="3"/>
  <c r="C50" i="3"/>
  <c r="D50" i="3"/>
  <c r="E50" i="3"/>
  <c r="F50" i="3"/>
  <c r="G50" i="3"/>
  <c r="H50" i="3"/>
  <c r="I50" i="3"/>
  <c r="J50" i="3"/>
  <c r="K50" i="3"/>
  <c r="B51" i="3"/>
  <c r="C51" i="3"/>
  <c r="D51" i="3"/>
  <c r="E51" i="3"/>
  <c r="F51" i="3"/>
  <c r="G51" i="3"/>
  <c r="H51" i="3"/>
  <c r="I51" i="3"/>
  <c r="J51" i="3"/>
  <c r="K51" i="3"/>
  <c r="B52" i="3"/>
  <c r="C52" i="3"/>
  <c r="D52" i="3"/>
  <c r="E52" i="3"/>
  <c r="F52" i="3"/>
  <c r="G52" i="3"/>
  <c r="H52" i="3"/>
  <c r="I52" i="3"/>
  <c r="J52" i="3"/>
  <c r="K52" i="3"/>
  <c r="B53" i="3"/>
  <c r="C53" i="3"/>
  <c r="D53" i="3"/>
  <c r="E53" i="3"/>
  <c r="F53" i="3"/>
  <c r="G53" i="3"/>
  <c r="H53" i="3"/>
  <c r="I53" i="3"/>
  <c r="J53" i="3"/>
  <c r="K53" i="3"/>
  <c r="B54" i="3"/>
  <c r="C54" i="3"/>
  <c r="D54" i="3"/>
  <c r="E54" i="3"/>
  <c r="F54" i="3"/>
  <c r="G54" i="3"/>
  <c r="H54" i="3"/>
  <c r="I54" i="3"/>
  <c r="J54" i="3"/>
  <c r="K54" i="3"/>
  <c r="B55" i="3"/>
  <c r="C55" i="3"/>
  <c r="D55" i="3"/>
  <c r="E55" i="3"/>
  <c r="F55" i="3"/>
  <c r="G55" i="3"/>
  <c r="H55" i="3"/>
  <c r="I55" i="3"/>
  <c r="J55" i="3"/>
  <c r="K55" i="3"/>
  <c r="B56" i="3"/>
  <c r="C56" i="3"/>
  <c r="D56" i="3"/>
  <c r="E56" i="3"/>
  <c r="F56" i="3"/>
  <c r="G56" i="3"/>
  <c r="H56" i="3"/>
  <c r="I56" i="3"/>
  <c r="J56" i="3"/>
  <c r="K56" i="3"/>
  <c r="B57" i="3"/>
  <c r="C57" i="3"/>
  <c r="D57" i="3"/>
  <c r="E57" i="3"/>
  <c r="F57" i="3"/>
  <c r="G57" i="3"/>
  <c r="H57" i="3"/>
  <c r="I57" i="3"/>
  <c r="J57" i="3"/>
  <c r="K57" i="3"/>
  <c r="B58" i="3"/>
  <c r="C58" i="3"/>
  <c r="D58" i="3"/>
  <c r="E58" i="3"/>
  <c r="F58" i="3"/>
  <c r="G58" i="3"/>
  <c r="H58" i="3"/>
  <c r="I58" i="3"/>
  <c r="J58" i="3"/>
  <c r="K58" i="3"/>
  <c r="B59" i="3"/>
  <c r="C59" i="3"/>
  <c r="D59" i="3"/>
  <c r="E59" i="3"/>
  <c r="F59" i="3"/>
  <c r="G59" i="3"/>
  <c r="H59" i="3"/>
  <c r="I59" i="3"/>
  <c r="J59" i="3"/>
  <c r="K59" i="3"/>
  <c r="B60" i="3"/>
  <c r="C60" i="3"/>
  <c r="D60" i="3"/>
  <c r="E60" i="3"/>
  <c r="F60" i="3"/>
  <c r="G60" i="3"/>
  <c r="H60" i="3"/>
  <c r="I60" i="3"/>
  <c r="J60" i="3"/>
  <c r="K60" i="3"/>
  <c r="B61" i="3"/>
  <c r="C61" i="3"/>
  <c r="D61" i="3"/>
  <c r="E61" i="3"/>
  <c r="F61" i="3"/>
  <c r="G61" i="3"/>
  <c r="H61" i="3"/>
  <c r="I61" i="3"/>
  <c r="J61" i="3"/>
  <c r="K61" i="3"/>
  <c r="B62" i="3"/>
  <c r="C62" i="3"/>
  <c r="D62" i="3"/>
  <c r="E62" i="3"/>
  <c r="F62" i="3"/>
  <c r="G62" i="3"/>
  <c r="H62" i="3"/>
  <c r="I62" i="3"/>
  <c r="J62" i="3"/>
  <c r="K62" i="3"/>
  <c r="B63" i="3"/>
  <c r="C63" i="3"/>
  <c r="D63" i="3"/>
  <c r="E63" i="3"/>
  <c r="F63" i="3"/>
  <c r="G63" i="3"/>
  <c r="H63" i="3"/>
  <c r="I63" i="3"/>
  <c r="J63" i="3"/>
  <c r="K63" i="3"/>
  <c r="B64" i="3"/>
  <c r="C64" i="3"/>
  <c r="D64" i="3"/>
  <c r="E64" i="3"/>
  <c r="F64" i="3"/>
  <c r="G64" i="3"/>
  <c r="H64" i="3"/>
  <c r="I64" i="3"/>
  <c r="J64" i="3"/>
  <c r="K64" i="3"/>
  <c r="B65" i="3"/>
  <c r="C65" i="3"/>
  <c r="D65" i="3"/>
  <c r="E65" i="3"/>
  <c r="F65" i="3"/>
  <c r="G65" i="3"/>
  <c r="H65" i="3"/>
  <c r="I65" i="3"/>
  <c r="J65" i="3"/>
  <c r="K65" i="3"/>
  <c r="B66" i="3"/>
  <c r="C66" i="3"/>
  <c r="D66" i="3"/>
  <c r="E66" i="3"/>
  <c r="F66" i="3"/>
  <c r="G66" i="3"/>
  <c r="H66" i="3"/>
  <c r="I66" i="3"/>
  <c r="J66" i="3"/>
  <c r="K66" i="3"/>
  <c r="B67" i="3"/>
  <c r="C67" i="3"/>
  <c r="D67" i="3"/>
  <c r="E67" i="3"/>
  <c r="F67" i="3"/>
  <c r="G67" i="3"/>
  <c r="H67" i="3"/>
  <c r="I67" i="3"/>
  <c r="J67" i="3"/>
  <c r="K67" i="3"/>
  <c r="B68" i="3"/>
  <c r="C68" i="3"/>
  <c r="D68" i="3"/>
  <c r="E68" i="3"/>
  <c r="F68" i="3"/>
  <c r="G68" i="3"/>
  <c r="H68" i="3"/>
  <c r="I68" i="3"/>
  <c r="J68" i="3"/>
  <c r="K68" i="3"/>
  <c r="B69" i="3"/>
  <c r="C69" i="3"/>
  <c r="D69" i="3"/>
  <c r="E69" i="3"/>
  <c r="F69" i="3"/>
  <c r="G69" i="3"/>
  <c r="H69" i="3"/>
  <c r="I69" i="3"/>
  <c r="J69" i="3"/>
  <c r="K69" i="3"/>
  <c r="B70" i="3"/>
  <c r="C70" i="3"/>
  <c r="D70" i="3"/>
  <c r="E70" i="3"/>
  <c r="F70" i="3"/>
  <c r="G70" i="3"/>
  <c r="H70" i="3"/>
  <c r="I70" i="3"/>
  <c r="J70" i="3"/>
  <c r="K70" i="3"/>
  <c r="B71" i="3"/>
  <c r="C71" i="3"/>
  <c r="D71" i="3"/>
  <c r="E71" i="3"/>
  <c r="F71" i="3"/>
  <c r="G71" i="3"/>
  <c r="H71" i="3"/>
  <c r="I71" i="3"/>
  <c r="J71" i="3"/>
  <c r="K71" i="3"/>
  <c r="B72" i="3"/>
  <c r="C72" i="3"/>
  <c r="D72" i="3"/>
  <c r="E72" i="3"/>
  <c r="F72" i="3"/>
  <c r="G72" i="3"/>
  <c r="H72" i="3"/>
  <c r="I72" i="3"/>
  <c r="J72" i="3"/>
  <c r="K72"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C277" i="11" l="1"/>
  <c r="C23" i="11"/>
  <c r="C259" i="11"/>
  <c r="C190" i="11"/>
  <c r="C197" i="11"/>
  <c r="C266" i="11"/>
  <c r="H6" i="11"/>
  <c r="J6" i="11" s="1"/>
  <c r="I6" i="11"/>
  <c r="F6" i="11"/>
  <c r="Q6" i="11"/>
  <c r="P6" i="11"/>
  <c r="O6" i="11"/>
  <c r="N6" i="11"/>
  <c r="K6" i="11"/>
  <c r="L6" i="11"/>
  <c r="F7" i="11"/>
  <c r="I7" i="11"/>
  <c r="H7" i="11"/>
  <c r="J7" i="11" s="1"/>
  <c r="K7" i="11"/>
  <c r="O7" i="11"/>
  <c r="Q7" i="11"/>
  <c r="N7" i="11"/>
  <c r="P7" i="11"/>
  <c r="L7" i="11"/>
  <c r="F8" i="11"/>
  <c r="H8" i="11"/>
  <c r="J8" i="11" s="1"/>
  <c r="I8" i="11"/>
  <c r="E8" i="11"/>
  <c r="L8" i="11"/>
  <c r="C8" i="11"/>
  <c r="G8" i="11"/>
  <c r="Q8" i="11"/>
  <c r="P8" i="11"/>
  <c r="D8" i="11"/>
  <c r="O8" i="11"/>
  <c r="K8" i="11"/>
  <c r="N8" i="11"/>
  <c r="I9" i="11"/>
  <c r="C9" i="11"/>
  <c r="F9" i="11"/>
  <c r="H9" i="11"/>
  <c r="J9" i="11" s="1"/>
  <c r="O9" i="11"/>
  <c r="G9" i="11"/>
  <c r="D9" i="11"/>
  <c r="E9" i="11"/>
  <c r="Q9" i="11"/>
  <c r="P9" i="11"/>
  <c r="N9" i="11"/>
  <c r="L9" i="11"/>
  <c r="K9" i="11"/>
  <c r="H10" i="11"/>
  <c r="J10" i="11" s="1"/>
  <c r="I10" i="11"/>
  <c r="F10" i="11"/>
  <c r="E10" i="11"/>
  <c r="G10" i="11"/>
  <c r="Q10" i="11"/>
  <c r="P10" i="11"/>
  <c r="O10" i="11"/>
  <c r="K10" i="11"/>
  <c r="L10" i="11"/>
  <c r="N10" i="11"/>
  <c r="H11" i="11"/>
  <c r="J11" i="11" s="1"/>
  <c r="I11" i="11"/>
  <c r="F11" i="11"/>
  <c r="N11" i="11"/>
  <c r="G11" i="11"/>
  <c r="Q11" i="11"/>
  <c r="P11" i="11"/>
  <c r="O11" i="11"/>
  <c r="K11" i="11"/>
  <c r="L11" i="11"/>
  <c r="C11" i="11"/>
  <c r="C12" i="11"/>
  <c r="F12" i="11"/>
  <c r="I12" i="11"/>
  <c r="D12" i="11"/>
  <c r="H12" i="11"/>
  <c r="J12" i="11" s="1"/>
  <c r="N12" i="11"/>
  <c r="Q12" i="11"/>
  <c r="P12" i="11"/>
  <c r="K12" i="11"/>
  <c r="O12" i="11"/>
  <c r="L12" i="11"/>
  <c r="F13" i="11"/>
  <c r="I13" i="11"/>
  <c r="H13" i="11"/>
  <c r="J13" i="11" s="1"/>
  <c r="L13" i="11"/>
  <c r="N13" i="11"/>
  <c r="O13" i="11"/>
  <c r="Q13" i="11"/>
  <c r="P13" i="11"/>
  <c r="K13" i="11"/>
  <c r="M13" i="11" s="1"/>
  <c r="C14" i="11"/>
  <c r="H14" i="11"/>
  <c r="J14" i="11" s="1"/>
  <c r="I14" i="11"/>
  <c r="F14" i="11"/>
  <c r="P14" i="11"/>
  <c r="L14" i="11"/>
  <c r="O14" i="11"/>
  <c r="N14" i="11"/>
  <c r="Q14" i="11"/>
  <c r="K14" i="11"/>
  <c r="D15" i="11"/>
  <c r="E15" i="11"/>
  <c r="F15" i="11"/>
  <c r="I15" i="11"/>
  <c r="H15" i="11"/>
  <c r="J15" i="11" s="1"/>
  <c r="C15" i="11"/>
  <c r="G15" i="11"/>
  <c r="L15" i="11"/>
  <c r="P15" i="11"/>
  <c r="K15" i="11"/>
  <c r="N15" i="11"/>
  <c r="Q15" i="11"/>
  <c r="O15" i="11"/>
  <c r="I16" i="11"/>
  <c r="H16" i="11"/>
  <c r="J16" i="11" s="1"/>
  <c r="E16" i="11"/>
  <c r="D16" i="11"/>
  <c r="C16" i="11"/>
  <c r="G16" i="11"/>
  <c r="F16" i="11"/>
  <c r="K16" i="11"/>
  <c r="O16" i="11"/>
  <c r="N16" i="11"/>
  <c r="Q16" i="11"/>
  <c r="L16" i="11"/>
  <c r="P16" i="11"/>
  <c r="C17" i="11"/>
  <c r="F17" i="11"/>
  <c r="H17" i="11"/>
  <c r="J17" i="11" s="1"/>
  <c r="I17" i="11"/>
  <c r="P17" i="11"/>
  <c r="N17" i="11"/>
  <c r="O17" i="11"/>
  <c r="Q17" i="11"/>
  <c r="L17" i="11"/>
  <c r="K17" i="11"/>
  <c r="M17" i="11" s="1"/>
  <c r="F18" i="11"/>
  <c r="H18" i="11"/>
  <c r="J18" i="11" s="1"/>
  <c r="I18" i="11"/>
  <c r="P18" i="11"/>
  <c r="L18" i="11"/>
  <c r="K18" i="11"/>
  <c r="M18" i="11" s="1"/>
  <c r="O18" i="11"/>
  <c r="Q18" i="11"/>
  <c r="N18" i="11"/>
  <c r="I19" i="11"/>
  <c r="H19" i="11"/>
  <c r="J19" i="11" s="1"/>
  <c r="F19" i="11"/>
  <c r="E19" i="11"/>
  <c r="C19" i="11"/>
  <c r="D19" i="11"/>
  <c r="L19" i="11"/>
  <c r="Q19" i="11"/>
  <c r="P19" i="11"/>
  <c r="O19" i="11"/>
  <c r="K19" i="11"/>
  <c r="M19" i="11" s="1"/>
  <c r="N19" i="11"/>
  <c r="D20" i="11"/>
  <c r="G20" i="11"/>
  <c r="C20" i="11"/>
  <c r="E20" i="11"/>
  <c r="F20" i="11"/>
  <c r="H20" i="11"/>
  <c r="J20" i="11" s="1"/>
  <c r="I20" i="11"/>
  <c r="L20" i="11"/>
  <c r="O20" i="11"/>
  <c r="Q20" i="11"/>
  <c r="K20" i="11"/>
  <c r="M20" i="11" s="1"/>
  <c r="N20" i="11"/>
  <c r="P20" i="11"/>
  <c r="F21" i="11"/>
  <c r="I21" i="11"/>
  <c r="H21" i="11"/>
  <c r="J21" i="11" s="1"/>
  <c r="K21" i="11"/>
  <c r="P21" i="11"/>
  <c r="L21" i="11"/>
  <c r="Q21" i="11"/>
  <c r="N21" i="11"/>
  <c r="O21" i="11"/>
  <c r="H22" i="11"/>
  <c r="J22" i="11" s="1"/>
  <c r="F22" i="11"/>
  <c r="E22" i="11"/>
  <c r="I22" i="11"/>
  <c r="O22" i="11"/>
  <c r="P22" i="11"/>
  <c r="K22" i="11"/>
  <c r="N22" i="11"/>
  <c r="Q22" i="11"/>
  <c r="L22" i="11"/>
  <c r="H23" i="11"/>
  <c r="J23" i="11" s="1"/>
  <c r="I23" i="11"/>
  <c r="D23" i="11"/>
  <c r="E23" i="11"/>
  <c r="F23" i="11"/>
  <c r="G23" i="11"/>
  <c r="L23" i="11"/>
  <c r="Q23" i="11"/>
  <c r="O23" i="11"/>
  <c r="N23" i="11"/>
  <c r="K23" i="11"/>
  <c r="M23" i="11" s="1"/>
  <c r="P23" i="11"/>
  <c r="I24" i="11"/>
  <c r="H24" i="11"/>
  <c r="J24" i="11" s="1"/>
  <c r="F24" i="11"/>
  <c r="C24" i="11"/>
  <c r="L24" i="11"/>
  <c r="O24" i="11"/>
  <c r="N24" i="11"/>
  <c r="Q24" i="11"/>
  <c r="K24" i="11"/>
  <c r="M24" i="11" s="1"/>
  <c r="P24" i="11"/>
  <c r="C25" i="11"/>
  <c r="H25" i="11"/>
  <c r="J25" i="11" s="1"/>
  <c r="D25" i="11"/>
  <c r="I25" i="11"/>
  <c r="E25" i="11"/>
  <c r="F25" i="11"/>
  <c r="K25" i="11"/>
  <c r="O25" i="11"/>
  <c r="N25" i="11"/>
  <c r="P25" i="11"/>
  <c r="L25" i="11"/>
  <c r="Q25" i="11"/>
  <c r="H26" i="11"/>
  <c r="J26" i="11" s="1"/>
  <c r="F26" i="11"/>
  <c r="I26" i="11"/>
  <c r="O26" i="11"/>
  <c r="P26" i="11"/>
  <c r="K26" i="11"/>
  <c r="L26" i="11"/>
  <c r="N26" i="11"/>
  <c r="Q26" i="11"/>
  <c r="F27" i="11"/>
  <c r="I27" i="11"/>
  <c r="H27" i="11"/>
  <c r="J27" i="11" s="1"/>
  <c r="L27" i="11"/>
  <c r="P27" i="11"/>
  <c r="Q27" i="11"/>
  <c r="K27" i="11"/>
  <c r="M27" i="11" s="1"/>
  <c r="O27" i="11"/>
  <c r="N27" i="11"/>
  <c r="I28" i="11"/>
  <c r="G28" i="11"/>
  <c r="H28" i="11"/>
  <c r="J28" i="11" s="1"/>
  <c r="F28" i="11"/>
  <c r="E28" i="11"/>
  <c r="D28" i="11"/>
  <c r="C28" i="11"/>
  <c r="L28" i="11"/>
  <c r="O28" i="11"/>
  <c r="N28" i="11"/>
  <c r="P28" i="11"/>
  <c r="K28" i="11"/>
  <c r="Q28" i="11"/>
  <c r="F29" i="11"/>
  <c r="I29" i="11"/>
  <c r="H29" i="11"/>
  <c r="J29" i="11" s="1"/>
  <c r="N29" i="11"/>
  <c r="Q29" i="11"/>
  <c r="K29" i="11"/>
  <c r="O29" i="11"/>
  <c r="L29" i="11"/>
  <c r="P29" i="11"/>
  <c r="C30" i="11"/>
  <c r="F30" i="11"/>
  <c r="I30" i="11"/>
  <c r="H30" i="11"/>
  <c r="J30" i="11" s="1"/>
  <c r="L30" i="11"/>
  <c r="P30" i="11"/>
  <c r="K30" i="11"/>
  <c r="M30" i="11" s="1"/>
  <c r="O30" i="11"/>
  <c r="N30" i="11"/>
  <c r="Q30" i="11"/>
  <c r="H31" i="11"/>
  <c r="J31" i="11" s="1"/>
  <c r="I31" i="11"/>
  <c r="F31" i="11"/>
  <c r="K31" i="11"/>
  <c r="L31" i="11"/>
  <c r="O31" i="11"/>
  <c r="N31" i="11"/>
  <c r="P31" i="11"/>
  <c r="Q31" i="11"/>
  <c r="D32" i="11"/>
  <c r="F32" i="11"/>
  <c r="C32" i="11"/>
  <c r="I32" i="11"/>
  <c r="H32" i="11"/>
  <c r="J32" i="11" s="1"/>
  <c r="G32" i="11"/>
  <c r="E32" i="11"/>
  <c r="N32" i="11"/>
  <c r="L32" i="11"/>
  <c r="K32" i="11"/>
  <c r="M32" i="11" s="1"/>
  <c r="Q32" i="11"/>
  <c r="O32" i="11"/>
  <c r="P32" i="11"/>
  <c r="C33" i="11"/>
  <c r="F33" i="11"/>
  <c r="H33" i="11"/>
  <c r="J33" i="11" s="1"/>
  <c r="I33" i="11"/>
  <c r="D33" i="11"/>
  <c r="N33" i="11"/>
  <c r="Q33" i="11"/>
  <c r="O33" i="11"/>
  <c r="L33" i="11"/>
  <c r="K33" i="11"/>
  <c r="M33" i="11" s="1"/>
  <c r="P33" i="11"/>
  <c r="I34" i="11"/>
  <c r="C34" i="11"/>
  <c r="F34" i="11"/>
  <c r="G34" i="11"/>
  <c r="H34" i="11"/>
  <c r="J34" i="11" s="1"/>
  <c r="D34" i="11"/>
  <c r="E34" i="11"/>
  <c r="O34" i="11"/>
  <c r="N34" i="11"/>
  <c r="Q34" i="11"/>
  <c r="P34" i="11"/>
  <c r="K34" i="11"/>
  <c r="L34" i="11"/>
  <c r="F35" i="11"/>
  <c r="I35" i="11"/>
  <c r="H35" i="11"/>
  <c r="J35" i="11" s="1"/>
  <c r="C35" i="11"/>
  <c r="D35" i="11"/>
  <c r="L35" i="11"/>
  <c r="P35" i="11"/>
  <c r="Q35" i="11"/>
  <c r="K35" i="11"/>
  <c r="M35" i="11" s="1"/>
  <c r="G35" i="11"/>
  <c r="O35" i="11"/>
  <c r="N35" i="11"/>
  <c r="E35" i="11"/>
  <c r="F36" i="11"/>
  <c r="I36" i="11"/>
  <c r="C36" i="11"/>
  <c r="E36" i="11"/>
  <c r="D36" i="11"/>
  <c r="G36" i="11"/>
  <c r="H36" i="11"/>
  <c r="J36" i="11" s="1"/>
  <c r="O36" i="11"/>
  <c r="K36" i="11"/>
  <c r="L36" i="11"/>
  <c r="N36" i="11"/>
  <c r="P36" i="11"/>
  <c r="Q36" i="11"/>
  <c r="E37" i="11"/>
  <c r="I37" i="11"/>
  <c r="F37" i="11"/>
  <c r="G37" i="11"/>
  <c r="C37" i="11"/>
  <c r="H37" i="11"/>
  <c r="J37" i="11" s="1"/>
  <c r="D37" i="11"/>
  <c r="L37" i="11"/>
  <c r="O37" i="11"/>
  <c r="K37" i="11"/>
  <c r="M37" i="11" s="1"/>
  <c r="Q37" i="11"/>
  <c r="N37" i="11"/>
  <c r="P37" i="11"/>
  <c r="H38" i="11"/>
  <c r="J38" i="11" s="1"/>
  <c r="C38" i="11"/>
  <c r="F38" i="11"/>
  <c r="D38" i="11"/>
  <c r="E38" i="11"/>
  <c r="I38" i="11"/>
  <c r="G38" i="11"/>
  <c r="P38" i="11"/>
  <c r="O38" i="11"/>
  <c r="Q38" i="11"/>
  <c r="K38" i="11"/>
  <c r="N38" i="11"/>
  <c r="L38" i="11"/>
  <c r="H39" i="11"/>
  <c r="J39" i="11" s="1"/>
  <c r="G39" i="11"/>
  <c r="D39" i="11"/>
  <c r="E39" i="11"/>
  <c r="C39" i="11"/>
  <c r="F39" i="11"/>
  <c r="I39" i="11"/>
  <c r="P39" i="11"/>
  <c r="Q39" i="11"/>
  <c r="O39" i="11"/>
  <c r="N39" i="11"/>
  <c r="K39" i="11"/>
  <c r="L39" i="11"/>
  <c r="E40" i="11"/>
  <c r="C40" i="11"/>
  <c r="H40" i="11"/>
  <c r="J40" i="11" s="1"/>
  <c r="D40" i="11"/>
  <c r="G40" i="11"/>
  <c r="I40" i="11"/>
  <c r="F40" i="11"/>
  <c r="Q40" i="11"/>
  <c r="P40" i="11"/>
  <c r="N40" i="11"/>
  <c r="K40" i="11"/>
  <c r="L40" i="11"/>
  <c r="O40" i="11"/>
  <c r="H41" i="11"/>
  <c r="J41" i="11" s="1"/>
  <c r="I41" i="11"/>
  <c r="C41" i="11"/>
  <c r="D41" i="11"/>
  <c r="F41" i="11"/>
  <c r="O41" i="11"/>
  <c r="Q41" i="11"/>
  <c r="K41" i="11"/>
  <c r="N41" i="11"/>
  <c r="P41" i="11"/>
  <c r="L41" i="11"/>
  <c r="C42" i="11"/>
  <c r="E42" i="11"/>
  <c r="H42" i="11"/>
  <c r="J42" i="11" s="1"/>
  <c r="I42" i="11"/>
  <c r="G42" i="11"/>
  <c r="F42" i="11"/>
  <c r="D42" i="11"/>
  <c r="L42" i="11"/>
  <c r="K42" i="11"/>
  <c r="M42" i="11" s="1"/>
  <c r="N42" i="11"/>
  <c r="P42" i="11"/>
  <c r="O42" i="11"/>
  <c r="Q42" i="11"/>
  <c r="C43" i="11"/>
  <c r="I43" i="11"/>
  <c r="F43" i="11"/>
  <c r="D43" i="11"/>
  <c r="H43" i="11"/>
  <c r="J43" i="11" s="1"/>
  <c r="E43" i="11"/>
  <c r="L43" i="11"/>
  <c r="N43" i="11"/>
  <c r="O43" i="11"/>
  <c r="Q43" i="11"/>
  <c r="P43" i="11"/>
  <c r="K43" i="11"/>
  <c r="M43" i="11" s="1"/>
  <c r="H44" i="11"/>
  <c r="J44" i="11" s="1"/>
  <c r="I44" i="11"/>
  <c r="G44" i="11"/>
  <c r="F44" i="11"/>
  <c r="E44" i="11"/>
  <c r="D44" i="11"/>
  <c r="C44" i="11"/>
  <c r="N44" i="11"/>
  <c r="K44" i="11"/>
  <c r="O44" i="11"/>
  <c r="L44" i="11"/>
  <c r="Q44" i="11"/>
  <c r="P44" i="11"/>
  <c r="E45" i="11"/>
  <c r="C45" i="11"/>
  <c r="H45" i="11"/>
  <c r="J45" i="11" s="1"/>
  <c r="F45" i="11"/>
  <c r="G45" i="11"/>
  <c r="I45" i="11"/>
  <c r="D45" i="11"/>
  <c r="K45" i="11"/>
  <c r="P45" i="11"/>
  <c r="N45" i="11"/>
  <c r="Q45" i="11"/>
  <c r="O45" i="11"/>
  <c r="L45" i="11"/>
  <c r="H46" i="11"/>
  <c r="J46" i="11" s="1"/>
  <c r="C46" i="11"/>
  <c r="D46" i="11"/>
  <c r="I46" i="11"/>
  <c r="E46" i="11"/>
  <c r="G46" i="11"/>
  <c r="F46" i="11"/>
  <c r="L46" i="11"/>
  <c r="Q46" i="11"/>
  <c r="O46" i="11"/>
  <c r="P46" i="11"/>
  <c r="N46" i="11"/>
  <c r="K46" i="11"/>
  <c r="M46" i="11" s="1"/>
  <c r="C47" i="11"/>
  <c r="F47" i="11"/>
  <c r="I47" i="11"/>
  <c r="H47" i="11"/>
  <c r="J47" i="11" s="1"/>
  <c r="K47" i="11"/>
  <c r="L47" i="11"/>
  <c r="Q47" i="11"/>
  <c r="P47" i="11"/>
  <c r="O47" i="11"/>
  <c r="N47" i="11"/>
  <c r="F48" i="11"/>
  <c r="C48" i="11"/>
  <c r="H48" i="11"/>
  <c r="J48" i="11" s="1"/>
  <c r="I48" i="11"/>
  <c r="D48" i="11"/>
  <c r="K48" i="11"/>
  <c r="N48" i="11"/>
  <c r="Q48" i="11"/>
  <c r="L48" i="11"/>
  <c r="P48" i="11"/>
  <c r="O48" i="11"/>
  <c r="F49" i="11"/>
  <c r="H49" i="11"/>
  <c r="J49" i="11" s="1"/>
  <c r="I49" i="11"/>
  <c r="Q49" i="11"/>
  <c r="L49" i="11"/>
  <c r="P49" i="11"/>
  <c r="N49" i="11"/>
  <c r="K49" i="11"/>
  <c r="O49" i="11"/>
  <c r="F50" i="11"/>
  <c r="I50" i="11"/>
  <c r="H50" i="11"/>
  <c r="J50" i="11" s="1"/>
  <c r="D50" i="11"/>
  <c r="E50" i="11"/>
  <c r="G50" i="11"/>
  <c r="C50" i="11"/>
  <c r="L50" i="11"/>
  <c r="Q50" i="11"/>
  <c r="K50" i="11"/>
  <c r="O50" i="11"/>
  <c r="N50" i="11"/>
  <c r="P50" i="11"/>
  <c r="E51" i="11"/>
  <c r="F51" i="11"/>
  <c r="H51" i="11"/>
  <c r="J51" i="11" s="1"/>
  <c r="I51" i="11"/>
  <c r="C51" i="11"/>
  <c r="G51" i="11"/>
  <c r="D51" i="11"/>
  <c r="K51" i="11"/>
  <c r="Q51" i="11"/>
  <c r="N51" i="11"/>
  <c r="O51" i="11"/>
  <c r="L51" i="11"/>
  <c r="P51" i="11"/>
  <c r="E52" i="11"/>
  <c r="C52" i="11"/>
  <c r="G52" i="11"/>
  <c r="D52" i="11"/>
  <c r="F52" i="11"/>
  <c r="H52" i="11"/>
  <c r="J52" i="11" s="1"/>
  <c r="I52" i="11"/>
  <c r="Q52" i="11"/>
  <c r="L52" i="11"/>
  <c r="K52" i="11"/>
  <c r="N52" i="11"/>
  <c r="O52" i="11"/>
  <c r="P52" i="11"/>
  <c r="E53" i="11"/>
  <c r="I53" i="11"/>
  <c r="H53" i="11"/>
  <c r="J53" i="11" s="1"/>
  <c r="F53" i="11"/>
  <c r="C53" i="11"/>
  <c r="D53" i="11"/>
  <c r="G53" i="11"/>
  <c r="P53" i="11"/>
  <c r="N53" i="11"/>
  <c r="O53" i="11"/>
  <c r="L53" i="11"/>
  <c r="Q53" i="11"/>
  <c r="K53" i="11"/>
  <c r="H54" i="11"/>
  <c r="J54" i="11" s="1"/>
  <c r="F54" i="11"/>
  <c r="C54" i="11"/>
  <c r="G54" i="11"/>
  <c r="E54" i="11"/>
  <c r="D54" i="11"/>
  <c r="I54" i="11"/>
  <c r="P54" i="11"/>
  <c r="Q54" i="11"/>
  <c r="K54" i="11"/>
  <c r="O54" i="11"/>
  <c r="L54" i="11"/>
  <c r="N54" i="11"/>
  <c r="D55" i="11"/>
  <c r="F55" i="11"/>
  <c r="C55" i="11"/>
  <c r="H55" i="11"/>
  <c r="J55" i="11" s="1"/>
  <c r="E55" i="11"/>
  <c r="I55" i="11"/>
  <c r="G55" i="11"/>
  <c r="O55" i="11"/>
  <c r="K55" i="11"/>
  <c r="Q55" i="11"/>
  <c r="P55" i="11"/>
  <c r="L55" i="11"/>
  <c r="N55" i="11"/>
  <c r="C56" i="11"/>
  <c r="I56" i="11"/>
  <c r="F56" i="11"/>
  <c r="H56" i="11"/>
  <c r="J56" i="11" s="1"/>
  <c r="Q56" i="11"/>
  <c r="N56" i="11"/>
  <c r="O56" i="11"/>
  <c r="K56" i="11"/>
  <c r="L56" i="11"/>
  <c r="P56" i="11"/>
  <c r="E57" i="11"/>
  <c r="G57" i="11"/>
  <c r="H57" i="11"/>
  <c r="J57" i="11" s="1"/>
  <c r="F57" i="11"/>
  <c r="C57" i="11"/>
  <c r="D57" i="11"/>
  <c r="I57" i="11"/>
  <c r="P57" i="11"/>
  <c r="K57" i="11"/>
  <c r="L57" i="11"/>
  <c r="N57" i="11"/>
  <c r="Q57" i="11"/>
  <c r="O57" i="11"/>
  <c r="C58" i="11"/>
  <c r="H58" i="11"/>
  <c r="J58" i="11" s="1"/>
  <c r="I58" i="11"/>
  <c r="D58" i="11"/>
  <c r="E58" i="11"/>
  <c r="G58" i="11"/>
  <c r="F58" i="11"/>
  <c r="N58" i="11"/>
  <c r="P58" i="11"/>
  <c r="Q58" i="11"/>
  <c r="K58" i="11"/>
  <c r="L58" i="11"/>
  <c r="O58" i="11"/>
  <c r="I59" i="11"/>
  <c r="F59" i="11"/>
  <c r="H59" i="11"/>
  <c r="J59" i="11" s="1"/>
  <c r="C59" i="11"/>
  <c r="K59" i="11"/>
  <c r="N59" i="11"/>
  <c r="P59" i="11"/>
  <c r="L59" i="11"/>
  <c r="O59" i="11"/>
  <c r="Q59" i="11"/>
  <c r="E60" i="11"/>
  <c r="D60" i="11"/>
  <c r="H60" i="11"/>
  <c r="J60" i="11" s="1"/>
  <c r="F60" i="11"/>
  <c r="C60" i="11"/>
  <c r="I60" i="11"/>
  <c r="G60" i="11"/>
  <c r="O60" i="11"/>
  <c r="K60" i="11"/>
  <c r="L60" i="11"/>
  <c r="Q60" i="11"/>
  <c r="N60" i="11"/>
  <c r="P60" i="11"/>
  <c r="H61" i="11"/>
  <c r="J61" i="11" s="1"/>
  <c r="C61" i="11"/>
  <c r="D61" i="11"/>
  <c r="E61" i="11"/>
  <c r="G61" i="11"/>
  <c r="F61" i="11"/>
  <c r="I61" i="11"/>
  <c r="Q61" i="11"/>
  <c r="P61" i="11"/>
  <c r="N61" i="11"/>
  <c r="L61" i="11"/>
  <c r="K61" i="11"/>
  <c r="M61" i="11" s="1"/>
  <c r="O61" i="11"/>
  <c r="H62" i="11"/>
  <c r="J62" i="11" s="1"/>
  <c r="C62" i="11"/>
  <c r="F62" i="11"/>
  <c r="I62" i="11"/>
  <c r="Q62" i="11"/>
  <c r="P62" i="11"/>
  <c r="L62" i="11"/>
  <c r="K62" i="11"/>
  <c r="M62" i="11" s="1"/>
  <c r="N62" i="11"/>
  <c r="O62" i="11"/>
  <c r="H63" i="11"/>
  <c r="J63" i="11" s="1"/>
  <c r="G63" i="11"/>
  <c r="F63" i="11"/>
  <c r="I63" i="11"/>
  <c r="E63" i="11"/>
  <c r="D63" i="11"/>
  <c r="C63" i="11"/>
  <c r="P63" i="11"/>
  <c r="Q63" i="11"/>
  <c r="O63" i="11"/>
  <c r="N63" i="11"/>
  <c r="L63" i="11"/>
  <c r="K63" i="11"/>
  <c r="I64" i="11"/>
  <c r="F64" i="11"/>
  <c r="H64" i="11"/>
  <c r="J64" i="11" s="1"/>
  <c r="P64" i="11"/>
  <c r="N64" i="11"/>
  <c r="K64" i="11"/>
  <c r="L64" i="11"/>
  <c r="O64" i="11"/>
  <c r="Q64" i="11"/>
  <c r="C65" i="11"/>
  <c r="I65" i="11"/>
  <c r="F65" i="11"/>
  <c r="H65" i="11"/>
  <c r="J65" i="11" s="1"/>
  <c r="D65" i="11"/>
  <c r="Q65" i="11"/>
  <c r="N65" i="11"/>
  <c r="O65" i="11"/>
  <c r="L65" i="11"/>
  <c r="K65" i="11"/>
  <c r="P65" i="11"/>
  <c r="C66" i="11"/>
  <c r="D66" i="11"/>
  <c r="F66" i="11"/>
  <c r="H66" i="11"/>
  <c r="J66" i="11" s="1"/>
  <c r="I66" i="11"/>
  <c r="E66" i="11"/>
  <c r="N66" i="11"/>
  <c r="Q66" i="11"/>
  <c r="P66" i="11"/>
  <c r="K66" i="11"/>
  <c r="L66" i="11"/>
  <c r="O66" i="11"/>
  <c r="G67" i="11"/>
  <c r="H67" i="11"/>
  <c r="J67" i="11" s="1"/>
  <c r="I67" i="11"/>
  <c r="F67" i="11"/>
  <c r="O67" i="11"/>
  <c r="P67" i="11"/>
  <c r="K67" i="11"/>
  <c r="Q67" i="11"/>
  <c r="N67" i="11"/>
  <c r="L67" i="11"/>
  <c r="C68" i="11"/>
  <c r="D68" i="11"/>
  <c r="F68" i="11"/>
  <c r="I68" i="11"/>
  <c r="G68" i="11"/>
  <c r="E68" i="11"/>
  <c r="H68" i="11"/>
  <c r="J68" i="11" s="1"/>
  <c r="L68" i="11"/>
  <c r="K68" i="11"/>
  <c r="O68" i="11"/>
  <c r="P68" i="11"/>
  <c r="N68" i="11"/>
  <c r="Q68" i="11"/>
  <c r="F69" i="11"/>
  <c r="H69" i="11"/>
  <c r="J69" i="11" s="1"/>
  <c r="E69" i="11"/>
  <c r="I69" i="11"/>
  <c r="D69" i="11"/>
  <c r="C69" i="11"/>
  <c r="N69" i="11"/>
  <c r="Q69" i="11"/>
  <c r="K69" i="11"/>
  <c r="L69" i="11"/>
  <c r="P69" i="11"/>
  <c r="O69" i="11"/>
  <c r="D70" i="11"/>
  <c r="F70" i="11"/>
  <c r="I70" i="11"/>
  <c r="E70" i="11"/>
  <c r="H70" i="11"/>
  <c r="J70" i="11" s="1"/>
  <c r="G70" i="11"/>
  <c r="C70" i="11"/>
  <c r="N70" i="11"/>
  <c r="Q70" i="11"/>
  <c r="O70" i="11"/>
  <c r="L70" i="11"/>
  <c r="K70" i="11"/>
  <c r="M70" i="11" s="1"/>
  <c r="P70" i="11"/>
  <c r="I71" i="11"/>
  <c r="D71" i="11"/>
  <c r="C71" i="11"/>
  <c r="E71" i="11"/>
  <c r="H71" i="11"/>
  <c r="J71" i="11" s="1"/>
  <c r="F71" i="11"/>
  <c r="O71" i="11"/>
  <c r="P71" i="11"/>
  <c r="Q71" i="11"/>
  <c r="L71" i="11"/>
  <c r="K71" i="11"/>
  <c r="M71" i="11" s="1"/>
  <c r="N71" i="11"/>
  <c r="G72" i="11"/>
  <c r="E72" i="11"/>
  <c r="H72" i="11"/>
  <c r="J72" i="11" s="1"/>
  <c r="D72" i="11"/>
  <c r="I72" i="11"/>
  <c r="C72" i="11"/>
  <c r="F72" i="11"/>
  <c r="L72" i="11"/>
  <c r="P72" i="11"/>
  <c r="O72" i="11"/>
  <c r="K72" i="11"/>
  <c r="M72" i="11" s="1"/>
  <c r="N72" i="11"/>
  <c r="Q72" i="11"/>
  <c r="E73" i="11"/>
  <c r="H73" i="11"/>
  <c r="J73" i="11" s="1"/>
  <c r="F73" i="11"/>
  <c r="I73" i="11"/>
  <c r="G73" i="11"/>
  <c r="D73" i="11"/>
  <c r="C73" i="11"/>
  <c r="P73" i="11"/>
  <c r="L73" i="11"/>
  <c r="N73" i="11"/>
  <c r="K73" i="11"/>
  <c r="M73" i="11" s="1"/>
  <c r="Q73" i="11"/>
  <c r="O73" i="11"/>
  <c r="F74" i="11"/>
  <c r="C74" i="11"/>
  <c r="I74" i="11"/>
  <c r="H74" i="11"/>
  <c r="J74" i="11" s="1"/>
  <c r="Q74" i="11"/>
  <c r="K74" i="11"/>
  <c r="M74" i="11" s="1"/>
  <c r="L74" i="11"/>
  <c r="N74" i="11"/>
  <c r="P74" i="11"/>
  <c r="O74" i="11"/>
  <c r="H75" i="11"/>
  <c r="J75" i="11" s="1"/>
  <c r="F75" i="11"/>
  <c r="E75" i="11"/>
  <c r="C75" i="11"/>
  <c r="D75" i="11"/>
  <c r="I75" i="11"/>
  <c r="O75" i="11"/>
  <c r="Q75" i="11"/>
  <c r="P75" i="11"/>
  <c r="K75" i="11"/>
  <c r="N75" i="11"/>
  <c r="L75" i="11"/>
  <c r="E76" i="11"/>
  <c r="F76" i="11"/>
  <c r="G76" i="11"/>
  <c r="H76" i="11"/>
  <c r="J76" i="11" s="1"/>
  <c r="D76" i="11"/>
  <c r="C76" i="11"/>
  <c r="I76" i="11"/>
  <c r="N76" i="11"/>
  <c r="P76" i="11"/>
  <c r="L76" i="11"/>
  <c r="O76" i="11"/>
  <c r="Q76" i="11"/>
  <c r="K76" i="11"/>
  <c r="E77" i="11"/>
  <c r="D77" i="11"/>
  <c r="H77" i="11"/>
  <c r="J77" i="11" s="1"/>
  <c r="F77" i="11"/>
  <c r="I77" i="11"/>
  <c r="C77" i="11"/>
  <c r="G77" i="11"/>
  <c r="N77" i="11"/>
  <c r="O77" i="11"/>
  <c r="P77" i="11"/>
  <c r="Q77" i="11"/>
  <c r="L77" i="11"/>
  <c r="K77" i="11"/>
  <c r="M77" i="11" s="1"/>
  <c r="F78" i="11"/>
  <c r="H78" i="11"/>
  <c r="J78" i="11" s="1"/>
  <c r="I78" i="11"/>
  <c r="C78" i="11"/>
  <c r="D78" i="11"/>
  <c r="L78" i="11"/>
  <c r="K78" i="11"/>
  <c r="O78" i="11"/>
  <c r="Q78" i="11"/>
  <c r="N78" i="11"/>
  <c r="P78" i="11"/>
  <c r="F79" i="11"/>
  <c r="D79" i="11"/>
  <c r="I79" i="11"/>
  <c r="C79" i="11"/>
  <c r="H79" i="11"/>
  <c r="J79" i="11" s="1"/>
  <c r="E79" i="11"/>
  <c r="O79" i="11"/>
  <c r="L79" i="11"/>
  <c r="Q79" i="11"/>
  <c r="K79" i="11"/>
  <c r="P79" i="11"/>
  <c r="N79" i="11"/>
  <c r="D80" i="11"/>
  <c r="E80" i="11"/>
  <c r="H80" i="11"/>
  <c r="J80" i="11" s="1"/>
  <c r="G80" i="11"/>
  <c r="F80" i="11"/>
  <c r="C80" i="11"/>
  <c r="I80" i="11"/>
  <c r="L80" i="11"/>
  <c r="K80" i="11"/>
  <c r="M80" i="11" s="1"/>
  <c r="P80" i="11"/>
  <c r="N80" i="11"/>
  <c r="Q80" i="11"/>
  <c r="O80" i="11"/>
  <c r="I81" i="11"/>
  <c r="H81" i="11"/>
  <c r="J81" i="11" s="1"/>
  <c r="F81" i="11"/>
  <c r="D81" i="11"/>
  <c r="G81" i="11"/>
  <c r="E81" i="11"/>
  <c r="C81" i="11"/>
  <c r="O81" i="11"/>
  <c r="Q81" i="11"/>
  <c r="N81" i="11"/>
  <c r="K81" i="11"/>
  <c r="M81" i="11" s="1"/>
  <c r="L81" i="11"/>
  <c r="P81" i="11"/>
  <c r="F82" i="11"/>
  <c r="H82" i="11"/>
  <c r="J82" i="11" s="1"/>
  <c r="I82" i="11"/>
  <c r="C82" i="11"/>
  <c r="N82" i="11"/>
  <c r="L82" i="11"/>
  <c r="P82" i="11"/>
  <c r="K82" i="11"/>
  <c r="M82" i="11" s="1"/>
  <c r="O82" i="11"/>
  <c r="Q82" i="11"/>
  <c r="E83" i="11"/>
  <c r="I83" i="11"/>
  <c r="C83" i="11"/>
  <c r="D83" i="11"/>
  <c r="G83" i="11"/>
  <c r="H83" i="11"/>
  <c r="J83" i="11" s="1"/>
  <c r="F83" i="11"/>
  <c r="L83" i="11"/>
  <c r="N83" i="11"/>
  <c r="K83" i="11"/>
  <c r="P83" i="11"/>
  <c r="Q83" i="11"/>
  <c r="O83" i="11"/>
  <c r="F84" i="11"/>
  <c r="I84" i="11"/>
  <c r="H84" i="11"/>
  <c r="J84" i="11" s="1"/>
  <c r="E84" i="11"/>
  <c r="G84" i="11"/>
  <c r="P84" i="11"/>
  <c r="O84" i="11"/>
  <c r="Q84" i="11"/>
  <c r="K84" i="11"/>
  <c r="L84" i="11"/>
  <c r="N84" i="11"/>
  <c r="C85" i="11"/>
  <c r="D85" i="11"/>
  <c r="H85" i="11"/>
  <c r="J85" i="11" s="1"/>
  <c r="I85" i="11"/>
  <c r="E85" i="11"/>
  <c r="F85" i="11"/>
  <c r="O85" i="11"/>
  <c r="Q85" i="11"/>
  <c r="N85" i="11"/>
  <c r="K85" i="11"/>
  <c r="L85" i="11"/>
  <c r="P85" i="11"/>
  <c r="C86" i="11"/>
  <c r="H86" i="11"/>
  <c r="J86" i="11" s="1"/>
  <c r="I86" i="11"/>
  <c r="D86" i="11"/>
  <c r="F86" i="11"/>
  <c r="O86" i="11"/>
  <c r="L86" i="11"/>
  <c r="K86" i="11"/>
  <c r="N86" i="11"/>
  <c r="Q86" i="11"/>
  <c r="P86" i="11"/>
  <c r="F87" i="11"/>
  <c r="C87" i="11"/>
  <c r="H87" i="11"/>
  <c r="J87" i="11" s="1"/>
  <c r="I87" i="11"/>
  <c r="Q87" i="11"/>
  <c r="O87" i="11"/>
  <c r="L87" i="11"/>
  <c r="P87" i="11"/>
  <c r="K87" i="11"/>
  <c r="M87" i="11" s="1"/>
  <c r="N87" i="11"/>
  <c r="F88" i="11"/>
  <c r="I88" i="11"/>
  <c r="H88" i="11"/>
  <c r="J88" i="11" s="1"/>
  <c r="Q88" i="11"/>
  <c r="N88" i="11"/>
  <c r="L88" i="11"/>
  <c r="P88" i="11"/>
  <c r="K88" i="11"/>
  <c r="M88" i="11" s="1"/>
  <c r="O88" i="11"/>
  <c r="F89" i="11"/>
  <c r="G89" i="11"/>
  <c r="I89" i="11"/>
  <c r="E89" i="11"/>
  <c r="D89" i="11"/>
  <c r="C89" i="11"/>
  <c r="H89" i="11"/>
  <c r="J89" i="11" s="1"/>
  <c r="N89" i="11"/>
  <c r="P89" i="11"/>
  <c r="K89" i="11"/>
  <c r="O89" i="11"/>
  <c r="L89" i="11"/>
  <c r="Q89" i="11"/>
  <c r="E90" i="11"/>
  <c r="D90" i="11"/>
  <c r="G90" i="11"/>
  <c r="F90" i="11"/>
  <c r="H90" i="11"/>
  <c r="J90" i="11" s="1"/>
  <c r="I90" i="11"/>
  <c r="C90" i="11"/>
  <c r="N90" i="11"/>
  <c r="L90" i="11"/>
  <c r="O90" i="11"/>
  <c r="P90" i="11"/>
  <c r="K90" i="11"/>
  <c r="M90" i="11" s="1"/>
  <c r="Q90" i="11"/>
  <c r="I91" i="11"/>
  <c r="E91" i="11"/>
  <c r="C91" i="11"/>
  <c r="F91" i="11"/>
  <c r="H91" i="11"/>
  <c r="J91" i="11" s="1"/>
  <c r="G91" i="11"/>
  <c r="D91" i="11"/>
  <c r="P91" i="11"/>
  <c r="K91" i="11"/>
  <c r="L91" i="11"/>
  <c r="Q91" i="11"/>
  <c r="O91" i="11"/>
  <c r="N91" i="11"/>
  <c r="F92" i="11"/>
  <c r="E92" i="11"/>
  <c r="I92" i="11"/>
  <c r="D92" i="11"/>
  <c r="C92" i="11"/>
  <c r="H92" i="11"/>
  <c r="J92" i="11" s="1"/>
  <c r="P92" i="11"/>
  <c r="K92" i="11"/>
  <c r="Q92" i="11"/>
  <c r="N92" i="11"/>
  <c r="L92" i="11"/>
  <c r="O92" i="11"/>
  <c r="D93" i="11"/>
  <c r="H93" i="11"/>
  <c r="J93" i="11" s="1"/>
  <c r="E93" i="11"/>
  <c r="F93" i="11"/>
  <c r="G93" i="11"/>
  <c r="C93" i="11"/>
  <c r="I93" i="11"/>
  <c r="N93" i="11"/>
  <c r="O93" i="11"/>
  <c r="L93" i="11"/>
  <c r="Q93" i="11"/>
  <c r="P93" i="11"/>
  <c r="K93" i="11"/>
  <c r="M93" i="11" s="1"/>
  <c r="G94" i="11"/>
  <c r="I94" i="11"/>
  <c r="H94" i="11"/>
  <c r="J94" i="11" s="1"/>
  <c r="E94" i="11"/>
  <c r="F94" i="11"/>
  <c r="C94" i="11"/>
  <c r="D94" i="11"/>
  <c r="N94" i="11"/>
  <c r="Q94" i="11"/>
  <c r="L94" i="11"/>
  <c r="P94" i="11"/>
  <c r="O94" i="11"/>
  <c r="K94" i="11"/>
  <c r="M94" i="11" s="1"/>
  <c r="I95" i="11"/>
  <c r="E95" i="11"/>
  <c r="H95" i="11"/>
  <c r="J95" i="11" s="1"/>
  <c r="D95" i="11"/>
  <c r="C95" i="11"/>
  <c r="F95" i="11"/>
  <c r="G95" i="11"/>
  <c r="Q95" i="11"/>
  <c r="O95" i="11"/>
  <c r="L95" i="11"/>
  <c r="P95" i="11"/>
  <c r="N95" i="11"/>
  <c r="K95" i="11"/>
  <c r="H96" i="11"/>
  <c r="J96" i="11" s="1"/>
  <c r="E96" i="11"/>
  <c r="F96" i="11"/>
  <c r="I96" i="11"/>
  <c r="D96" i="11"/>
  <c r="C96" i="11"/>
  <c r="G96" i="11"/>
  <c r="L96" i="11"/>
  <c r="P96" i="11"/>
  <c r="O96" i="11"/>
  <c r="Q96" i="11"/>
  <c r="K96" i="11"/>
  <c r="N96" i="11"/>
  <c r="E97" i="11"/>
  <c r="C97" i="11"/>
  <c r="G97" i="11"/>
  <c r="I97" i="11"/>
  <c r="D97" i="11"/>
  <c r="F97" i="11"/>
  <c r="H97" i="11"/>
  <c r="J97" i="11" s="1"/>
  <c r="N97" i="11"/>
  <c r="P97" i="11"/>
  <c r="O97" i="11"/>
  <c r="L97" i="11"/>
  <c r="Q97" i="11"/>
  <c r="K97" i="11"/>
  <c r="M97" i="11" s="1"/>
  <c r="I98" i="11"/>
  <c r="F98" i="11"/>
  <c r="H98" i="11"/>
  <c r="J98" i="11" s="1"/>
  <c r="C98" i="11"/>
  <c r="L98" i="11"/>
  <c r="Q98" i="11"/>
  <c r="P98" i="11"/>
  <c r="O98" i="11"/>
  <c r="N98" i="11"/>
  <c r="K98" i="11"/>
  <c r="M98" i="11" s="1"/>
  <c r="E99" i="11"/>
  <c r="C99" i="11"/>
  <c r="I99" i="11"/>
  <c r="G99" i="11"/>
  <c r="F99" i="11"/>
  <c r="H99" i="11"/>
  <c r="J99" i="11" s="1"/>
  <c r="D99" i="11"/>
  <c r="K99" i="11"/>
  <c r="N99" i="11"/>
  <c r="Q99" i="11"/>
  <c r="P99" i="11"/>
  <c r="O99" i="11"/>
  <c r="L99" i="11"/>
  <c r="D100" i="11"/>
  <c r="C100" i="11"/>
  <c r="E100" i="11"/>
  <c r="H100" i="11"/>
  <c r="J100" i="11" s="1"/>
  <c r="G100" i="11"/>
  <c r="F100" i="11"/>
  <c r="I100" i="11"/>
  <c r="O100" i="11"/>
  <c r="N100" i="11"/>
  <c r="L100" i="11"/>
  <c r="P100" i="11"/>
  <c r="K100" i="11"/>
  <c r="M100" i="11" s="1"/>
  <c r="Q100" i="11"/>
  <c r="I101" i="11"/>
  <c r="D101" i="11"/>
  <c r="C101" i="11"/>
  <c r="H101" i="11"/>
  <c r="J101" i="11" s="1"/>
  <c r="E101" i="11"/>
  <c r="G101" i="11"/>
  <c r="F101" i="11"/>
  <c r="P101" i="11"/>
  <c r="K101" i="11"/>
  <c r="L101" i="11"/>
  <c r="O101" i="11"/>
  <c r="N101" i="11"/>
  <c r="Q101" i="11"/>
  <c r="C102" i="11"/>
  <c r="D102" i="11"/>
  <c r="H102" i="11"/>
  <c r="J102" i="11" s="1"/>
  <c r="F102" i="11"/>
  <c r="E102" i="11"/>
  <c r="I102" i="11"/>
  <c r="Q102" i="11"/>
  <c r="L102" i="11"/>
  <c r="N102" i="11"/>
  <c r="O102" i="11"/>
  <c r="P102" i="11"/>
  <c r="K102" i="11"/>
  <c r="M102" i="11" s="1"/>
  <c r="C103" i="11"/>
  <c r="G103" i="11"/>
  <c r="D103" i="11"/>
  <c r="H103" i="11"/>
  <c r="J103" i="11" s="1"/>
  <c r="F103" i="11"/>
  <c r="E103" i="11"/>
  <c r="I103" i="11"/>
  <c r="Q103" i="11"/>
  <c r="L103" i="11"/>
  <c r="O103" i="11"/>
  <c r="N103" i="11"/>
  <c r="K103" i="11"/>
  <c r="M103" i="11" s="1"/>
  <c r="P103" i="11"/>
  <c r="I104" i="11"/>
  <c r="G104" i="11"/>
  <c r="C104" i="11"/>
  <c r="H104" i="11"/>
  <c r="J104" i="11" s="1"/>
  <c r="F104" i="11"/>
  <c r="E104" i="11"/>
  <c r="D104" i="11"/>
  <c r="K104" i="11"/>
  <c r="L104" i="11"/>
  <c r="P104" i="11"/>
  <c r="N104" i="11"/>
  <c r="O104" i="11"/>
  <c r="Q104" i="11"/>
  <c r="E105" i="11"/>
  <c r="F105" i="11"/>
  <c r="D105" i="11"/>
  <c r="H105" i="11"/>
  <c r="J105" i="11" s="1"/>
  <c r="C105" i="11"/>
  <c r="I105" i="11"/>
  <c r="G105" i="11"/>
  <c r="K105" i="11"/>
  <c r="N105" i="11"/>
  <c r="L105" i="11"/>
  <c r="P105" i="11"/>
  <c r="O105" i="11"/>
  <c r="Q105" i="11"/>
  <c r="C106" i="11"/>
  <c r="H106" i="11"/>
  <c r="J106" i="11" s="1"/>
  <c r="F106" i="11"/>
  <c r="I106" i="11"/>
  <c r="D106" i="11"/>
  <c r="G106" i="11"/>
  <c r="E106" i="11"/>
  <c r="K106" i="11"/>
  <c r="N106" i="11"/>
  <c r="O106" i="11"/>
  <c r="L106" i="11"/>
  <c r="P106" i="11"/>
  <c r="Q106" i="11"/>
  <c r="I107" i="11"/>
  <c r="G107" i="11"/>
  <c r="H107" i="11"/>
  <c r="J107" i="11" s="1"/>
  <c r="E107" i="11"/>
  <c r="F107" i="11"/>
  <c r="C107" i="11"/>
  <c r="D107" i="11"/>
  <c r="Q107" i="11"/>
  <c r="L107" i="11"/>
  <c r="N107" i="11"/>
  <c r="O107" i="11"/>
  <c r="K107" i="11"/>
  <c r="M107" i="11" s="1"/>
  <c r="P107" i="11"/>
  <c r="I108" i="11"/>
  <c r="G108" i="11"/>
  <c r="E108" i="11"/>
  <c r="D108" i="11"/>
  <c r="H108" i="11"/>
  <c r="J108" i="11" s="1"/>
  <c r="C108" i="11"/>
  <c r="F108" i="11"/>
  <c r="K108" i="11"/>
  <c r="P108" i="11"/>
  <c r="O108" i="11"/>
  <c r="Q108" i="11"/>
  <c r="L108" i="11"/>
  <c r="N108" i="11"/>
  <c r="I109" i="11"/>
  <c r="F109" i="11"/>
  <c r="G109" i="11"/>
  <c r="H109" i="11"/>
  <c r="J109" i="11" s="1"/>
  <c r="C109" i="11"/>
  <c r="D109" i="11"/>
  <c r="E109" i="11"/>
  <c r="O109" i="11"/>
  <c r="P109" i="11"/>
  <c r="L109" i="11"/>
  <c r="Q109" i="11"/>
  <c r="K109" i="11"/>
  <c r="M109" i="11" s="1"/>
  <c r="N109" i="11"/>
  <c r="D110" i="11"/>
  <c r="G110" i="11"/>
  <c r="F110" i="11"/>
  <c r="H110" i="11"/>
  <c r="J110" i="11" s="1"/>
  <c r="C110" i="11"/>
  <c r="E110" i="11"/>
  <c r="I110" i="11"/>
  <c r="L110" i="11"/>
  <c r="K110" i="11"/>
  <c r="M110" i="11" s="1"/>
  <c r="P110" i="11"/>
  <c r="N110" i="11"/>
  <c r="O110" i="11"/>
  <c r="Q110" i="11"/>
  <c r="C111" i="11"/>
  <c r="H111" i="11"/>
  <c r="J111" i="11" s="1"/>
  <c r="I111" i="11"/>
  <c r="F111" i="11"/>
  <c r="Q111" i="11"/>
  <c r="N111" i="11"/>
  <c r="O111" i="11"/>
  <c r="L111" i="11"/>
  <c r="P111" i="11"/>
  <c r="K111" i="11"/>
  <c r="M111" i="11" s="1"/>
  <c r="G112" i="11"/>
  <c r="H112" i="11"/>
  <c r="J112" i="11" s="1"/>
  <c r="C112" i="11"/>
  <c r="I112" i="11"/>
  <c r="D112" i="11"/>
  <c r="F112" i="11"/>
  <c r="E112" i="11"/>
  <c r="O112" i="11"/>
  <c r="Q112" i="11"/>
  <c r="P112" i="11"/>
  <c r="L112" i="11"/>
  <c r="K112" i="11"/>
  <c r="N112" i="11"/>
  <c r="F113" i="11"/>
  <c r="E113" i="11"/>
  <c r="C113" i="11"/>
  <c r="I113" i="11"/>
  <c r="H113" i="11"/>
  <c r="J113" i="11" s="1"/>
  <c r="G113" i="11"/>
  <c r="D113" i="11"/>
  <c r="N113" i="11"/>
  <c r="Q113" i="11"/>
  <c r="K113" i="11"/>
  <c r="L113" i="11"/>
  <c r="O113" i="11"/>
  <c r="P113" i="11"/>
  <c r="C114" i="11"/>
  <c r="I114" i="11"/>
  <c r="E114" i="11"/>
  <c r="G114" i="11"/>
  <c r="D114" i="11"/>
  <c r="H114" i="11"/>
  <c r="J114" i="11" s="1"/>
  <c r="F114" i="11"/>
  <c r="N114" i="11"/>
  <c r="P114" i="11"/>
  <c r="L114" i="11"/>
  <c r="O114" i="11"/>
  <c r="Q114" i="11"/>
  <c r="K114" i="11"/>
  <c r="M114" i="11" s="1"/>
  <c r="I115" i="11"/>
  <c r="F115" i="11"/>
  <c r="E115" i="11"/>
  <c r="C115" i="11"/>
  <c r="D115" i="11"/>
  <c r="H115" i="11"/>
  <c r="J115" i="11" s="1"/>
  <c r="G115" i="11"/>
  <c r="L115" i="11"/>
  <c r="Q115" i="11"/>
  <c r="O115" i="11"/>
  <c r="P115" i="11"/>
  <c r="N115" i="11"/>
  <c r="K115" i="11"/>
  <c r="D116" i="11"/>
  <c r="E116" i="11"/>
  <c r="H116" i="11"/>
  <c r="J116" i="11" s="1"/>
  <c r="C116" i="11"/>
  <c r="I116" i="11"/>
  <c r="F116" i="11"/>
  <c r="G116" i="11"/>
  <c r="N116" i="11"/>
  <c r="O116" i="11"/>
  <c r="P116" i="11"/>
  <c r="Q116" i="11"/>
  <c r="L116" i="11"/>
  <c r="K116" i="11"/>
  <c r="M116" i="11" s="1"/>
  <c r="I117" i="11"/>
  <c r="H117" i="11"/>
  <c r="J117" i="11" s="1"/>
  <c r="D117" i="11"/>
  <c r="F117" i="11"/>
  <c r="C117" i="11"/>
  <c r="N117" i="11"/>
  <c r="P117" i="11"/>
  <c r="Q117" i="11"/>
  <c r="K117" i="11"/>
  <c r="O117" i="11"/>
  <c r="L117" i="11"/>
  <c r="E118" i="11"/>
  <c r="C118" i="11"/>
  <c r="I118" i="11"/>
  <c r="D118" i="11"/>
  <c r="F118" i="11"/>
  <c r="G118" i="11"/>
  <c r="H118" i="11"/>
  <c r="J118" i="11" s="1"/>
  <c r="Q118" i="11"/>
  <c r="P118" i="11"/>
  <c r="O118" i="11"/>
  <c r="K118" i="11"/>
  <c r="N118" i="11"/>
  <c r="L118" i="11"/>
  <c r="E119" i="11"/>
  <c r="C119" i="11"/>
  <c r="D119" i="11"/>
  <c r="I119" i="11"/>
  <c r="H119" i="11"/>
  <c r="J119" i="11" s="1"/>
  <c r="F119" i="11"/>
  <c r="N119" i="11"/>
  <c r="K119" i="11"/>
  <c r="Q119" i="11"/>
  <c r="P119" i="11"/>
  <c r="O119" i="11"/>
  <c r="L119" i="11"/>
  <c r="F120" i="11"/>
  <c r="C120" i="11"/>
  <c r="H120" i="11"/>
  <c r="J120" i="11" s="1"/>
  <c r="E120" i="11"/>
  <c r="G120" i="11"/>
  <c r="I120" i="11"/>
  <c r="D120" i="11"/>
  <c r="K120" i="11"/>
  <c r="Q120" i="11"/>
  <c r="N120" i="11"/>
  <c r="O120" i="11"/>
  <c r="P120" i="11"/>
  <c r="L120" i="11"/>
  <c r="D121" i="11"/>
  <c r="F121" i="11"/>
  <c r="G121" i="11"/>
  <c r="H121" i="11"/>
  <c r="J121" i="11" s="1"/>
  <c r="I121" i="11"/>
  <c r="C121" i="11"/>
  <c r="E121" i="11"/>
  <c r="L121" i="11"/>
  <c r="O121" i="11"/>
  <c r="N121" i="11"/>
  <c r="P121" i="11"/>
  <c r="Q121" i="11"/>
  <c r="K121" i="11"/>
  <c r="M121" i="11" s="1"/>
  <c r="H122" i="11"/>
  <c r="J122" i="11" s="1"/>
  <c r="D122" i="11"/>
  <c r="E122" i="11"/>
  <c r="G122" i="11"/>
  <c r="I122" i="11"/>
  <c r="C122" i="11"/>
  <c r="F122" i="11"/>
  <c r="L122" i="11"/>
  <c r="K122" i="11"/>
  <c r="M122" i="11" s="1"/>
  <c r="O122" i="11"/>
  <c r="N122" i="11"/>
  <c r="Q122" i="11"/>
  <c r="P122" i="11"/>
  <c r="F123" i="11"/>
  <c r="D123" i="11"/>
  <c r="I123" i="11"/>
  <c r="G123" i="11"/>
  <c r="E123" i="11"/>
  <c r="C123" i="11"/>
  <c r="H123" i="11"/>
  <c r="J123" i="11" s="1"/>
  <c r="K123" i="11"/>
  <c r="N123" i="11"/>
  <c r="O123" i="11"/>
  <c r="Q123" i="11"/>
  <c r="L123" i="11"/>
  <c r="P123" i="11"/>
  <c r="I124" i="11"/>
  <c r="C124" i="11"/>
  <c r="F124" i="11"/>
  <c r="H124" i="11"/>
  <c r="J124" i="11" s="1"/>
  <c r="L124" i="11"/>
  <c r="K124" i="11"/>
  <c r="M124" i="11" s="1"/>
  <c r="O124" i="11"/>
  <c r="N124" i="11"/>
  <c r="P124" i="11"/>
  <c r="Q124" i="11"/>
  <c r="F125" i="11"/>
  <c r="I125" i="11"/>
  <c r="G125" i="11"/>
  <c r="E125" i="11"/>
  <c r="H125" i="11"/>
  <c r="J125" i="11" s="1"/>
  <c r="C125" i="11"/>
  <c r="D125" i="11"/>
  <c r="P125" i="11"/>
  <c r="Q125" i="11"/>
  <c r="O125" i="11"/>
  <c r="N125" i="11"/>
  <c r="L125" i="11"/>
  <c r="K125" i="11"/>
  <c r="I126" i="11"/>
  <c r="D126" i="11"/>
  <c r="C126" i="11"/>
  <c r="E126" i="11"/>
  <c r="F126" i="11"/>
  <c r="G126" i="11"/>
  <c r="H126" i="11"/>
  <c r="J126" i="11" s="1"/>
  <c r="N126" i="11"/>
  <c r="Q126" i="11"/>
  <c r="P126" i="11"/>
  <c r="O126" i="11"/>
  <c r="K126" i="11"/>
  <c r="L126" i="11"/>
  <c r="C127" i="11"/>
  <c r="I127" i="11"/>
  <c r="D127" i="11"/>
  <c r="H127" i="11"/>
  <c r="J127" i="11" s="1"/>
  <c r="F127" i="11"/>
  <c r="L127" i="11"/>
  <c r="N127" i="11"/>
  <c r="K127" i="11"/>
  <c r="M127" i="11" s="1"/>
  <c r="O127" i="11"/>
  <c r="Q127" i="11"/>
  <c r="P127" i="11"/>
  <c r="E128" i="11"/>
  <c r="F128" i="11"/>
  <c r="I128" i="11"/>
  <c r="D128" i="11"/>
  <c r="C128" i="11"/>
  <c r="G128" i="11"/>
  <c r="H128" i="11"/>
  <c r="J128" i="11" s="1"/>
  <c r="L128" i="11"/>
  <c r="P128" i="11"/>
  <c r="K128" i="11"/>
  <c r="M128" i="11" s="1"/>
  <c r="N128" i="11"/>
  <c r="Q128" i="11"/>
  <c r="O128" i="11"/>
  <c r="F129" i="11"/>
  <c r="H129" i="11"/>
  <c r="J129" i="11" s="1"/>
  <c r="C129" i="11"/>
  <c r="I129" i="11"/>
  <c r="E129" i="11"/>
  <c r="G129" i="11"/>
  <c r="D129" i="11"/>
  <c r="L129" i="11"/>
  <c r="O129" i="11"/>
  <c r="P129" i="11"/>
  <c r="K129" i="11"/>
  <c r="M129" i="11" s="1"/>
  <c r="N129" i="11"/>
  <c r="Q129" i="11"/>
  <c r="H130" i="11"/>
  <c r="J130" i="11" s="1"/>
  <c r="F130" i="11"/>
  <c r="I130" i="11"/>
  <c r="E130" i="11"/>
  <c r="C130" i="11"/>
  <c r="Q130" i="11"/>
  <c r="K130" i="11"/>
  <c r="N130" i="11"/>
  <c r="L130" i="11"/>
  <c r="P130" i="11"/>
  <c r="O130" i="11"/>
  <c r="E131" i="11"/>
  <c r="G131" i="11"/>
  <c r="C131" i="11"/>
  <c r="I131" i="11"/>
  <c r="F131" i="11"/>
  <c r="D131" i="11"/>
  <c r="H131" i="11"/>
  <c r="J131" i="11" s="1"/>
  <c r="L131" i="11"/>
  <c r="P131" i="11"/>
  <c r="N131" i="11"/>
  <c r="K131" i="11"/>
  <c r="M131" i="11" s="1"/>
  <c r="Q131" i="11"/>
  <c r="O131" i="11"/>
  <c r="C132" i="11"/>
  <c r="H132" i="11"/>
  <c r="J132" i="11" s="1"/>
  <c r="I132" i="11"/>
  <c r="F132" i="11"/>
  <c r="N132" i="11"/>
  <c r="K132" i="11"/>
  <c r="P132" i="11"/>
  <c r="O132" i="11"/>
  <c r="Q132" i="11"/>
  <c r="L132" i="11"/>
  <c r="H133" i="11"/>
  <c r="J133" i="11" s="1"/>
  <c r="F133" i="11"/>
  <c r="C133" i="11"/>
  <c r="I133" i="11"/>
  <c r="D133" i="11"/>
  <c r="P133" i="11"/>
  <c r="K133" i="11"/>
  <c r="L133" i="11"/>
  <c r="N133" i="11"/>
  <c r="O133" i="11"/>
  <c r="Q133" i="11"/>
  <c r="C134" i="11"/>
  <c r="F134" i="11"/>
  <c r="D134" i="11"/>
  <c r="H134" i="11"/>
  <c r="J134" i="11" s="1"/>
  <c r="I134" i="11"/>
  <c r="Q134" i="11"/>
  <c r="P134" i="11"/>
  <c r="K134" i="11"/>
  <c r="O134" i="11"/>
  <c r="N134" i="11"/>
  <c r="L134" i="11"/>
  <c r="I135" i="11"/>
  <c r="G135" i="11"/>
  <c r="H135" i="11"/>
  <c r="J135" i="11" s="1"/>
  <c r="F135" i="11"/>
  <c r="E135" i="11"/>
  <c r="C135" i="11"/>
  <c r="D135" i="11"/>
  <c r="P135" i="11"/>
  <c r="O135" i="11"/>
  <c r="N135" i="11"/>
  <c r="K135" i="11"/>
  <c r="L135" i="11"/>
  <c r="Q135" i="11"/>
  <c r="I136" i="11"/>
  <c r="F136" i="11"/>
  <c r="H136" i="11"/>
  <c r="J136" i="11" s="1"/>
  <c r="N136" i="11"/>
  <c r="Q136" i="11"/>
  <c r="P136" i="11"/>
  <c r="L136" i="11"/>
  <c r="K136" i="11"/>
  <c r="M136" i="11" s="1"/>
  <c r="O136" i="11"/>
  <c r="I137" i="11"/>
  <c r="D137" i="11"/>
  <c r="E137" i="11"/>
  <c r="G137" i="11"/>
  <c r="H137" i="11"/>
  <c r="J137" i="11" s="1"/>
  <c r="F137" i="11"/>
  <c r="C137" i="11"/>
  <c r="L137" i="11"/>
  <c r="P137" i="11"/>
  <c r="K137" i="11"/>
  <c r="M137" i="11" s="1"/>
  <c r="O137" i="11"/>
  <c r="Q137" i="11"/>
  <c r="N137" i="11"/>
  <c r="I138" i="11"/>
  <c r="F138" i="11"/>
  <c r="H138" i="11"/>
  <c r="J138" i="11" s="1"/>
  <c r="L138" i="11"/>
  <c r="O138" i="11"/>
  <c r="N138" i="11"/>
  <c r="P138" i="11"/>
  <c r="Q138" i="11"/>
  <c r="K138" i="11"/>
  <c r="M138" i="11" s="1"/>
  <c r="I139" i="11"/>
  <c r="H139" i="11"/>
  <c r="J139" i="11" s="1"/>
  <c r="F139" i="11"/>
  <c r="P139" i="11"/>
  <c r="N139" i="11"/>
  <c r="O139" i="11"/>
  <c r="Q139" i="11"/>
  <c r="L139" i="11"/>
  <c r="K139" i="11"/>
  <c r="M139" i="11" s="1"/>
  <c r="F140" i="11"/>
  <c r="H140" i="11"/>
  <c r="J140" i="11" s="1"/>
  <c r="I140" i="11"/>
  <c r="O140" i="11"/>
  <c r="K140" i="11"/>
  <c r="Q140" i="11"/>
  <c r="L140" i="11"/>
  <c r="P140" i="11"/>
  <c r="N140" i="11"/>
  <c r="I141" i="11"/>
  <c r="G141" i="11"/>
  <c r="C141" i="11"/>
  <c r="E141" i="11"/>
  <c r="D141" i="11"/>
  <c r="H141" i="11"/>
  <c r="J141" i="11" s="1"/>
  <c r="F141" i="11"/>
  <c r="O141" i="11"/>
  <c r="Q141" i="11"/>
  <c r="N141" i="11"/>
  <c r="P141" i="11"/>
  <c r="L141" i="11"/>
  <c r="K141" i="11"/>
  <c r="M141" i="11" s="1"/>
  <c r="I142" i="11"/>
  <c r="H142" i="11"/>
  <c r="J142" i="11" s="1"/>
  <c r="C142" i="11"/>
  <c r="F142" i="11"/>
  <c r="N142" i="11"/>
  <c r="Q142" i="11"/>
  <c r="P142" i="11"/>
  <c r="O142" i="11"/>
  <c r="K142" i="11"/>
  <c r="L142" i="11"/>
  <c r="C143" i="11"/>
  <c r="G143" i="11"/>
  <c r="I143" i="11"/>
  <c r="F143" i="11"/>
  <c r="D143" i="11"/>
  <c r="H143" i="11"/>
  <c r="J143" i="11" s="1"/>
  <c r="E143" i="11"/>
  <c r="O143" i="11"/>
  <c r="P143" i="11"/>
  <c r="N143" i="11"/>
  <c r="L143" i="11"/>
  <c r="Q143" i="11"/>
  <c r="K143" i="11"/>
  <c r="M143" i="11" s="1"/>
  <c r="F144" i="11"/>
  <c r="C144" i="11"/>
  <c r="I144" i="11"/>
  <c r="H144" i="11"/>
  <c r="J144" i="11" s="1"/>
  <c r="K144" i="11"/>
  <c r="O144" i="11"/>
  <c r="Q144" i="11"/>
  <c r="L144" i="11"/>
  <c r="P144" i="11"/>
  <c r="N144" i="11"/>
  <c r="C145" i="11"/>
  <c r="I145" i="11"/>
  <c r="H145" i="11"/>
  <c r="J145" i="11" s="1"/>
  <c r="F145" i="11"/>
  <c r="N145" i="11"/>
  <c r="Q145" i="11"/>
  <c r="O145" i="11"/>
  <c r="P145" i="11"/>
  <c r="K145" i="11"/>
  <c r="L145" i="11"/>
  <c r="F146" i="11"/>
  <c r="H146" i="11"/>
  <c r="J146" i="11" s="1"/>
  <c r="I146" i="11"/>
  <c r="C146" i="11"/>
  <c r="K146" i="11"/>
  <c r="O146" i="11"/>
  <c r="N146" i="11"/>
  <c r="Q146" i="11"/>
  <c r="P146" i="11"/>
  <c r="L146" i="11"/>
  <c r="C147" i="11"/>
  <c r="H147" i="11"/>
  <c r="J147" i="11" s="1"/>
  <c r="G147" i="11"/>
  <c r="D147" i="11"/>
  <c r="I147" i="11"/>
  <c r="E147" i="11"/>
  <c r="F147" i="11"/>
  <c r="K147" i="11"/>
  <c r="Q147" i="11"/>
  <c r="P147" i="11"/>
  <c r="L147" i="11"/>
  <c r="N147" i="11"/>
  <c r="O147" i="11"/>
  <c r="C148" i="11"/>
  <c r="H148" i="11"/>
  <c r="J148" i="11" s="1"/>
  <c r="I148" i="11"/>
  <c r="F148" i="11"/>
  <c r="D148" i="11"/>
  <c r="O148" i="11"/>
  <c r="N148" i="11"/>
  <c r="Q148" i="11"/>
  <c r="K148" i="11"/>
  <c r="L148" i="11"/>
  <c r="P148" i="11"/>
  <c r="F149" i="11"/>
  <c r="E149" i="11"/>
  <c r="G149" i="11"/>
  <c r="I149" i="11"/>
  <c r="H149" i="11"/>
  <c r="J149" i="11" s="1"/>
  <c r="P149" i="11"/>
  <c r="K149" i="11"/>
  <c r="L149" i="11"/>
  <c r="O149" i="11"/>
  <c r="Q149" i="11"/>
  <c r="N149" i="11"/>
  <c r="C150" i="11"/>
  <c r="F150" i="11"/>
  <c r="D150" i="11"/>
  <c r="I150" i="11"/>
  <c r="H150" i="11"/>
  <c r="J150" i="11" s="1"/>
  <c r="P150" i="11"/>
  <c r="Q150" i="11"/>
  <c r="L150" i="11"/>
  <c r="K150" i="11"/>
  <c r="M150" i="11" s="1"/>
  <c r="N150" i="11"/>
  <c r="O150" i="11"/>
  <c r="F151" i="11"/>
  <c r="H151" i="11"/>
  <c r="J151" i="11" s="1"/>
  <c r="I151" i="11"/>
  <c r="O151" i="11"/>
  <c r="N151" i="11"/>
  <c r="Q151" i="11"/>
  <c r="P151" i="11"/>
  <c r="K151" i="11"/>
  <c r="L151" i="11"/>
  <c r="C152" i="11"/>
  <c r="F152" i="11"/>
  <c r="H152" i="11"/>
  <c r="J152" i="11" s="1"/>
  <c r="I152" i="11"/>
  <c r="O152" i="11"/>
  <c r="N152" i="11"/>
  <c r="P152" i="11"/>
  <c r="K152" i="11"/>
  <c r="L152" i="11"/>
  <c r="Q152" i="11"/>
  <c r="C153" i="11"/>
  <c r="F153" i="11"/>
  <c r="D153" i="11"/>
  <c r="E153" i="11"/>
  <c r="H153" i="11"/>
  <c r="J153" i="11" s="1"/>
  <c r="G153" i="11"/>
  <c r="I153" i="11"/>
  <c r="L153" i="11"/>
  <c r="O153" i="11"/>
  <c r="N153" i="11"/>
  <c r="K153" i="11"/>
  <c r="P153" i="11"/>
  <c r="Q153" i="11"/>
  <c r="H154" i="11"/>
  <c r="J154" i="11" s="1"/>
  <c r="I154" i="11"/>
  <c r="F154" i="11"/>
  <c r="Q154" i="11"/>
  <c r="L154" i="11"/>
  <c r="K154" i="11"/>
  <c r="M154" i="11" s="1"/>
  <c r="P154" i="11"/>
  <c r="O154" i="11"/>
  <c r="N154" i="11"/>
  <c r="C155" i="11"/>
  <c r="I155" i="11"/>
  <c r="D155" i="11"/>
  <c r="F155" i="11"/>
  <c r="H155" i="11"/>
  <c r="J155" i="11" s="1"/>
  <c r="N155" i="11"/>
  <c r="K155" i="11"/>
  <c r="O155" i="11"/>
  <c r="L155" i="11"/>
  <c r="Q155" i="11"/>
  <c r="P155" i="11"/>
  <c r="E156" i="11"/>
  <c r="H156" i="11"/>
  <c r="J156" i="11" s="1"/>
  <c r="F156" i="11"/>
  <c r="I156" i="11"/>
  <c r="D156" i="11"/>
  <c r="C156" i="11"/>
  <c r="N156" i="11"/>
  <c r="K156" i="11"/>
  <c r="M156" i="11" s="1"/>
  <c r="L156" i="11"/>
  <c r="Q156" i="11"/>
  <c r="P156" i="11"/>
  <c r="O156" i="11"/>
  <c r="I157" i="11"/>
  <c r="H157" i="11"/>
  <c r="J157" i="11" s="1"/>
  <c r="F157" i="11"/>
  <c r="Q157" i="11"/>
  <c r="O157" i="11"/>
  <c r="K157" i="11"/>
  <c r="L157" i="11"/>
  <c r="N157" i="11"/>
  <c r="P157" i="11"/>
  <c r="C158" i="11"/>
  <c r="E158" i="11"/>
  <c r="H158" i="11"/>
  <c r="J158" i="11" s="1"/>
  <c r="G158" i="11"/>
  <c r="D158" i="11"/>
  <c r="I158" i="11"/>
  <c r="F158" i="11"/>
  <c r="K158" i="11"/>
  <c r="Q158" i="11"/>
  <c r="O158" i="11"/>
  <c r="N158" i="11"/>
  <c r="L158" i="11"/>
  <c r="P158" i="11"/>
  <c r="D159" i="11"/>
  <c r="F159" i="11"/>
  <c r="H159" i="11"/>
  <c r="J159" i="11" s="1"/>
  <c r="I159" i="11"/>
  <c r="C159" i="11"/>
  <c r="E159" i="11"/>
  <c r="G159" i="11"/>
  <c r="K159" i="11"/>
  <c r="L159" i="11"/>
  <c r="Q159" i="11"/>
  <c r="N159" i="11"/>
  <c r="P159" i="11"/>
  <c r="O159" i="11"/>
  <c r="D160" i="11"/>
  <c r="G160" i="11"/>
  <c r="F160" i="11"/>
  <c r="I160" i="11"/>
  <c r="C160" i="11"/>
  <c r="H160" i="11"/>
  <c r="J160" i="11" s="1"/>
  <c r="E160" i="11"/>
  <c r="O160" i="11"/>
  <c r="P160" i="11"/>
  <c r="Q160" i="11"/>
  <c r="K160" i="11"/>
  <c r="L160" i="11"/>
  <c r="N160" i="11"/>
  <c r="I161" i="11"/>
  <c r="F161" i="11"/>
  <c r="C161" i="11"/>
  <c r="G161" i="11"/>
  <c r="D161" i="11"/>
  <c r="E161" i="11"/>
  <c r="H161" i="11"/>
  <c r="J161" i="11" s="1"/>
  <c r="K161" i="11"/>
  <c r="P161" i="11"/>
  <c r="N161" i="11"/>
  <c r="L161" i="11"/>
  <c r="O161" i="11"/>
  <c r="Q161" i="11"/>
  <c r="C162" i="11"/>
  <c r="F162" i="11"/>
  <c r="H162" i="11"/>
  <c r="J162" i="11" s="1"/>
  <c r="D162" i="11"/>
  <c r="E162" i="11"/>
  <c r="I162" i="11"/>
  <c r="L162" i="11"/>
  <c r="K162" i="11"/>
  <c r="M162" i="11" s="1"/>
  <c r="P162" i="11"/>
  <c r="N162" i="11"/>
  <c r="O162" i="11"/>
  <c r="Q162" i="11"/>
  <c r="E163" i="11"/>
  <c r="H163" i="11"/>
  <c r="J163" i="11" s="1"/>
  <c r="I163" i="11"/>
  <c r="G163" i="11"/>
  <c r="F163" i="11"/>
  <c r="K163" i="11"/>
  <c r="L163" i="11"/>
  <c r="Q163" i="11"/>
  <c r="N163" i="11"/>
  <c r="O163" i="11"/>
  <c r="P163" i="11"/>
  <c r="C164" i="11"/>
  <c r="I164" i="11"/>
  <c r="H164" i="11"/>
  <c r="J164" i="11" s="1"/>
  <c r="G164" i="11"/>
  <c r="D164" i="11"/>
  <c r="F164" i="11"/>
  <c r="E164" i="11"/>
  <c r="Q164" i="11"/>
  <c r="O164" i="11"/>
  <c r="L164" i="11"/>
  <c r="K164" i="11"/>
  <c r="M164" i="11" s="1"/>
  <c r="N164" i="11"/>
  <c r="P164" i="11"/>
  <c r="H165" i="11"/>
  <c r="J165" i="11" s="1"/>
  <c r="E165" i="11"/>
  <c r="I165" i="11"/>
  <c r="F165" i="11"/>
  <c r="G165" i="11"/>
  <c r="N165" i="11"/>
  <c r="P165" i="11"/>
  <c r="Q165" i="11"/>
  <c r="K165" i="11"/>
  <c r="O165" i="11"/>
  <c r="L165" i="11"/>
  <c r="C166" i="11"/>
  <c r="D166" i="11"/>
  <c r="I166" i="11"/>
  <c r="E166" i="11"/>
  <c r="H166" i="11"/>
  <c r="J166" i="11" s="1"/>
  <c r="F166" i="11"/>
  <c r="N166" i="11"/>
  <c r="Q166" i="11"/>
  <c r="L166" i="11"/>
  <c r="P166" i="11"/>
  <c r="O166" i="11"/>
  <c r="K166" i="11"/>
  <c r="M166" i="11" s="1"/>
  <c r="H167" i="11"/>
  <c r="J167" i="11" s="1"/>
  <c r="I167" i="11"/>
  <c r="F167" i="11"/>
  <c r="C167" i="11"/>
  <c r="D167" i="11"/>
  <c r="E167" i="11"/>
  <c r="G167" i="11"/>
  <c r="Q167" i="11"/>
  <c r="P167" i="11"/>
  <c r="O167" i="11"/>
  <c r="K167" i="11"/>
  <c r="M167" i="11" s="1"/>
  <c r="L167" i="11"/>
  <c r="N167" i="11"/>
  <c r="F168" i="11"/>
  <c r="I168" i="11"/>
  <c r="H168" i="11"/>
  <c r="J168" i="11" s="1"/>
  <c r="P168" i="11"/>
  <c r="N168" i="11"/>
  <c r="Q168" i="11"/>
  <c r="L168" i="11"/>
  <c r="K168" i="11"/>
  <c r="O168" i="11"/>
  <c r="C169" i="11"/>
  <c r="F169" i="11"/>
  <c r="D169" i="11"/>
  <c r="G169" i="11"/>
  <c r="I169" i="11"/>
  <c r="H169" i="11"/>
  <c r="J169" i="11" s="1"/>
  <c r="E169" i="11"/>
  <c r="Q169" i="11"/>
  <c r="L169" i="11"/>
  <c r="K169" i="11"/>
  <c r="M169" i="11" s="1"/>
  <c r="P169" i="11"/>
  <c r="O169" i="11"/>
  <c r="N169" i="11"/>
  <c r="D170" i="11"/>
  <c r="H170" i="11"/>
  <c r="J170" i="11" s="1"/>
  <c r="I170" i="11"/>
  <c r="F170" i="11"/>
  <c r="E170" i="11"/>
  <c r="K170" i="11"/>
  <c r="L170" i="11"/>
  <c r="Q170" i="11"/>
  <c r="N170" i="11"/>
  <c r="O170" i="11"/>
  <c r="P170" i="11"/>
  <c r="F171" i="11"/>
  <c r="I171" i="11"/>
  <c r="D171" i="11"/>
  <c r="H171" i="11"/>
  <c r="J171" i="11" s="1"/>
  <c r="C171" i="11"/>
  <c r="L171" i="11"/>
  <c r="P171" i="11"/>
  <c r="N171" i="11"/>
  <c r="Q171" i="11"/>
  <c r="O171" i="11"/>
  <c r="K171" i="11"/>
  <c r="M171" i="11" s="1"/>
  <c r="I172" i="11"/>
  <c r="G172" i="11"/>
  <c r="C172" i="11"/>
  <c r="H172" i="11"/>
  <c r="J172" i="11" s="1"/>
  <c r="F172" i="11"/>
  <c r="E172" i="11"/>
  <c r="D172" i="11"/>
  <c r="K172" i="11"/>
  <c r="Q172" i="11"/>
  <c r="L172" i="11"/>
  <c r="O172" i="11"/>
  <c r="N172" i="11"/>
  <c r="P172" i="11"/>
  <c r="E173" i="11"/>
  <c r="H173" i="11"/>
  <c r="J173" i="11" s="1"/>
  <c r="C173" i="11"/>
  <c r="G173" i="11"/>
  <c r="I173" i="11"/>
  <c r="F173" i="11"/>
  <c r="D173" i="11"/>
  <c r="P173" i="11"/>
  <c r="Q173" i="11"/>
  <c r="N173" i="11"/>
  <c r="K173" i="11"/>
  <c r="O173" i="11"/>
  <c r="L173" i="11"/>
  <c r="F174" i="11"/>
  <c r="H174" i="11"/>
  <c r="J174" i="11" s="1"/>
  <c r="E174" i="11"/>
  <c r="I174" i="11"/>
  <c r="D174" i="11"/>
  <c r="C174" i="11"/>
  <c r="K174" i="11"/>
  <c r="N174" i="11"/>
  <c r="O174" i="11"/>
  <c r="Q174" i="11"/>
  <c r="P174" i="11"/>
  <c r="L174" i="11"/>
  <c r="F175" i="11"/>
  <c r="H175" i="11"/>
  <c r="J175" i="11" s="1"/>
  <c r="C175" i="11"/>
  <c r="E175" i="11"/>
  <c r="G175" i="11"/>
  <c r="I175" i="11"/>
  <c r="D175" i="11"/>
  <c r="P175" i="11"/>
  <c r="L175" i="11"/>
  <c r="N175" i="11"/>
  <c r="K175" i="11"/>
  <c r="M175" i="11" s="1"/>
  <c r="Q175" i="11"/>
  <c r="O175" i="11"/>
  <c r="I176" i="11"/>
  <c r="F176" i="11"/>
  <c r="H176" i="11"/>
  <c r="J176" i="11" s="1"/>
  <c r="E176" i="11"/>
  <c r="C176" i="11"/>
  <c r="D176" i="11"/>
  <c r="G176" i="11"/>
  <c r="L176" i="11"/>
  <c r="Q176" i="11"/>
  <c r="P176" i="11"/>
  <c r="N176" i="11"/>
  <c r="K176" i="11"/>
  <c r="M176" i="11" s="1"/>
  <c r="O176" i="11"/>
  <c r="C177" i="11"/>
  <c r="D177" i="11"/>
  <c r="E177" i="11"/>
  <c r="F177" i="11"/>
  <c r="G177" i="11"/>
  <c r="I177" i="11"/>
  <c r="H177" i="11"/>
  <c r="J177" i="11" s="1"/>
  <c r="L177" i="11"/>
  <c r="O177" i="11"/>
  <c r="Q177" i="11"/>
  <c r="P177" i="11"/>
  <c r="N177" i="11"/>
  <c r="K177" i="11"/>
  <c r="M177" i="11" s="1"/>
  <c r="I178" i="11"/>
  <c r="C178" i="11"/>
  <c r="E178" i="11"/>
  <c r="H178" i="11"/>
  <c r="J178" i="11" s="1"/>
  <c r="D178" i="11"/>
  <c r="F178" i="11"/>
  <c r="G178" i="11"/>
  <c r="L178" i="11"/>
  <c r="O178" i="11"/>
  <c r="P178" i="11"/>
  <c r="K178" i="11"/>
  <c r="M178" i="11" s="1"/>
  <c r="N178" i="11"/>
  <c r="Q178" i="11"/>
  <c r="G179" i="11"/>
  <c r="F179" i="11"/>
  <c r="H179" i="11"/>
  <c r="J179" i="11" s="1"/>
  <c r="E179" i="11"/>
  <c r="C179" i="11"/>
  <c r="D179" i="11"/>
  <c r="I179" i="11"/>
  <c r="Q179" i="11"/>
  <c r="N179" i="11"/>
  <c r="O179" i="11"/>
  <c r="K179" i="11"/>
  <c r="P179" i="11"/>
  <c r="L179" i="11"/>
  <c r="C180" i="11"/>
  <c r="G180" i="11"/>
  <c r="H180" i="11"/>
  <c r="J180" i="11" s="1"/>
  <c r="F180" i="11"/>
  <c r="I180" i="11"/>
  <c r="E180" i="11"/>
  <c r="D180" i="11"/>
  <c r="K180" i="11"/>
  <c r="Q180" i="11"/>
  <c r="O180" i="11"/>
  <c r="N180" i="11"/>
  <c r="P180" i="11"/>
  <c r="L180" i="11"/>
  <c r="F181" i="11"/>
  <c r="H181" i="11"/>
  <c r="J181" i="11" s="1"/>
  <c r="I181" i="11"/>
  <c r="E181" i="11"/>
  <c r="Q181" i="11"/>
  <c r="N181" i="11"/>
  <c r="L181" i="11"/>
  <c r="P181" i="11"/>
  <c r="K181" i="11"/>
  <c r="M181" i="11" s="1"/>
  <c r="O181" i="11"/>
  <c r="H182" i="11"/>
  <c r="J182" i="11" s="1"/>
  <c r="F182" i="11"/>
  <c r="I182" i="11"/>
  <c r="G182" i="11"/>
  <c r="Q182" i="11"/>
  <c r="L182" i="11"/>
  <c r="O182" i="11"/>
  <c r="K182" i="11"/>
  <c r="M182" i="11" s="1"/>
  <c r="P182" i="11"/>
  <c r="N182" i="11"/>
  <c r="H183" i="11"/>
  <c r="J183" i="11" s="1"/>
  <c r="F183" i="11"/>
  <c r="I183" i="11"/>
  <c r="D183" i="11"/>
  <c r="E183" i="11"/>
  <c r="C183" i="11"/>
  <c r="G183" i="11"/>
  <c r="O183" i="11"/>
  <c r="P183" i="11"/>
  <c r="K183" i="11"/>
  <c r="L183" i="11"/>
  <c r="Q183" i="11"/>
  <c r="N183" i="11"/>
  <c r="F184" i="11"/>
  <c r="I184" i="11"/>
  <c r="H184" i="11"/>
  <c r="J184" i="11" s="1"/>
  <c r="N184" i="11"/>
  <c r="P184" i="11"/>
  <c r="Q184" i="11"/>
  <c r="L184" i="11"/>
  <c r="K184" i="11"/>
  <c r="O184" i="11"/>
  <c r="I185" i="11"/>
  <c r="H185" i="11"/>
  <c r="J185" i="11" s="1"/>
  <c r="F185" i="11"/>
  <c r="P185" i="11"/>
  <c r="K185" i="11"/>
  <c r="Q185" i="11"/>
  <c r="L185" i="11"/>
  <c r="N185" i="11"/>
  <c r="O185" i="11"/>
  <c r="I186" i="11"/>
  <c r="F186" i="11"/>
  <c r="H186" i="11"/>
  <c r="J186" i="11" s="1"/>
  <c r="Q186" i="11"/>
  <c r="L186" i="11"/>
  <c r="P186" i="11"/>
  <c r="N186" i="11"/>
  <c r="O186" i="11"/>
  <c r="K186" i="11"/>
  <c r="M186" i="11" s="1"/>
  <c r="I187" i="11"/>
  <c r="H187" i="11"/>
  <c r="J187" i="11" s="1"/>
  <c r="F187" i="11"/>
  <c r="L187" i="11"/>
  <c r="N187" i="11"/>
  <c r="K187" i="11"/>
  <c r="M187" i="11" s="1"/>
  <c r="O187" i="11"/>
  <c r="P187" i="11"/>
  <c r="Q187" i="11"/>
  <c r="I188" i="11"/>
  <c r="F188" i="11"/>
  <c r="H188" i="11"/>
  <c r="J188" i="11" s="1"/>
  <c r="Q188" i="11"/>
  <c r="L188" i="11"/>
  <c r="K188" i="11"/>
  <c r="M188" i="11" s="1"/>
  <c r="O188" i="11"/>
  <c r="P188" i="11"/>
  <c r="N188" i="11"/>
  <c r="I189" i="11"/>
  <c r="H189" i="11"/>
  <c r="J189" i="11" s="1"/>
  <c r="F189" i="11"/>
  <c r="Q189" i="11"/>
  <c r="L189" i="11"/>
  <c r="P189" i="11"/>
  <c r="N189" i="11"/>
  <c r="O189" i="11"/>
  <c r="K189" i="11"/>
  <c r="M189" i="11" s="1"/>
  <c r="H190" i="11"/>
  <c r="J190" i="11" s="1"/>
  <c r="I190" i="11"/>
  <c r="F190" i="11"/>
  <c r="K190" i="11"/>
  <c r="P190" i="11"/>
  <c r="Q190" i="11"/>
  <c r="N190" i="11"/>
  <c r="O190" i="11"/>
  <c r="L190" i="11"/>
  <c r="F191" i="11"/>
  <c r="I191" i="11"/>
  <c r="H191" i="11"/>
  <c r="J191" i="11" s="1"/>
  <c r="Q191" i="11"/>
  <c r="K191" i="11"/>
  <c r="L191" i="11"/>
  <c r="O191" i="11"/>
  <c r="N191" i="11"/>
  <c r="P191" i="11"/>
  <c r="H192" i="11"/>
  <c r="J192" i="11" s="1"/>
  <c r="I192" i="11"/>
  <c r="F192" i="11"/>
  <c r="L192" i="11"/>
  <c r="O192" i="11"/>
  <c r="P192" i="11"/>
  <c r="Q192" i="11"/>
  <c r="K192" i="11"/>
  <c r="M192" i="11" s="1"/>
  <c r="N192" i="11"/>
  <c r="F193" i="11"/>
  <c r="I193" i="11"/>
  <c r="H193" i="11"/>
  <c r="J193" i="11" s="1"/>
  <c r="O193" i="11"/>
  <c r="Q193" i="11"/>
  <c r="P193" i="11"/>
  <c r="K193" i="11"/>
  <c r="N193" i="11"/>
  <c r="L193" i="11"/>
  <c r="I194" i="11"/>
  <c r="F194" i="11"/>
  <c r="H194" i="11"/>
  <c r="J194" i="11" s="1"/>
  <c r="K194" i="11"/>
  <c r="P194" i="11"/>
  <c r="O194" i="11"/>
  <c r="L194" i="11"/>
  <c r="N194" i="11"/>
  <c r="Q194" i="11"/>
  <c r="H195" i="11"/>
  <c r="J195" i="11" s="1"/>
  <c r="F195" i="11"/>
  <c r="I195" i="11"/>
  <c r="Q195" i="11"/>
  <c r="P195" i="11"/>
  <c r="N195" i="11"/>
  <c r="L195" i="11"/>
  <c r="O195" i="11"/>
  <c r="K195" i="11"/>
  <c r="M195" i="11" s="1"/>
  <c r="H196" i="11"/>
  <c r="J196" i="11" s="1"/>
  <c r="F196" i="11"/>
  <c r="I196" i="11"/>
  <c r="N196" i="11"/>
  <c r="L196" i="11"/>
  <c r="P196" i="11"/>
  <c r="O196" i="11"/>
  <c r="Q196" i="11"/>
  <c r="K196" i="11"/>
  <c r="M196" i="11" s="1"/>
  <c r="H197" i="11"/>
  <c r="J197" i="11" s="1"/>
  <c r="F197" i="11"/>
  <c r="I197" i="11"/>
  <c r="N197" i="11"/>
  <c r="L197" i="11"/>
  <c r="Q197" i="11"/>
  <c r="K197" i="11"/>
  <c r="M197" i="11" s="1"/>
  <c r="O197" i="11"/>
  <c r="P197" i="11"/>
  <c r="G198" i="11"/>
  <c r="I198" i="11"/>
  <c r="F198" i="11"/>
  <c r="H198" i="11"/>
  <c r="J198" i="11" s="1"/>
  <c r="Q198" i="11"/>
  <c r="O198" i="11"/>
  <c r="N198" i="11"/>
  <c r="P198" i="11"/>
  <c r="L198" i="11"/>
  <c r="K198" i="11"/>
  <c r="M198" i="11" s="1"/>
  <c r="D199" i="11"/>
  <c r="F199" i="11"/>
  <c r="G199" i="11"/>
  <c r="I199" i="11"/>
  <c r="C199" i="11"/>
  <c r="E199" i="11"/>
  <c r="H199" i="11"/>
  <c r="J199" i="11" s="1"/>
  <c r="N199" i="11"/>
  <c r="Q199" i="11"/>
  <c r="L199" i="11"/>
  <c r="O199" i="11"/>
  <c r="K199" i="11"/>
  <c r="M199" i="11" s="1"/>
  <c r="P199" i="11"/>
  <c r="G200" i="11"/>
  <c r="I200" i="11"/>
  <c r="C200" i="11"/>
  <c r="E200" i="11"/>
  <c r="F200" i="11"/>
  <c r="H200" i="11"/>
  <c r="J200" i="11" s="1"/>
  <c r="D200" i="11"/>
  <c r="K200" i="11"/>
  <c r="Q200" i="11"/>
  <c r="P200" i="11"/>
  <c r="N200" i="11"/>
  <c r="O200" i="11"/>
  <c r="L200" i="11"/>
  <c r="I201" i="11"/>
  <c r="H201" i="11"/>
  <c r="J201" i="11" s="1"/>
  <c r="F201" i="11"/>
  <c r="P201" i="11"/>
  <c r="L201" i="11"/>
  <c r="N201" i="11"/>
  <c r="K201" i="11"/>
  <c r="M201" i="11" s="1"/>
  <c r="O201" i="11"/>
  <c r="Q201" i="11"/>
  <c r="C202" i="11"/>
  <c r="F202" i="11"/>
  <c r="E202" i="11"/>
  <c r="I202" i="11"/>
  <c r="H202" i="11"/>
  <c r="J202" i="11" s="1"/>
  <c r="G202" i="11"/>
  <c r="D202" i="11"/>
  <c r="L202" i="11"/>
  <c r="K202" i="11"/>
  <c r="M202" i="11" s="1"/>
  <c r="N202" i="11"/>
  <c r="P202" i="11"/>
  <c r="O202" i="11"/>
  <c r="Q202" i="11"/>
  <c r="D203" i="11"/>
  <c r="E203" i="11"/>
  <c r="F203" i="11"/>
  <c r="I203" i="11"/>
  <c r="C203" i="11"/>
  <c r="H203" i="11"/>
  <c r="J203" i="11" s="1"/>
  <c r="P203" i="11"/>
  <c r="N203" i="11"/>
  <c r="Q203" i="11"/>
  <c r="K203" i="11"/>
  <c r="L203" i="11"/>
  <c r="O203" i="11"/>
  <c r="I204" i="11"/>
  <c r="H204" i="11"/>
  <c r="J204" i="11" s="1"/>
  <c r="C204" i="11"/>
  <c r="F204" i="11"/>
  <c r="E204" i="11"/>
  <c r="D204" i="11"/>
  <c r="Q204" i="11"/>
  <c r="O204" i="11"/>
  <c r="K204" i="11"/>
  <c r="N204" i="11"/>
  <c r="L204" i="11"/>
  <c r="P204" i="11"/>
  <c r="I205" i="11"/>
  <c r="H205" i="11"/>
  <c r="J205" i="11" s="1"/>
  <c r="F205" i="11"/>
  <c r="O205" i="11"/>
  <c r="P205" i="11"/>
  <c r="K205" i="11"/>
  <c r="L205" i="11"/>
  <c r="Q205" i="11"/>
  <c r="N205" i="11"/>
  <c r="H206" i="11"/>
  <c r="J206" i="11" s="1"/>
  <c r="I206" i="11"/>
  <c r="C206" i="11"/>
  <c r="D206" i="11"/>
  <c r="E206" i="11"/>
  <c r="G206" i="11"/>
  <c r="F206" i="11"/>
  <c r="K206" i="11"/>
  <c r="L206" i="11"/>
  <c r="Q206" i="11"/>
  <c r="N206" i="11"/>
  <c r="O206" i="11"/>
  <c r="P206" i="11"/>
  <c r="I207" i="11"/>
  <c r="C207" i="11"/>
  <c r="F207" i="11"/>
  <c r="D207" i="11"/>
  <c r="H207" i="11"/>
  <c r="J207" i="11" s="1"/>
  <c r="K207" i="11"/>
  <c r="P207" i="11"/>
  <c r="N207" i="11"/>
  <c r="O207" i="11"/>
  <c r="L207" i="11"/>
  <c r="Q207" i="11"/>
  <c r="I208" i="11"/>
  <c r="H208" i="11"/>
  <c r="J208" i="11" s="1"/>
  <c r="G208" i="11"/>
  <c r="C208" i="11"/>
  <c r="F208" i="11"/>
  <c r="E208" i="11"/>
  <c r="D208" i="11"/>
  <c r="L208" i="11"/>
  <c r="Q208" i="11"/>
  <c r="O208" i="11"/>
  <c r="N208" i="11"/>
  <c r="P208" i="11"/>
  <c r="K208" i="11"/>
  <c r="M208" i="11" s="1"/>
  <c r="I209" i="11"/>
  <c r="F209" i="11"/>
  <c r="H209" i="11"/>
  <c r="J209" i="11" s="1"/>
  <c r="D209" i="11"/>
  <c r="C209" i="11"/>
  <c r="E209" i="11"/>
  <c r="O209" i="11"/>
  <c r="N209" i="11"/>
  <c r="P209" i="11"/>
  <c r="Q209" i="11"/>
  <c r="L209" i="11"/>
  <c r="K209" i="11"/>
  <c r="M209" i="11" s="1"/>
  <c r="C210" i="11"/>
  <c r="F210" i="11"/>
  <c r="D210" i="11"/>
  <c r="I210" i="11"/>
  <c r="G210" i="11"/>
  <c r="H210" i="11"/>
  <c r="J210" i="11" s="1"/>
  <c r="K210" i="11"/>
  <c r="N210" i="11"/>
  <c r="Q210" i="11"/>
  <c r="P210" i="11"/>
  <c r="L210" i="11"/>
  <c r="O210" i="11"/>
  <c r="E211" i="11"/>
  <c r="D211" i="11"/>
  <c r="F211" i="11"/>
  <c r="C211" i="11"/>
  <c r="I211" i="11"/>
  <c r="G211" i="11"/>
  <c r="H211" i="11"/>
  <c r="J211" i="11" s="1"/>
  <c r="N211" i="11"/>
  <c r="K211" i="11"/>
  <c r="P211" i="11"/>
  <c r="O211" i="11"/>
  <c r="L211" i="11"/>
  <c r="Q211" i="11"/>
  <c r="I212" i="11"/>
  <c r="F212" i="11"/>
  <c r="G212" i="11"/>
  <c r="H212" i="11"/>
  <c r="J212" i="11" s="1"/>
  <c r="P212" i="11"/>
  <c r="Q212" i="11"/>
  <c r="L212" i="11"/>
  <c r="N212" i="11"/>
  <c r="K212" i="11"/>
  <c r="M212" i="11" s="1"/>
  <c r="O212" i="11"/>
  <c r="I213" i="11"/>
  <c r="H213" i="11"/>
  <c r="J213" i="11" s="1"/>
  <c r="F213" i="11"/>
  <c r="C213" i="11"/>
  <c r="K213" i="11"/>
  <c r="O213" i="11"/>
  <c r="L213" i="11"/>
  <c r="P213" i="11"/>
  <c r="N213" i="11"/>
  <c r="Q213" i="11"/>
  <c r="H214" i="11"/>
  <c r="J214" i="11" s="1"/>
  <c r="I214" i="11"/>
  <c r="F214" i="11"/>
  <c r="Q214" i="11"/>
  <c r="L214" i="11"/>
  <c r="P214" i="11"/>
  <c r="O214" i="11"/>
  <c r="N214" i="11"/>
  <c r="K214" i="11"/>
  <c r="M214" i="11" s="1"/>
  <c r="C215" i="11"/>
  <c r="F215" i="11"/>
  <c r="I215" i="11"/>
  <c r="D215" i="11"/>
  <c r="E215" i="11"/>
  <c r="H215" i="11"/>
  <c r="J215" i="11" s="1"/>
  <c r="K215" i="11"/>
  <c r="O215" i="11"/>
  <c r="N215" i="11"/>
  <c r="Q215" i="11"/>
  <c r="P215" i="11"/>
  <c r="L215" i="11"/>
  <c r="G216" i="11"/>
  <c r="F216" i="11"/>
  <c r="I216" i="11"/>
  <c r="H216" i="11"/>
  <c r="J216" i="11" s="1"/>
  <c r="E216" i="11"/>
  <c r="L216" i="11"/>
  <c r="K216" i="11"/>
  <c r="M216" i="11" s="1"/>
  <c r="N216" i="11"/>
  <c r="Q216" i="11"/>
  <c r="O216" i="11"/>
  <c r="P216" i="11"/>
  <c r="C217" i="11"/>
  <c r="D217" i="11"/>
  <c r="F217" i="11"/>
  <c r="H217" i="11"/>
  <c r="J217" i="11" s="1"/>
  <c r="I217" i="11"/>
  <c r="E217" i="11"/>
  <c r="G217" i="11"/>
  <c r="L217" i="11"/>
  <c r="Q217" i="11"/>
  <c r="P217" i="11"/>
  <c r="K217" i="11"/>
  <c r="M217" i="11" s="1"/>
  <c r="O217" i="11"/>
  <c r="N217" i="11"/>
  <c r="C218" i="11"/>
  <c r="G218" i="11"/>
  <c r="H218" i="11"/>
  <c r="J218" i="11" s="1"/>
  <c r="I218" i="11"/>
  <c r="D218" i="11"/>
  <c r="F218" i="11"/>
  <c r="L218" i="11"/>
  <c r="K218" i="11"/>
  <c r="M218" i="11" s="1"/>
  <c r="Q218" i="11"/>
  <c r="O218" i="11"/>
  <c r="P218" i="11"/>
  <c r="N218" i="11"/>
  <c r="H219" i="11"/>
  <c r="J219" i="11" s="1"/>
  <c r="D219" i="11"/>
  <c r="F219" i="11"/>
  <c r="I219" i="11"/>
  <c r="E219" i="11"/>
  <c r="C219" i="11"/>
  <c r="K219" i="11"/>
  <c r="Q219" i="11"/>
  <c r="O219" i="11"/>
  <c r="P219" i="11"/>
  <c r="L219" i="11"/>
  <c r="N219" i="11"/>
  <c r="H220" i="11"/>
  <c r="J220" i="11" s="1"/>
  <c r="I220" i="11"/>
  <c r="F220" i="11"/>
  <c r="N220" i="11"/>
  <c r="O220" i="11"/>
  <c r="P220" i="11"/>
  <c r="Q220" i="11"/>
  <c r="K220" i="11"/>
  <c r="L220" i="11"/>
  <c r="H221" i="11"/>
  <c r="J221" i="11" s="1"/>
  <c r="F221" i="11"/>
  <c r="I221" i="11"/>
  <c r="L221" i="11"/>
  <c r="Q221" i="11"/>
  <c r="N221" i="11"/>
  <c r="O221" i="11"/>
  <c r="P221" i="11"/>
  <c r="K221" i="11"/>
  <c r="M221" i="11" s="1"/>
  <c r="I222" i="11"/>
  <c r="F222" i="11"/>
  <c r="C222" i="11"/>
  <c r="E222" i="11"/>
  <c r="H222" i="11"/>
  <c r="J222" i="11" s="1"/>
  <c r="D222" i="11"/>
  <c r="K222" i="11"/>
  <c r="L222" i="11"/>
  <c r="Q222" i="11"/>
  <c r="P222" i="11"/>
  <c r="O222" i="11"/>
  <c r="N222" i="11"/>
  <c r="C223" i="11"/>
  <c r="F223" i="11"/>
  <c r="I223" i="11"/>
  <c r="E223" i="11"/>
  <c r="H223" i="11"/>
  <c r="J223" i="11" s="1"/>
  <c r="D223" i="11"/>
  <c r="N223" i="11"/>
  <c r="P223" i="11"/>
  <c r="K223" i="11"/>
  <c r="Q223" i="11"/>
  <c r="L223" i="11"/>
  <c r="O223" i="11"/>
  <c r="H224" i="11"/>
  <c r="J224" i="11" s="1"/>
  <c r="I224" i="11"/>
  <c r="F224" i="11"/>
  <c r="L224" i="11"/>
  <c r="P224" i="11"/>
  <c r="O224" i="11"/>
  <c r="Q224" i="11"/>
  <c r="K224" i="11"/>
  <c r="M224" i="11" s="1"/>
  <c r="N224" i="11"/>
  <c r="I225" i="11"/>
  <c r="C225" i="11"/>
  <c r="H225" i="11"/>
  <c r="J225" i="11" s="1"/>
  <c r="F225" i="11"/>
  <c r="O225" i="11"/>
  <c r="Q225" i="11"/>
  <c r="L225" i="11"/>
  <c r="K225" i="11"/>
  <c r="P225" i="11"/>
  <c r="N225" i="11"/>
  <c r="D226" i="11"/>
  <c r="E226" i="11"/>
  <c r="G226" i="11"/>
  <c r="C226" i="11"/>
  <c r="I226" i="11"/>
  <c r="H226" i="11"/>
  <c r="J226" i="11" s="1"/>
  <c r="F226" i="11"/>
  <c r="P226" i="11"/>
  <c r="Q226" i="11"/>
  <c r="K226" i="11"/>
  <c r="L226" i="11"/>
  <c r="O226" i="11"/>
  <c r="N226" i="11"/>
  <c r="C227" i="11"/>
  <c r="E227" i="11"/>
  <c r="D227" i="11"/>
  <c r="G227" i="11"/>
  <c r="F227" i="11"/>
  <c r="H227" i="11"/>
  <c r="J227" i="11" s="1"/>
  <c r="I227" i="11"/>
  <c r="P227" i="11"/>
  <c r="N227" i="11"/>
  <c r="O227" i="11"/>
  <c r="K227" i="11"/>
  <c r="L227" i="11"/>
  <c r="Q227" i="11"/>
  <c r="D228" i="11"/>
  <c r="I228" i="11"/>
  <c r="C228" i="11"/>
  <c r="F228" i="11"/>
  <c r="G228" i="11"/>
  <c r="H228" i="11"/>
  <c r="J228" i="11" s="1"/>
  <c r="E228" i="11"/>
  <c r="N228" i="11"/>
  <c r="P228" i="11"/>
  <c r="K228" i="11"/>
  <c r="L228" i="11"/>
  <c r="Q228" i="11"/>
  <c r="O228" i="11"/>
  <c r="F229" i="11"/>
  <c r="E229" i="11"/>
  <c r="D229" i="11"/>
  <c r="I229" i="11"/>
  <c r="C229" i="11"/>
  <c r="G229" i="11"/>
  <c r="H229" i="11"/>
  <c r="J229" i="11" s="1"/>
  <c r="K229" i="11"/>
  <c r="P229" i="11"/>
  <c r="L229" i="11"/>
  <c r="Q229" i="11"/>
  <c r="N229" i="11"/>
  <c r="O229" i="11"/>
  <c r="E230" i="11"/>
  <c r="H230" i="11"/>
  <c r="J230" i="11" s="1"/>
  <c r="F230" i="11"/>
  <c r="I230" i="11"/>
  <c r="D230" i="11"/>
  <c r="C230" i="11"/>
  <c r="G230" i="11"/>
  <c r="K230" i="11"/>
  <c r="N230" i="11"/>
  <c r="L230" i="11"/>
  <c r="P230" i="11"/>
  <c r="Q230" i="11"/>
  <c r="O230" i="11"/>
  <c r="G231" i="11"/>
  <c r="F231" i="11"/>
  <c r="I231" i="11"/>
  <c r="H231" i="11"/>
  <c r="J231" i="11" s="1"/>
  <c r="C231" i="11"/>
  <c r="E231" i="11"/>
  <c r="D231" i="11"/>
  <c r="N231" i="11"/>
  <c r="P231" i="11"/>
  <c r="Q231" i="11"/>
  <c r="O231" i="11"/>
  <c r="K231" i="11"/>
  <c r="L231" i="11"/>
  <c r="H232" i="11"/>
  <c r="J232" i="11" s="1"/>
  <c r="E232" i="11"/>
  <c r="F232" i="11"/>
  <c r="D232" i="11"/>
  <c r="I232" i="11"/>
  <c r="C232" i="11"/>
  <c r="P232" i="11"/>
  <c r="Q232" i="11"/>
  <c r="O232" i="11"/>
  <c r="K232" i="11"/>
  <c r="N232" i="11"/>
  <c r="L232" i="11"/>
  <c r="G233" i="11"/>
  <c r="C233" i="11"/>
  <c r="F233" i="11"/>
  <c r="D233" i="11"/>
  <c r="E233" i="11"/>
  <c r="I233" i="11"/>
  <c r="H233" i="11"/>
  <c r="J233" i="11" s="1"/>
  <c r="P233" i="11"/>
  <c r="O233" i="11"/>
  <c r="Q233" i="11"/>
  <c r="K233" i="11"/>
  <c r="N233" i="11"/>
  <c r="L233" i="11"/>
  <c r="H234" i="11"/>
  <c r="J234" i="11" s="1"/>
  <c r="E234" i="11"/>
  <c r="F234" i="11"/>
  <c r="I234" i="11"/>
  <c r="D234" i="11"/>
  <c r="G234" i="11"/>
  <c r="C234" i="11"/>
  <c r="L234" i="11"/>
  <c r="P234" i="11"/>
  <c r="K234" i="11"/>
  <c r="M234" i="11" s="1"/>
  <c r="N234" i="11"/>
  <c r="O234" i="11"/>
  <c r="Q234" i="11"/>
  <c r="D235" i="11"/>
  <c r="F235" i="11"/>
  <c r="E235" i="11"/>
  <c r="H235" i="11"/>
  <c r="J235" i="11" s="1"/>
  <c r="I235" i="11"/>
  <c r="C235" i="11"/>
  <c r="G235" i="11"/>
  <c r="P235" i="11"/>
  <c r="O235" i="11"/>
  <c r="N235" i="11"/>
  <c r="K235" i="11"/>
  <c r="Q235" i="11"/>
  <c r="L235" i="11"/>
  <c r="C236" i="11"/>
  <c r="E236" i="11"/>
  <c r="D236" i="11"/>
  <c r="H236" i="11"/>
  <c r="J236" i="11" s="1"/>
  <c r="I236" i="11"/>
  <c r="F236" i="11"/>
  <c r="G236" i="11"/>
  <c r="P236" i="11"/>
  <c r="K236" i="11"/>
  <c r="N236" i="11"/>
  <c r="O236" i="11"/>
  <c r="Q236" i="11"/>
  <c r="L236" i="11"/>
  <c r="I237" i="11"/>
  <c r="D237" i="11"/>
  <c r="C237" i="11"/>
  <c r="F237" i="11"/>
  <c r="E237" i="11"/>
  <c r="G237" i="11"/>
  <c r="H237" i="11"/>
  <c r="J237" i="11" s="1"/>
  <c r="Q237" i="11"/>
  <c r="P237" i="11"/>
  <c r="L237" i="11"/>
  <c r="K237" i="11"/>
  <c r="M237" i="11" s="1"/>
  <c r="N237" i="11"/>
  <c r="O237" i="11"/>
  <c r="H238" i="11"/>
  <c r="J238" i="11" s="1"/>
  <c r="D238" i="11"/>
  <c r="F238" i="11"/>
  <c r="I238" i="11"/>
  <c r="C238" i="11"/>
  <c r="E238" i="11"/>
  <c r="P238" i="11"/>
  <c r="K238" i="11"/>
  <c r="N238" i="11"/>
  <c r="O238" i="11"/>
  <c r="Q238" i="11"/>
  <c r="L238" i="11"/>
  <c r="I239" i="11"/>
  <c r="C239" i="11"/>
  <c r="F239" i="11"/>
  <c r="E239" i="11"/>
  <c r="G239" i="11"/>
  <c r="D239" i="11"/>
  <c r="H239" i="11"/>
  <c r="J239" i="11" s="1"/>
  <c r="K239" i="11"/>
  <c r="N239" i="11"/>
  <c r="O239" i="11"/>
  <c r="Q239" i="11"/>
  <c r="L239" i="11"/>
  <c r="P239" i="11"/>
  <c r="E240" i="11"/>
  <c r="H240" i="11"/>
  <c r="J240" i="11" s="1"/>
  <c r="I240" i="11"/>
  <c r="C240" i="11"/>
  <c r="D240" i="11"/>
  <c r="G240" i="11"/>
  <c r="F240" i="11"/>
  <c r="K240" i="11"/>
  <c r="O240" i="11"/>
  <c r="N240" i="11"/>
  <c r="P240" i="11"/>
  <c r="L240" i="11"/>
  <c r="Q240" i="11"/>
  <c r="D241" i="11"/>
  <c r="C241" i="11"/>
  <c r="F241" i="11"/>
  <c r="I241" i="11"/>
  <c r="H241" i="11"/>
  <c r="J241" i="11" s="1"/>
  <c r="L241" i="11"/>
  <c r="N241" i="11"/>
  <c r="P241" i="11"/>
  <c r="Q241" i="11"/>
  <c r="O241" i="11"/>
  <c r="K241" i="11"/>
  <c r="M241" i="11" s="1"/>
  <c r="D242" i="11"/>
  <c r="I242" i="11"/>
  <c r="G242" i="11"/>
  <c r="H242" i="11"/>
  <c r="J242" i="11" s="1"/>
  <c r="E242" i="11"/>
  <c r="C242" i="11"/>
  <c r="F242" i="11"/>
  <c r="Q242" i="11"/>
  <c r="L242" i="11"/>
  <c r="K242" i="11"/>
  <c r="M242" i="11" s="1"/>
  <c r="N242" i="11"/>
  <c r="P242" i="11"/>
  <c r="O242" i="11"/>
  <c r="D243" i="11"/>
  <c r="H243" i="11"/>
  <c r="J243" i="11" s="1"/>
  <c r="E243" i="11"/>
  <c r="I243" i="11"/>
  <c r="C243" i="11"/>
  <c r="G243" i="11"/>
  <c r="F243" i="11"/>
  <c r="L243" i="11"/>
  <c r="P243" i="11"/>
  <c r="Q243" i="11"/>
  <c r="O243" i="11"/>
  <c r="N243" i="11"/>
  <c r="K243" i="11"/>
  <c r="M243" i="11" s="1"/>
  <c r="H244" i="11"/>
  <c r="J244" i="11" s="1"/>
  <c r="F244" i="11"/>
  <c r="E244" i="11"/>
  <c r="I244" i="11"/>
  <c r="C244" i="11"/>
  <c r="D244" i="11"/>
  <c r="O244" i="11"/>
  <c r="Q244" i="11"/>
  <c r="P244" i="11"/>
  <c r="L244" i="11"/>
  <c r="N244" i="11"/>
  <c r="K244" i="11"/>
  <c r="M244" i="11" s="1"/>
  <c r="D245" i="11"/>
  <c r="F245" i="11"/>
  <c r="G245" i="11"/>
  <c r="H245" i="11"/>
  <c r="J245" i="11" s="1"/>
  <c r="C245" i="11"/>
  <c r="E245" i="11"/>
  <c r="I245" i="11"/>
  <c r="O245" i="11"/>
  <c r="N245" i="11"/>
  <c r="L245" i="11"/>
  <c r="Q245" i="11"/>
  <c r="P245" i="11"/>
  <c r="K245" i="11"/>
  <c r="M245" i="11" s="1"/>
  <c r="E246" i="11"/>
  <c r="D246" i="11"/>
  <c r="F246" i="11"/>
  <c r="G246" i="11"/>
  <c r="H246" i="11"/>
  <c r="J246" i="11" s="1"/>
  <c r="I246" i="11"/>
  <c r="C246" i="11"/>
  <c r="N246" i="11"/>
  <c r="P246" i="11"/>
  <c r="L246" i="11"/>
  <c r="O246" i="11"/>
  <c r="Q246" i="11"/>
  <c r="K246" i="11"/>
  <c r="M246" i="11" s="1"/>
  <c r="C247" i="11"/>
  <c r="G247" i="11"/>
  <c r="D247" i="11"/>
  <c r="E247" i="11"/>
  <c r="H247" i="11"/>
  <c r="J247" i="11" s="1"/>
  <c r="I247" i="11"/>
  <c r="F247" i="11"/>
  <c r="P247" i="11"/>
  <c r="N247" i="11"/>
  <c r="K247" i="11"/>
  <c r="M247" i="11" s="1"/>
  <c r="Q247" i="11"/>
  <c r="O247" i="11"/>
  <c r="L247" i="11"/>
  <c r="C248" i="11"/>
  <c r="H248" i="11"/>
  <c r="J248" i="11" s="1"/>
  <c r="D248" i="11"/>
  <c r="F248" i="11"/>
  <c r="I248" i="11"/>
  <c r="Q248" i="11"/>
  <c r="L248" i="11"/>
  <c r="P248" i="11"/>
  <c r="K248" i="11"/>
  <c r="M248" i="11" s="1"/>
  <c r="N248" i="11"/>
  <c r="O248" i="11"/>
  <c r="I249" i="11"/>
  <c r="H249" i="11"/>
  <c r="J249" i="11" s="1"/>
  <c r="F249" i="11"/>
  <c r="C249" i="11"/>
  <c r="E249" i="11"/>
  <c r="G249" i="11"/>
  <c r="D249" i="11"/>
  <c r="O249" i="11"/>
  <c r="Q249" i="11"/>
  <c r="N249" i="11"/>
  <c r="P249" i="11"/>
  <c r="K249" i="11"/>
  <c r="L249" i="11"/>
  <c r="H250" i="11"/>
  <c r="J250" i="11" s="1"/>
  <c r="I250" i="11"/>
  <c r="D250" i="11"/>
  <c r="C250" i="11"/>
  <c r="F250" i="11"/>
  <c r="E250" i="11"/>
  <c r="Q250" i="11"/>
  <c r="N250" i="11"/>
  <c r="P250" i="11"/>
  <c r="K250" i="11"/>
  <c r="L250" i="11"/>
  <c r="O250" i="11"/>
  <c r="D251" i="11"/>
  <c r="G251" i="11"/>
  <c r="C251" i="11"/>
  <c r="F251" i="11"/>
  <c r="I251" i="11"/>
  <c r="H251" i="11"/>
  <c r="J251" i="11" s="1"/>
  <c r="E251" i="11"/>
  <c r="L251" i="11"/>
  <c r="K251" i="11"/>
  <c r="P251" i="11"/>
  <c r="Q251" i="11"/>
  <c r="N251" i="11"/>
  <c r="O251" i="11"/>
  <c r="H252" i="11"/>
  <c r="J252" i="11" s="1"/>
  <c r="C252" i="11"/>
  <c r="I252" i="11"/>
  <c r="F252" i="11"/>
  <c r="D252" i="11"/>
  <c r="L252" i="11"/>
  <c r="K252" i="11"/>
  <c r="M252" i="11" s="1"/>
  <c r="P252" i="11"/>
  <c r="Q252" i="11"/>
  <c r="N252" i="11"/>
  <c r="O252" i="11"/>
  <c r="H253" i="11"/>
  <c r="J253" i="11" s="1"/>
  <c r="I253" i="11"/>
  <c r="D253" i="11"/>
  <c r="G253" i="11"/>
  <c r="E253" i="11"/>
  <c r="F253" i="11"/>
  <c r="C253" i="11"/>
  <c r="O253" i="11"/>
  <c r="K253" i="11"/>
  <c r="L253" i="11"/>
  <c r="P253" i="11"/>
  <c r="N253" i="11"/>
  <c r="Q253" i="11"/>
  <c r="F254" i="11"/>
  <c r="C254" i="11"/>
  <c r="D254" i="11"/>
  <c r="E254" i="11"/>
  <c r="H254" i="11"/>
  <c r="J254" i="11" s="1"/>
  <c r="I254" i="11"/>
  <c r="Q254" i="11"/>
  <c r="K254" i="11"/>
  <c r="L254" i="11"/>
  <c r="O254" i="11"/>
  <c r="P254" i="11"/>
  <c r="N254" i="11"/>
  <c r="H255" i="11"/>
  <c r="J255" i="11" s="1"/>
  <c r="G255" i="11"/>
  <c r="I255" i="11"/>
  <c r="D255" i="11"/>
  <c r="F255" i="11"/>
  <c r="E255" i="11"/>
  <c r="C255" i="11"/>
  <c r="N255" i="11"/>
  <c r="Q255" i="11"/>
  <c r="L255" i="11"/>
  <c r="O255" i="11"/>
  <c r="K255" i="11"/>
  <c r="P255" i="11"/>
  <c r="C256" i="11"/>
  <c r="D256" i="11"/>
  <c r="I256" i="11"/>
  <c r="F256" i="11"/>
  <c r="H256" i="11"/>
  <c r="J256" i="11" s="1"/>
  <c r="P256" i="11"/>
  <c r="K256" i="11"/>
  <c r="L256" i="11"/>
  <c r="N256" i="11"/>
  <c r="Q256" i="11"/>
  <c r="O256" i="11"/>
  <c r="C257" i="11"/>
  <c r="F257" i="11"/>
  <c r="E257" i="11"/>
  <c r="I257" i="11"/>
  <c r="D257" i="11"/>
  <c r="H257" i="11"/>
  <c r="J257" i="11" s="1"/>
  <c r="K257" i="11"/>
  <c r="L257" i="11"/>
  <c r="Q257" i="11"/>
  <c r="O257" i="11"/>
  <c r="N257" i="11"/>
  <c r="P257" i="11"/>
  <c r="D258" i="11"/>
  <c r="I258" i="11"/>
  <c r="F258" i="11"/>
  <c r="H258" i="11"/>
  <c r="J258" i="11" s="1"/>
  <c r="C258" i="11"/>
  <c r="L258" i="11"/>
  <c r="K258" i="11"/>
  <c r="N258" i="11"/>
  <c r="Q258" i="11"/>
  <c r="O258" i="11"/>
  <c r="P258" i="11"/>
  <c r="F259" i="11"/>
  <c r="I259" i="11"/>
  <c r="H259" i="11"/>
  <c r="J259" i="11" s="1"/>
  <c r="L259" i="11"/>
  <c r="P259" i="11"/>
  <c r="N259" i="11"/>
  <c r="Q259" i="11"/>
  <c r="K259" i="11"/>
  <c r="O259" i="11"/>
  <c r="F260" i="11"/>
  <c r="I260" i="11"/>
  <c r="H260" i="11"/>
  <c r="J260" i="11" s="1"/>
  <c r="P260" i="11"/>
  <c r="L260" i="11"/>
  <c r="O260" i="11"/>
  <c r="Q260" i="11"/>
  <c r="N260" i="11"/>
  <c r="K260" i="11"/>
  <c r="I261" i="11"/>
  <c r="H261" i="11"/>
  <c r="J261" i="11" s="1"/>
  <c r="F261" i="11"/>
  <c r="E261" i="11"/>
  <c r="Q261" i="11"/>
  <c r="K261" i="11"/>
  <c r="P261" i="11"/>
  <c r="L261" i="11"/>
  <c r="N261" i="11"/>
  <c r="O261" i="11"/>
  <c r="F262" i="11"/>
  <c r="I262" i="11"/>
  <c r="H262" i="11"/>
  <c r="J262" i="11" s="1"/>
  <c r="G262" i="11"/>
  <c r="P262" i="11"/>
  <c r="Q262" i="11"/>
  <c r="O262" i="11"/>
  <c r="N262" i="11"/>
  <c r="L262" i="11"/>
  <c r="K262" i="11"/>
  <c r="C263" i="11"/>
  <c r="D263" i="11"/>
  <c r="E263" i="11"/>
  <c r="H263" i="11"/>
  <c r="J263" i="11" s="1"/>
  <c r="G263" i="11"/>
  <c r="I263" i="11"/>
  <c r="F263" i="11"/>
  <c r="O263" i="11"/>
  <c r="N263" i="11"/>
  <c r="L263" i="11"/>
  <c r="Q263" i="11"/>
  <c r="K263" i="11"/>
  <c r="P263" i="11"/>
  <c r="G264" i="11"/>
  <c r="F264" i="11"/>
  <c r="C264" i="11"/>
  <c r="I264" i="11"/>
  <c r="E264" i="11"/>
  <c r="H264" i="11"/>
  <c r="J264" i="11" s="1"/>
  <c r="D264" i="11"/>
  <c r="P264" i="11"/>
  <c r="K264" i="11"/>
  <c r="Q264" i="11"/>
  <c r="N264" i="11"/>
  <c r="O264" i="11"/>
  <c r="L264" i="11"/>
  <c r="F265" i="11"/>
  <c r="H265" i="11"/>
  <c r="J265" i="11" s="1"/>
  <c r="G265" i="11"/>
  <c r="I265" i="11"/>
  <c r="P265" i="11"/>
  <c r="N265" i="11"/>
  <c r="Q265" i="11"/>
  <c r="O265" i="11"/>
  <c r="L265" i="11"/>
  <c r="K265" i="11"/>
  <c r="F266" i="11"/>
  <c r="D266" i="11"/>
  <c r="I266" i="11"/>
  <c r="E266" i="11"/>
  <c r="H266" i="11"/>
  <c r="J266" i="11" s="1"/>
  <c r="P266" i="11"/>
  <c r="L266" i="11"/>
  <c r="O266" i="11"/>
  <c r="K266" i="11"/>
  <c r="N266" i="11"/>
  <c r="Q266" i="11"/>
  <c r="F267" i="11"/>
  <c r="H267" i="11"/>
  <c r="J267" i="11" s="1"/>
  <c r="I267" i="11"/>
  <c r="P267" i="11"/>
  <c r="N267" i="11"/>
  <c r="O267" i="11"/>
  <c r="K267" i="11"/>
  <c r="L267" i="11"/>
  <c r="Q267" i="11"/>
  <c r="I268" i="11"/>
  <c r="H268" i="11"/>
  <c r="J268" i="11" s="1"/>
  <c r="G268" i="11"/>
  <c r="F268" i="11"/>
  <c r="D268" i="11"/>
  <c r="C268" i="11"/>
  <c r="K268" i="11"/>
  <c r="Q268" i="11"/>
  <c r="O268" i="11"/>
  <c r="P268" i="11"/>
  <c r="N268" i="11"/>
  <c r="L268" i="11"/>
  <c r="E269" i="11"/>
  <c r="F269" i="11"/>
  <c r="C269" i="11"/>
  <c r="I269" i="11"/>
  <c r="G269" i="11"/>
  <c r="D269" i="11"/>
  <c r="H269" i="11"/>
  <c r="J269" i="11" s="1"/>
  <c r="O269" i="11"/>
  <c r="P269" i="11"/>
  <c r="N269" i="11"/>
  <c r="K269" i="11"/>
  <c r="L269" i="11"/>
  <c r="Q269" i="11"/>
  <c r="H270" i="11"/>
  <c r="J270" i="11" s="1"/>
  <c r="F270" i="11"/>
  <c r="I270" i="11"/>
  <c r="Q270" i="11"/>
  <c r="P270" i="11"/>
  <c r="N270" i="11"/>
  <c r="O270" i="11"/>
  <c r="L270" i="11"/>
  <c r="K270" i="11"/>
  <c r="H271" i="11"/>
  <c r="J271" i="11" s="1"/>
  <c r="D271" i="11"/>
  <c r="F271" i="11"/>
  <c r="I271" i="11"/>
  <c r="K271" i="11"/>
  <c r="L271" i="11"/>
  <c r="Q271" i="11"/>
  <c r="N271" i="11"/>
  <c r="P271" i="11"/>
  <c r="O271" i="11"/>
  <c r="F272" i="11"/>
  <c r="H272" i="11"/>
  <c r="J272" i="11" s="1"/>
  <c r="E272" i="11"/>
  <c r="C272" i="11"/>
  <c r="I272" i="11"/>
  <c r="D272" i="11"/>
  <c r="P272" i="11"/>
  <c r="O272" i="11"/>
  <c r="L272" i="11"/>
  <c r="Q272" i="11"/>
  <c r="K272" i="11"/>
  <c r="N272" i="11"/>
  <c r="D273" i="11"/>
  <c r="H273" i="11"/>
  <c r="J273" i="11" s="1"/>
  <c r="G273" i="11"/>
  <c r="E273" i="11"/>
  <c r="C273" i="11"/>
  <c r="F273" i="11"/>
  <c r="I273" i="11"/>
  <c r="O273" i="11"/>
  <c r="N273" i="11"/>
  <c r="P273" i="11"/>
  <c r="L273" i="11"/>
  <c r="Q273" i="11"/>
  <c r="K273" i="11"/>
  <c r="E274" i="11"/>
  <c r="C274" i="11"/>
  <c r="I274" i="11"/>
  <c r="F274" i="11"/>
  <c r="D274" i="11"/>
  <c r="G274" i="11"/>
  <c r="H274" i="11"/>
  <c r="J274" i="11" s="1"/>
  <c r="N274" i="11"/>
  <c r="P274" i="11"/>
  <c r="L274" i="11"/>
  <c r="Q274" i="11"/>
  <c r="O274" i="11"/>
  <c r="K274" i="11"/>
  <c r="I275" i="11"/>
  <c r="G275" i="11"/>
  <c r="F275" i="11"/>
  <c r="H275" i="11"/>
  <c r="J275" i="11" s="1"/>
  <c r="C275" i="11"/>
  <c r="D275" i="11"/>
  <c r="E275" i="11"/>
  <c r="N275" i="11"/>
  <c r="K275" i="11"/>
  <c r="P275" i="11"/>
  <c r="O275" i="11"/>
  <c r="L275" i="11"/>
  <c r="Q275" i="11"/>
  <c r="E276" i="11"/>
  <c r="C276" i="11"/>
  <c r="G276" i="11"/>
  <c r="I276" i="11"/>
  <c r="H276" i="11"/>
  <c r="J276" i="11" s="1"/>
  <c r="D276" i="11"/>
  <c r="F276" i="11"/>
  <c r="O276" i="11"/>
  <c r="P276" i="11"/>
  <c r="N276" i="11"/>
  <c r="L276" i="11"/>
  <c r="K276" i="11"/>
  <c r="Q276" i="11"/>
  <c r="H277" i="11"/>
  <c r="J277" i="11" s="1"/>
  <c r="G277" i="11"/>
  <c r="D277" i="11"/>
  <c r="F277" i="11"/>
  <c r="I277" i="11"/>
  <c r="N277" i="11"/>
  <c r="K277" i="11"/>
  <c r="L277" i="11"/>
  <c r="P277" i="11"/>
  <c r="Q277" i="11"/>
  <c r="O277" i="11"/>
  <c r="I278" i="11"/>
  <c r="H278" i="11"/>
  <c r="J278" i="11" s="1"/>
  <c r="D278" i="11"/>
  <c r="F278" i="11"/>
  <c r="E278" i="11"/>
  <c r="C278" i="11"/>
  <c r="L278" i="11"/>
  <c r="P278" i="11"/>
  <c r="O278" i="11"/>
  <c r="Q278" i="11"/>
  <c r="K278" i="11"/>
  <c r="N278" i="11"/>
  <c r="C279" i="11"/>
  <c r="G279" i="11"/>
  <c r="D279" i="11"/>
  <c r="E279" i="11"/>
  <c r="H279" i="11"/>
  <c r="J279" i="11" s="1"/>
  <c r="F279" i="11"/>
  <c r="I279" i="11"/>
  <c r="L279" i="11"/>
  <c r="N279" i="11"/>
  <c r="P279" i="11"/>
  <c r="O279" i="11"/>
  <c r="K279" i="11"/>
  <c r="Q279" i="11"/>
  <c r="F280" i="11"/>
  <c r="H280" i="11"/>
  <c r="J280" i="11" s="1"/>
  <c r="I280" i="11"/>
  <c r="O280" i="11"/>
  <c r="P280" i="11"/>
  <c r="Q280" i="11"/>
  <c r="L280" i="11"/>
  <c r="N280" i="11"/>
  <c r="K280" i="11"/>
  <c r="D281" i="11"/>
  <c r="I281" i="11"/>
  <c r="H281" i="11"/>
  <c r="J281" i="11" s="1"/>
  <c r="C281" i="11"/>
  <c r="F281" i="11"/>
  <c r="N281" i="11"/>
  <c r="K281" i="11"/>
  <c r="P281" i="11"/>
  <c r="O281" i="11"/>
  <c r="Q281" i="11"/>
  <c r="L281" i="11"/>
  <c r="H282" i="11"/>
  <c r="J282" i="11" s="1"/>
  <c r="I282" i="11"/>
  <c r="F282" i="11"/>
  <c r="O282" i="11"/>
  <c r="N282" i="11"/>
  <c r="L282" i="11"/>
  <c r="K282" i="11"/>
  <c r="P282" i="11"/>
  <c r="Q282" i="11"/>
  <c r="I283" i="11"/>
  <c r="E283" i="11"/>
  <c r="F283" i="11"/>
  <c r="D283" i="11"/>
  <c r="C283" i="11"/>
  <c r="H283" i="11"/>
  <c r="J283" i="11" s="1"/>
  <c r="P283" i="11"/>
  <c r="O283" i="11"/>
  <c r="N283" i="11"/>
  <c r="K283" i="11"/>
  <c r="L283" i="11"/>
  <c r="Q283" i="11"/>
  <c r="I284" i="11"/>
  <c r="H284" i="11"/>
  <c r="J284" i="11" s="1"/>
  <c r="F284" i="11"/>
  <c r="C284" i="11"/>
  <c r="P284" i="11"/>
  <c r="O284" i="11"/>
  <c r="L284" i="11"/>
  <c r="N284" i="11"/>
  <c r="Q284" i="11"/>
  <c r="K284" i="11"/>
  <c r="F285" i="11"/>
  <c r="I285" i="11"/>
  <c r="H285" i="11"/>
  <c r="J285" i="11" s="1"/>
  <c r="O285" i="11"/>
  <c r="Q285" i="11"/>
  <c r="L285" i="11"/>
  <c r="K285" i="11"/>
  <c r="N285" i="11"/>
  <c r="P285" i="11"/>
  <c r="I286" i="11"/>
  <c r="H286" i="11"/>
  <c r="J286" i="11" s="1"/>
  <c r="F286" i="11"/>
  <c r="Q286" i="11"/>
  <c r="L286" i="11"/>
  <c r="P286" i="11"/>
  <c r="K286" i="11"/>
  <c r="N286" i="11"/>
  <c r="O286" i="11"/>
  <c r="H287" i="11"/>
  <c r="J287" i="11" s="1"/>
  <c r="E287" i="11"/>
  <c r="C287" i="11"/>
  <c r="F287" i="11"/>
  <c r="D287" i="11"/>
  <c r="I287" i="11"/>
  <c r="N287" i="11"/>
  <c r="K287" i="11"/>
  <c r="L287" i="11"/>
  <c r="Q287" i="11"/>
  <c r="O287" i="11"/>
  <c r="P287" i="11"/>
  <c r="G288" i="11"/>
  <c r="E288" i="11"/>
  <c r="C288" i="11"/>
  <c r="D288" i="11"/>
  <c r="H288" i="11"/>
  <c r="J288" i="11" s="1"/>
  <c r="I288" i="11"/>
  <c r="F288" i="11"/>
  <c r="N288" i="11"/>
  <c r="Q288" i="11"/>
  <c r="K288" i="11"/>
  <c r="P288" i="11"/>
  <c r="O288" i="11"/>
  <c r="L288" i="11"/>
  <c r="H289" i="11"/>
  <c r="J289" i="11" s="1"/>
  <c r="I289" i="11"/>
  <c r="D289" i="11"/>
  <c r="F289" i="11"/>
  <c r="L289" i="11"/>
  <c r="O289" i="11"/>
  <c r="Q289" i="11"/>
  <c r="N289" i="11"/>
  <c r="K289" i="11"/>
  <c r="P289" i="11"/>
  <c r="D290" i="11"/>
  <c r="H290" i="11"/>
  <c r="J290" i="11" s="1"/>
  <c r="E290" i="11"/>
  <c r="G290" i="11"/>
  <c r="F290" i="11"/>
  <c r="I290" i="11"/>
  <c r="C290" i="11"/>
  <c r="P290" i="11"/>
  <c r="K290" i="11"/>
  <c r="N290" i="11"/>
  <c r="O290" i="11"/>
  <c r="L290" i="11"/>
  <c r="Q290" i="11"/>
  <c r="E291" i="11"/>
  <c r="G291" i="11"/>
  <c r="C291" i="11"/>
  <c r="F291" i="11"/>
  <c r="D291" i="11"/>
  <c r="I291" i="11"/>
  <c r="H291" i="11"/>
  <c r="J291" i="11" s="1"/>
  <c r="O291" i="11"/>
  <c r="Q291" i="11"/>
  <c r="L291" i="11"/>
  <c r="K291" i="11"/>
  <c r="P291" i="11"/>
  <c r="N291" i="11"/>
  <c r="G292" i="11"/>
  <c r="F292" i="11"/>
  <c r="H292" i="11"/>
  <c r="J292" i="11" s="1"/>
  <c r="I292" i="11"/>
  <c r="C292" i="11"/>
  <c r="E292" i="11"/>
  <c r="D292" i="11"/>
  <c r="Q292" i="11"/>
  <c r="O292" i="11"/>
  <c r="K292" i="11"/>
  <c r="P292" i="11"/>
  <c r="N292" i="11"/>
  <c r="L292" i="11"/>
  <c r="F293" i="11"/>
  <c r="I293" i="11"/>
  <c r="H293" i="11"/>
  <c r="J293" i="11" s="1"/>
  <c r="C293" i="11"/>
  <c r="E293" i="11"/>
  <c r="D293" i="11"/>
  <c r="Q293" i="11"/>
  <c r="P293" i="11"/>
  <c r="L293" i="11"/>
  <c r="N293" i="11"/>
  <c r="O293" i="11"/>
  <c r="K293" i="11"/>
  <c r="H294" i="11"/>
  <c r="J294" i="11" s="1"/>
  <c r="I294" i="11"/>
  <c r="E294" i="11"/>
  <c r="F294" i="11"/>
  <c r="G294" i="11"/>
  <c r="D294" i="11"/>
  <c r="C294" i="11"/>
  <c r="L294" i="11"/>
  <c r="N294" i="11"/>
  <c r="P294" i="11"/>
  <c r="Q294" i="11"/>
  <c r="O294" i="11"/>
  <c r="K294" i="11"/>
  <c r="D295" i="11"/>
  <c r="H295" i="11"/>
  <c r="J295" i="11" s="1"/>
  <c r="E295" i="11"/>
  <c r="G295" i="11"/>
  <c r="F295" i="11"/>
  <c r="C295" i="11"/>
  <c r="I295" i="11"/>
  <c r="L295" i="11"/>
  <c r="O295" i="11"/>
  <c r="K295" i="11"/>
  <c r="N295" i="11"/>
  <c r="Q295" i="11"/>
  <c r="P295" i="11"/>
  <c r="F296" i="11"/>
  <c r="G296" i="11"/>
  <c r="D296" i="11"/>
  <c r="I296" i="11"/>
  <c r="H296" i="11"/>
  <c r="J296" i="11" s="1"/>
  <c r="E296" i="11"/>
  <c r="C296" i="11"/>
  <c r="O296" i="11"/>
  <c r="N296" i="11"/>
  <c r="Q296" i="11"/>
  <c r="P296" i="11"/>
  <c r="K296" i="11"/>
  <c r="L296" i="11"/>
  <c r="E297" i="11"/>
  <c r="C297" i="11"/>
  <c r="D297" i="11"/>
  <c r="H297" i="11"/>
  <c r="J297" i="11" s="1"/>
  <c r="I297" i="11"/>
  <c r="F297" i="11"/>
  <c r="G297" i="11"/>
  <c r="P297" i="11"/>
  <c r="K297" i="11"/>
  <c r="N297" i="11"/>
  <c r="L297" i="11"/>
  <c r="Q297" i="11"/>
  <c r="O297" i="11"/>
  <c r="I298" i="11"/>
  <c r="H298" i="11"/>
  <c r="J298" i="11" s="1"/>
  <c r="F298" i="11"/>
  <c r="P298" i="11"/>
  <c r="Q298" i="11"/>
  <c r="O298" i="11"/>
  <c r="L298" i="11"/>
  <c r="K298" i="11"/>
  <c r="N298" i="11"/>
  <c r="C299" i="11"/>
  <c r="H299" i="11"/>
  <c r="J299" i="11" s="1"/>
  <c r="F299" i="11"/>
  <c r="D299" i="11"/>
  <c r="I299" i="11"/>
  <c r="O299" i="11"/>
  <c r="Q299" i="11"/>
  <c r="L299" i="11"/>
  <c r="K299" i="11"/>
  <c r="N299" i="11"/>
  <c r="P299" i="11"/>
  <c r="I300" i="11"/>
  <c r="F300" i="11"/>
  <c r="H300" i="11"/>
  <c r="J300" i="11" s="1"/>
  <c r="Q300" i="11"/>
  <c r="N300" i="11"/>
  <c r="L300" i="11"/>
  <c r="P300" i="11"/>
  <c r="O300" i="11"/>
  <c r="K300" i="11"/>
  <c r="I301" i="11"/>
  <c r="F301" i="11"/>
  <c r="G301" i="11"/>
  <c r="D301" i="11"/>
  <c r="H301" i="11"/>
  <c r="J301" i="11" s="1"/>
  <c r="P301" i="11"/>
  <c r="K301" i="11"/>
  <c r="L301" i="11"/>
  <c r="Q301" i="11"/>
  <c r="N301" i="11"/>
  <c r="O301" i="11"/>
  <c r="H302" i="11"/>
  <c r="J302" i="11" s="1"/>
  <c r="F302" i="11"/>
  <c r="I302" i="11"/>
  <c r="C302" i="11"/>
  <c r="D302" i="11"/>
  <c r="Q302" i="11"/>
  <c r="K302" i="11"/>
  <c r="L302" i="11"/>
  <c r="N302" i="11"/>
  <c r="P302" i="11"/>
  <c r="O302" i="11"/>
  <c r="H303" i="11"/>
  <c r="J303" i="11" s="1"/>
  <c r="E303" i="11"/>
  <c r="C303" i="11"/>
  <c r="I303" i="11"/>
  <c r="F303" i="11"/>
  <c r="D303" i="11"/>
  <c r="P303" i="11"/>
  <c r="K303" i="11"/>
  <c r="N303" i="11"/>
  <c r="L303" i="11"/>
  <c r="O303" i="11"/>
  <c r="Q303" i="11"/>
  <c r="C304" i="11"/>
  <c r="F304" i="11"/>
  <c r="H304" i="11"/>
  <c r="J304" i="11" s="1"/>
  <c r="E304" i="11"/>
  <c r="G304" i="11"/>
  <c r="D304" i="11"/>
  <c r="I304" i="11"/>
  <c r="K304" i="11"/>
  <c r="O304" i="11"/>
  <c r="Q304" i="11"/>
  <c r="L304" i="11"/>
  <c r="P304" i="11"/>
  <c r="N304" i="11"/>
  <c r="C5" i="11"/>
  <c r="F5" i="11"/>
  <c r="I5" i="11"/>
  <c r="H5" i="11"/>
  <c r="J5" i="11" s="1"/>
  <c r="O5" i="11"/>
  <c r="N5" i="11"/>
  <c r="L5" i="11"/>
  <c r="K5" i="11"/>
  <c r="M5" i="11" s="1"/>
  <c r="P5" i="11"/>
  <c r="Q5" i="11"/>
  <c r="M253" i="11"/>
  <c r="M254" i="11"/>
  <c r="M255" i="11"/>
  <c r="M256" i="11"/>
  <c r="M257" i="11"/>
  <c r="M258" i="11"/>
  <c r="M259" i="11"/>
  <c r="M260" i="11"/>
  <c r="M261" i="11"/>
  <c r="M262" i="11"/>
  <c r="M263" i="11"/>
  <c r="M264" i="11"/>
  <c r="M265" i="11"/>
  <c r="M266" i="11"/>
  <c r="M268" i="11"/>
  <c r="M269" i="11"/>
  <c r="M271" i="11"/>
  <c r="M272" i="11"/>
  <c r="M273" i="11"/>
  <c r="M274" i="11"/>
  <c r="M275" i="11"/>
  <c r="M276" i="11"/>
  <c r="M277" i="11"/>
  <c r="M278" i="11"/>
  <c r="M279" i="11"/>
  <c r="M281" i="11"/>
  <c r="M282" i="11"/>
  <c r="M283" i="11"/>
  <c r="M284" i="11"/>
  <c r="M285" i="11"/>
  <c r="M286" i="11"/>
  <c r="M287" i="11"/>
  <c r="M288" i="11"/>
  <c r="M289" i="11"/>
  <c r="M290" i="11"/>
  <c r="M291" i="11"/>
  <c r="M292" i="11"/>
  <c r="M293" i="11"/>
  <c r="M294" i="11"/>
  <c r="M295" i="11"/>
  <c r="M296" i="11"/>
  <c r="M297" i="11"/>
  <c r="M298" i="11"/>
  <c r="M299" i="11"/>
  <c r="M301" i="11"/>
  <c r="M302" i="11"/>
  <c r="M303" i="11"/>
  <c r="M304" i="11"/>
  <c r="M8" i="11"/>
  <c r="M9" i="11"/>
  <c r="M10" i="11"/>
  <c r="M14" i="11"/>
  <c r="M15" i="11"/>
  <c r="M16" i="11"/>
  <c r="M28" i="11"/>
  <c r="M47" i="11"/>
  <c r="M49" i="11"/>
  <c r="M50" i="11"/>
  <c r="M51" i="11"/>
  <c r="M52" i="11"/>
  <c r="M53" i="11"/>
  <c r="M54" i="11"/>
  <c r="M56" i="11"/>
  <c r="M57" i="11"/>
  <c r="M59" i="11"/>
  <c r="M60" i="11"/>
  <c r="M63" i="11"/>
  <c r="M64" i="11"/>
  <c r="M65" i="11"/>
  <c r="M68" i="11"/>
  <c r="M75" i="11"/>
  <c r="M76" i="11"/>
  <c r="M78" i="11"/>
  <c r="M79" i="11"/>
  <c r="M83" i="11"/>
  <c r="M85" i="11"/>
  <c r="M91" i="11"/>
  <c r="M95" i="11"/>
  <c r="M96" i="11"/>
  <c r="M112" i="11"/>
  <c r="M113" i="11"/>
  <c r="M203" i="11"/>
  <c r="E6" i="11"/>
  <c r="M6" i="11"/>
  <c r="G6" i="11"/>
  <c r="C6" i="11"/>
  <c r="D6" i="11"/>
  <c r="G7" i="11"/>
  <c r="E7" i="11"/>
  <c r="D7" i="11"/>
  <c r="C7" i="11"/>
  <c r="C10" i="11"/>
  <c r="D10" i="11"/>
  <c r="C13" i="11"/>
  <c r="D13" i="11"/>
  <c r="E21" i="11"/>
  <c r="G21" i="11"/>
  <c r="D21" i="11"/>
  <c r="C21" i="11"/>
  <c r="C22" i="11"/>
  <c r="D22" i="11"/>
  <c r="C31" i="11"/>
  <c r="E31" i="11"/>
  <c r="G31" i="11"/>
  <c r="D31" i="11"/>
  <c r="C67" i="11"/>
  <c r="D67" i="11"/>
  <c r="E67" i="11"/>
  <c r="D84" i="11"/>
  <c r="C84" i="11"/>
  <c r="M115" i="11"/>
  <c r="E145" i="11"/>
  <c r="D145" i="11"/>
  <c r="D149" i="11"/>
  <c r="C149" i="11"/>
  <c r="G151" i="11"/>
  <c r="E151" i="11"/>
  <c r="D151" i="11"/>
  <c r="C151" i="11"/>
  <c r="C163" i="11"/>
  <c r="D163" i="11"/>
  <c r="D165" i="11"/>
  <c r="C165" i="11"/>
  <c r="G168" i="11"/>
  <c r="E168" i="11"/>
  <c r="C168" i="11"/>
  <c r="D168" i="11"/>
  <c r="G170" i="11"/>
  <c r="C170" i="11"/>
  <c r="D181" i="11"/>
  <c r="C181" i="11"/>
  <c r="C182" i="11"/>
  <c r="D182" i="11"/>
  <c r="E182" i="11"/>
  <c r="D184" i="11"/>
  <c r="E184" i="11"/>
  <c r="G184" i="11"/>
  <c r="C184" i="11"/>
  <c r="E186" i="11"/>
  <c r="D186" i="11"/>
  <c r="C186" i="11"/>
  <c r="E187" i="11"/>
  <c r="C187" i="11"/>
  <c r="D187" i="11"/>
  <c r="E198" i="11"/>
  <c r="C198" i="11"/>
  <c r="D198" i="11"/>
  <c r="C212" i="11"/>
  <c r="E212" i="11"/>
  <c r="D212" i="11"/>
  <c r="C214" i="11"/>
  <c r="D214" i="11"/>
  <c r="D216" i="11"/>
  <c r="C216" i="11"/>
  <c r="G220" i="11"/>
  <c r="E220" i="11"/>
  <c r="D220" i="11"/>
  <c r="C220" i="11"/>
  <c r="E224" i="11"/>
  <c r="D224" i="11"/>
  <c r="C224" i="11"/>
  <c r="G224" i="11"/>
  <c r="E225" i="11"/>
  <c r="G225" i="11"/>
  <c r="D261" i="11"/>
  <c r="C261" i="11"/>
  <c r="C262" i="11"/>
  <c r="D262" i="11"/>
  <c r="E262" i="11"/>
  <c r="E265" i="11"/>
  <c r="D265" i="11"/>
  <c r="C265" i="11"/>
  <c r="C267" i="11"/>
  <c r="E267" i="11"/>
  <c r="G267" i="11"/>
  <c r="D267" i="11"/>
  <c r="E270" i="11"/>
  <c r="C270" i="11"/>
  <c r="G270" i="11"/>
  <c r="D270" i="11"/>
  <c r="M270" i="11"/>
  <c r="E271" i="11"/>
  <c r="C271" i="11"/>
  <c r="M280" i="11"/>
  <c r="C280" i="11"/>
  <c r="D280" i="11"/>
  <c r="E280" i="11"/>
  <c r="G280" i="11"/>
  <c r="C298" i="11"/>
  <c r="D298" i="11"/>
  <c r="E298" i="11"/>
  <c r="G298" i="11"/>
  <c r="E300" i="11"/>
  <c r="G300" i="11"/>
  <c r="C300" i="11"/>
  <c r="D300" i="11"/>
  <c r="M300" i="11"/>
  <c r="C301" i="11"/>
  <c r="E301" i="11"/>
  <c r="S11" i="3"/>
  <c r="S36" i="3"/>
  <c r="S37" i="3"/>
  <c r="N19" i="5"/>
  <c r="S14" i="3"/>
  <c r="S43" i="3" s="1"/>
  <c r="S20" i="3"/>
  <c r="G225" i="5"/>
  <c r="F225" i="5"/>
  <c r="E225" i="5"/>
  <c r="D225" i="5"/>
  <c r="C225" i="5"/>
  <c r="B225" i="5"/>
  <c r="J224" i="5"/>
  <c r="I224" i="5"/>
  <c r="H224" i="5"/>
  <c r="G224" i="5"/>
  <c r="F224" i="5"/>
  <c r="E224" i="5"/>
  <c r="D224" i="5"/>
  <c r="C224" i="5"/>
  <c r="B224" i="5"/>
  <c r="J223" i="5"/>
  <c r="I223" i="5"/>
  <c r="H223" i="5"/>
  <c r="G223" i="5"/>
  <c r="F223" i="5"/>
  <c r="P27" i="5" s="1"/>
  <c r="E223" i="5"/>
  <c r="D223" i="5"/>
  <c r="C223" i="5"/>
  <c r="B223" i="5"/>
  <c r="J222" i="5"/>
  <c r="I222" i="5"/>
  <c r="H222" i="5"/>
  <c r="G222" i="5"/>
  <c r="F222" i="5"/>
  <c r="E222" i="5"/>
  <c r="D222" i="5"/>
  <c r="C222" i="5"/>
  <c r="B222" i="5"/>
  <c r="J221" i="5"/>
  <c r="I221" i="5"/>
  <c r="H221" i="5"/>
  <c r="G221" i="5"/>
  <c r="F221" i="5"/>
  <c r="E221" i="5"/>
  <c r="D221" i="5"/>
  <c r="C221" i="5"/>
  <c r="B221" i="5"/>
  <c r="J220" i="5"/>
  <c r="I220" i="5"/>
  <c r="H220" i="5"/>
  <c r="G220" i="5"/>
  <c r="F220" i="5"/>
  <c r="E220" i="5"/>
  <c r="D220" i="5"/>
  <c r="C220" i="5"/>
  <c r="B220" i="5"/>
  <c r="J219" i="5"/>
  <c r="I219" i="5"/>
  <c r="H219" i="5"/>
  <c r="G219" i="5"/>
  <c r="F219" i="5"/>
  <c r="E219" i="5"/>
  <c r="D219" i="5"/>
  <c r="C219" i="5"/>
  <c r="B219" i="5"/>
  <c r="J218" i="5"/>
  <c r="I218" i="5"/>
  <c r="H218" i="5"/>
  <c r="G218" i="5"/>
  <c r="F218" i="5"/>
  <c r="E218" i="5"/>
  <c r="D218" i="5"/>
  <c r="C218" i="5"/>
  <c r="B218" i="5"/>
  <c r="J217" i="5"/>
  <c r="I217" i="5"/>
  <c r="H217" i="5"/>
  <c r="G217" i="5"/>
  <c r="F217" i="5"/>
  <c r="E217" i="5"/>
  <c r="D217" i="5"/>
  <c r="C217" i="5"/>
  <c r="B217" i="5"/>
  <c r="J216" i="5"/>
  <c r="I216" i="5"/>
  <c r="H216" i="5"/>
  <c r="G216" i="5"/>
  <c r="F216" i="5"/>
  <c r="E216" i="5"/>
  <c r="D216" i="5"/>
  <c r="C216" i="5"/>
  <c r="B216" i="5"/>
  <c r="G209" i="5"/>
  <c r="F209" i="5"/>
  <c r="E209" i="5"/>
  <c r="D209" i="5"/>
  <c r="C209" i="5"/>
  <c r="B209" i="5"/>
  <c r="J208" i="5"/>
  <c r="I208" i="5"/>
  <c r="H208" i="5"/>
  <c r="G208" i="5"/>
  <c r="F208" i="5"/>
  <c r="E208" i="5"/>
  <c r="D208" i="5"/>
  <c r="C208" i="5"/>
  <c r="B208" i="5"/>
  <c r="J207" i="5"/>
  <c r="I207" i="5"/>
  <c r="H207" i="5"/>
  <c r="G207" i="5"/>
  <c r="F207" i="5"/>
  <c r="E207" i="5"/>
  <c r="D207" i="5"/>
  <c r="C207" i="5"/>
  <c r="B207" i="5"/>
  <c r="J103" i="5"/>
  <c r="S18" i="3"/>
  <c r="N27" i="5"/>
  <c r="O27" i="5"/>
  <c r="N26" i="5"/>
  <c r="O26" i="5"/>
  <c r="P26" i="5"/>
  <c r="N25" i="5"/>
  <c r="O25" i="5"/>
  <c r="P25" i="5"/>
  <c r="O24" i="5"/>
  <c r="N23" i="5"/>
  <c r="O23" i="5"/>
  <c r="N22" i="5"/>
  <c r="O22" i="5"/>
  <c r="N18" i="5"/>
  <c r="N24" i="5"/>
  <c r="F102" i="5"/>
  <c r="F103" i="5"/>
  <c r="N31" i="5" s="1" a="1"/>
  <c r="O31" i="5" s="1" a="1"/>
  <c r="N30" i="5" a="1"/>
  <c r="N17" i="5"/>
  <c r="O30" i="5" a="1"/>
  <c r="N42" i="3"/>
  <c r="N43" i="3"/>
  <c r="S42" i="3"/>
  <c r="J209" i="5"/>
  <c r="J211" i="5"/>
  <c r="J212" i="5"/>
  <c r="J210" i="5"/>
  <c r="I211" i="5"/>
  <c r="I212" i="5"/>
  <c r="P24" i="5" s="1"/>
  <c r="I210" i="5"/>
  <c r="I209" i="5"/>
  <c r="P22" i="5" s="1"/>
  <c r="H212" i="5"/>
  <c r="H209" i="5"/>
  <c r="P23" i="5" s="1"/>
  <c r="H210" i="5"/>
  <c r="H211" i="5"/>
  <c r="G211" i="5"/>
  <c r="G212" i="5"/>
  <c r="G210" i="5"/>
  <c r="F212" i="5"/>
  <c r="F210" i="5"/>
  <c r="F211" i="5"/>
  <c r="E211" i="5"/>
  <c r="E212" i="5"/>
  <c r="E210" i="5"/>
  <c r="D211" i="5"/>
  <c r="D210" i="5"/>
  <c r="D212" i="5"/>
  <c r="C212" i="5"/>
  <c r="C211" i="5"/>
  <c r="C210" i="5"/>
  <c r="C213" i="5"/>
  <c r="B213" i="5"/>
  <c r="B210" i="5"/>
  <c r="B211" i="5"/>
  <c r="B212" i="5"/>
  <c r="D103" i="5"/>
  <c r="D102" i="5"/>
  <c r="C102" i="5"/>
  <c r="C103" i="5"/>
  <c r="B102" i="5"/>
  <c r="B103" i="5"/>
  <c r="K102" i="5"/>
  <c r="K103" i="5"/>
  <c r="I102" i="5"/>
  <c r="I103" i="5"/>
  <c r="H103" i="5"/>
  <c r="H102" i="5"/>
  <c r="G103" i="5"/>
  <c r="G102" i="5"/>
  <c r="E102" i="5"/>
  <c r="E103" i="5"/>
  <c r="M11" i="11" l="1"/>
  <c r="M12" i="11"/>
  <c r="M22" i="11"/>
  <c r="M25" i="11"/>
  <c r="M26" i="11"/>
  <c r="M29" i="11"/>
  <c r="M31" i="11"/>
  <c r="M34" i="11"/>
  <c r="M36" i="11"/>
  <c r="M38" i="11"/>
  <c r="M39" i="11"/>
  <c r="M40" i="11"/>
  <c r="M41" i="11"/>
  <c r="M44" i="11"/>
  <c r="M45" i="11"/>
  <c r="M66" i="11"/>
  <c r="M67" i="11"/>
  <c r="M69" i="11"/>
  <c r="M84" i="11"/>
  <c r="M86" i="11"/>
  <c r="M125" i="11"/>
  <c r="M151" i="11"/>
  <c r="M153" i="11"/>
  <c r="M155" i="11"/>
  <c r="M157" i="11"/>
  <c r="M158" i="11"/>
  <c r="M161" i="11"/>
  <c r="M163" i="11"/>
  <c r="M48" i="11"/>
  <c r="M55" i="11"/>
  <c r="M58" i="11"/>
  <c r="M160" i="11"/>
  <c r="M165" i="11"/>
  <c r="M206" i="11"/>
  <c r="M89" i="11"/>
  <c r="M92" i="11"/>
  <c r="M99" i="11"/>
  <c r="M101" i="11"/>
  <c r="M104" i="11"/>
  <c r="M105" i="11"/>
  <c r="M106" i="11"/>
  <c r="M108" i="11"/>
  <c r="M117" i="11"/>
  <c r="M118" i="11"/>
  <c r="M119" i="11"/>
  <c r="M120" i="11"/>
  <c r="M123" i="11"/>
  <c r="M148" i="11"/>
  <c r="M149" i="11"/>
  <c r="M152" i="11"/>
  <c r="M159" i="11"/>
  <c r="M251" i="11"/>
  <c r="M126" i="11"/>
  <c r="M130" i="11"/>
  <c r="M132" i="11"/>
  <c r="M133" i="11"/>
  <c r="M134" i="11"/>
  <c r="M135" i="11"/>
  <c r="M140" i="11"/>
  <c r="M142" i="11"/>
  <c r="M144" i="11"/>
  <c r="M145" i="11"/>
  <c r="M146" i="11"/>
  <c r="M147" i="11"/>
  <c r="M172" i="11"/>
  <c r="M173" i="11"/>
  <c r="M174" i="11"/>
  <c r="M179" i="11"/>
  <c r="M180" i="11"/>
  <c r="M183" i="11"/>
  <c r="M185" i="11"/>
  <c r="M190" i="11"/>
  <c r="M191" i="11"/>
  <c r="M193" i="11"/>
  <c r="M194" i="11"/>
  <c r="M200" i="11"/>
  <c r="M204" i="11"/>
  <c r="M205" i="11"/>
  <c r="M207" i="11"/>
  <c r="M210" i="11"/>
  <c r="M211" i="11"/>
  <c r="M213" i="11"/>
  <c r="M215" i="11"/>
  <c r="M219" i="11"/>
  <c r="M220" i="11"/>
  <c r="M222" i="11"/>
  <c r="M223" i="11"/>
  <c r="M226" i="11"/>
  <c r="M227" i="11"/>
  <c r="M228" i="11"/>
  <c r="M229" i="11"/>
  <c r="M230" i="11"/>
  <c r="M231" i="11"/>
  <c r="M232" i="11"/>
  <c r="M233" i="11"/>
  <c r="M235" i="11"/>
  <c r="M236" i="11"/>
  <c r="M238" i="11"/>
  <c r="M239" i="11"/>
  <c r="M240" i="11"/>
  <c r="M249" i="11"/>
  <c r="M250" i="11"/>
  <c r="M184" i="11"/>
  <c r="M225" i="11"/>
  <c r="M267" i="11"/>
  <c r="M170" i="11"/>
  <c r="M21" i="11"/>
  <c r="M7" i="11"/>
  <c r="M168"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Keller, Zach</author>
  </authors>
  <commentList>
    <comment ref="I3" authorId="0" shapeId="0" xr:uid="{CCA5C5C1-EFFA-F74B-A50E-1DE36BD0F7D6}">
      <text>
        <r>
          <rPr>
            <b/>
            <sz val="10"/>
            <color rgb="FF000000"/>
            <rFont val="Tahoma"/>
            <family val="2"/>
          </rPr>
          <t>Keller, Zach:</t>
        </r>
        <r>
          <rPr>
            <sz val="10"/>
            <color rgb="FF000000"/>
            <rFont val="Tahoma"/>
            <family val="2"/>
          </rPr>
          <t xml:space="preserve">
Forbes Oct 2023 list: average value up ~35% YoY, which Forbes attributed to the expected new national media deal and the Suns/Hornets sales. Small-market teams jumped 60–75%, big-market teams ~8%.
Source: Front Office Sports, https://frontofficesports.com/article/most-valuable-nba-franchises-2023-golden-state-warriors/</t>
        </r>
      </text>
    </comment>
    <comment ref="B4" authorId="0" shapeId="0" xr:uid="{C657ECB9-E81B-9246-94A1-0315E41A7BC8}">
      <text>
        <r>
          <rPr>
            <b/>
            <sz val="10"/>
            <color rgb="FF000000"/>
            <rFont val="Tahoma"/>
            <family val="2"/>
          </rPr>
          <t>Keller, Zach:</t>
        </r>
        <r>
          <rPr>
            <sz val="10"/>
            <color rgb="FF000000"/>
            <rFont val="Tahoma"/>
            <family val="2"/>
          </rPr>
          <t xml:space="preserve">
Source: Forbes press release, Feb 15 2017 (methodology: 2015-16 season), https://www.forbes.com/sites/forbespr/2017/02/15/forbes-releases-19th-annual-nba-team-valuations/</t>
        </r>
      </text>
    </comment>
    <comment ref="C4" authorId="0" shapeId="0" xr:uid="{7BCB489F-494D-D148-B465-17E160ED6A49}">
      <text>
        <r>
          <rPr>
            <b/>
            <sz val="10"/>
            <color rgb="FF000000"/>
            <rFont val="Tahoma"/>
            <family val="2"/>
          </rPr>
          <t>Keller, Zach:</t>
        </r>
        <r>
          <rPr>
            <sz val="10"/>
            <color rgb="FF000000"/>
            <rFont val="Tahoma"/>
            <family val="2"/>
          </rPr>
          <t xml:space="preserve">
Source: Forbes press release, Feb 7 2018 (methodology: 2016-17 season), https://www.forbes.com/sites/forbespr/2018/02/07/forbes-releases-20th-annual-nba-team-valuations/</t>
        </r>
      </text>
    </comment>
    <comment ref="D4" authorId="0" shapeId="0" xr:uid="{19F8FF18-E1C7-AA41-BEFB-E40AE8BD150B}">
      <text>
        <r>
          <rPr>
            <b/>
            <sz val="10"/>
            <color rgb="FF000000"/>
            <rFont val="Tahoma"/>
            <family val="2"/>
          </rPr>
          <t>Keller, Zach:</t>
        </r>
        <r>
          <rPr>
            <sz val="10"/>
            <color rgb="FF000000"/>
            <rFont val="Tahoma"/>
            <family val="2"/>
          </rPr>
          <t xml:space="preserve">
Source: Forbes, Feb 6 2019 (methodology: 2017-18 season), https://www.forbes.com/sites/kurtbadenhausen/2019/02/06/nba-team-values-2019-knicks-on-top-at-4-billion/</t>
        </r>
      </text>
    </comment>
    <comment ref="E4" authorId="0" shapeId="0" xr:uid="{32B832FF-672A-A54F-81B8-D0D36DEDDA2F}">
      <text>
        <r>
          <rPr>
            <b/>
            <sz val="10"/>
            <color rgb="FF000000"/>
            <rFont val="Tahoma"/>
            <family val="2"/>
          </rPr>
          <t>Keller, Zach:</t>
        </r>
        <r>
          <rPr>
            <sz val="10"/>
            <color rgb="FF000000"/>
            <rFont val="Tahoma"/>
            <family val="2"/>
          </rPr>
          <t xml:space="preserve">
Source: Forbes press release, Feb 11 2020 (methodology: 2018-19 season), https://www.forbes.com/sites/forbespr/2020/02/11/the-business-of-basketball-forbes-releases-22nd-annual-nba-team-valuations/</t>
        </r>
      </text>
    </comment>
    <comment ref="F4" authorId="0" shapeId="0" xr:uid="{5452D12F-64A0-B141-AE1F-4A6176A1F8B0}">
      <text>
        <r>
          <rPr>
            <b/>
            <sz val="10"/>
            <color rgb="FF000000"/>
            <rFont val="Tahoma"/>
            <family val="2"/>
          </rPr>
          <t>Keller, Zach:</t>
        </r>
        <r>
          <rPr>
            <sz val="10"/>
            <color rgb="FF000000"/>
            <rFont val="Tahoma"/>
            <family val="2"/>
          </rPr>
          <t xml:space="preserve">
Source: Forbes, Feb 10 2021 (methodology: 2019-20 season), https://www.forbes.com/sites/kurtbadenhausen/2021/02/10/nba-team-values-2021-knicks-keep-top-spot-at-5-billion-warriors-bump-lakers-for-second-place/. Note: published only ~8 months before the next (Oct 2021) list, when Forbes moved to an October schedule.</t>
        </r>
      </text>
    </comment>
    <comment ref="G4" authorId="0" shapeId="0" xr:uid="{BC28ED86-C320-9D4A-8198-E368E665D3EC}">
      <text>
        <r>
          <rPr>
            <b/>
            <sz val="10"/>
            <color rgb="FF000000"/>
            <rFont val="Tahoma"/>
            <family val="2"/>
          </rPr>
          <t>Keller, Zach:</t>
        </r>
        <r>
          <rPr>
            <sz val="10"/>
            <color rgb="FF000000"/>
            <rFont val="Tahoma"/>
            <family val="2"/>
          </rPr>
          <t xml:space="preserve">
Source: Forbes, Oct 18 2021 (methodology: 2020-21 season), https://www.forbes.com/sites/mikeozanian/2021/10/18/the-nbas-most-valuable-teams-2021-22-new-york-knicks-lead-a-trio-now-worth-over-5-billion-each/</t>
        </r>
      </text>
    </comment>
    <comment ref="H4" authorId="0" shapeId="0" xr:uid="{8794D924-E8FA-4041-A5C1-D5789CD2F9FD}">
      <text>
        <r>
          <rPr>
            <b/>
            <sz val="10"/>
            <color rgb="FF000000"/>
            <rFont val="Tahoma"/>
            <family val="2"/>
          </rPr>
          <t>Keller, Zach:</t>
        </r>
        <r>
          <rPr>
            <sz val="10"/>
            <color rgb="FF000000"/>
            <rFont val="Tahoma"/>
            <family val="2"/>
          </rPr>
          <t xml:space="preserve">
Source: Forbes, Oct 27 2022, https://www.forbes.com/sites/mikeozanian/2022/10/27/nba-team-values-2022-for-the-first-time-in-two-decades-the-top-spot-goes-to-a-franchise-thats-not-the-knicks-or-lakers/. Methodology text not read directly; 2021-22 season confirmed via Forbes figures reported by Reuters (Oct 28 2022), https://sports.inquirer.net/483028/golden-state-worth-7-billion-as-nbas-most-valued-club-forbes</t>
        </r>
      </text>
    </comment>
    <comment ref="I4" authorId="0" shapeId="0" xr:uid="{30D071E1-D90C-2640-A4A2-EDBF80F83096}">
      <text>
        <r>
          <rPr>
            <b/>
            <sz val="10"/>
            <color rgb="FF000000"/>
            <rFont val="Tahoma"/>
            <family val="2"/>
          </rPr>
          <t>Keller, Zach:</t>
        </r>
        <r>
          <rPr>
            <sz val="10"/>
            <color rgb="FF000000"/>
            <rFont val="Tahoma"/>
            <family val="2"/>
          </rPr>
          <t xml:space="preserve">
Source: Forbes, Oct 26 2023 (revenue for 2022-23 season), https://www.forbes.com/sites/mikeozanian/2023/10/26/the-most-valuable-nba-teams-2023/</t>
        </r>
      </text>
    </comment>
    <comment ref="J4" authorId="0" shapeId="0" xr:uid="{4D1F9722-31B8-C743-AEAC-34FD75D8313F}">
      <text>
        <r>
          <rPr>
            <b/>
            <sz val="10"/>
            <color rgb="FF000000"/>
            <rFont val="Tahoma"/>
            <family val="2"/>
          </rPr>
          <t>Keller, Zach:</t>
        </r>
        <r>
          <rPr>
            <sz val="10"/>
            <color rgb="FF000000"/>
            <rFont val="Tahoma"/>
            <family val="2"/>
          </rPr>
          <t xml:space="preserve">
Source: Forbes, Oct 24 2024 (methodology: 2023-24 season), https://www.forbes.com/sites/justinteitelbaum/2024/10/24/the-most-valuable-nba-teams-2024/</t>
        </r>
      </text>
    </comment>
    <comment ref="K4" authorId="0" shapeId="0" xr:uid="{E6208858-79C9-FD43-9DE9-A6BFC550B192}">
      <text>
        <r>
          <rPr>
            <b/>
            <sz val="10"/>
            <color rgb="FF000000"/>
            <rFont val="Tahoma"/>
            <family val="2"/>
          </rPr>
          <t>Keller, Zach:</t>
        </r>
        <r>
          <rPr>
            <sz val="10"/>
            <color rgb="FF000000"/>
            <rFont val="Tahoma"/>
            <family val="2"/>
          </rPr>
          <t xml:space="preserve">
Source: Forbes, Oct 23 2025 (methodology: 2024-25 season), https://www.forbes.com/sites/justinteitelbaum/2025/10/23/the-most-valuable-nba-teams-2025/</t>
        </r>
      </text>
    </comment>
    <comment ref="B5" authorId="0" shapeId="0" xr:uid="{3EFF7221-62AB-424A-8826-0CB5C107A882}">
      <text>
        <r>
          <rPr>
            <b/>
            <sz val="10"/>
            <color rgb="FF000000"/>
            <rFont val="Tahoma"/>
            <family val="2"/>
          </rPr>
          <t>Keller, Zach:</t>
        </r>
        <r>
          <rPr>
            <sz val="10"/>
            <color rgb="FF000000"/>
            <rFont val="Tahoma"/>
            <family val="2"/>
          </rPr>
          <t xml:space="preserve">
</t>
        </r>
        <r>
          <rPr>
            <sz val="10"/>
            <color rgb="FF000000"/>
            <rFont val="Tahoma"/>
            <family val="2"/>
          </rPr>
          <t>Source: Forbes team page, historical value for Forbes 2016 list (2016–17 season; Forbes rounds to nearest $0.1B on this page), https://www.forbes.com/teams/atlanta-hawks/</t>
        </r>
      </text>
    </comment>
    <comment ref="C5" authorId="0" shapeId="0" xr:uid="{A3088634-097A-F44F-8AA4-7AF0D882CE1D}">
      <text>
        <r>
          <rPr>
            <b/>
            <sz val="10"/>
            <color rgb="FF000000"/>
            <rFont val="Tahoma"/>
            <family val="2"/>
          </rPr>
          <t>Keller, Zach:</t>
        </r>
        <r>
          <rPr>
            <sz val="10"/>
            <color rgb="FF000000"/>
            <rFont val="Tahoma"/>
            <family val="2"/>
          </rPr>
          <t xml:space="preserve">
Source: Forbes team page, historical value for Forbes 2017 list (2017–18 season; Forbes rounds to nearest $0.1B on this page), https://www.forbes.com/teams/atlanta-hawks/</t>
        </r>
      </text>
    </comment>
    <comment ref="D5" authorId="0" shapeId="0" xr:uid="{8431A549-BA8B-C645-B71D-BF36B3CBC608}">
      <text>
        <r>
          <rPr>
            <b/>
            <sz val="10"/>
            <color rgb="FF000000"/>
            <rFont val="Tahoma"/>
            <family val="2"/>
          </rPr>
          <t>Keller, Zach:</t>
        </r>
        <r>
          <rPr>
            <sz val="10"/>
            <color rgb="FF000000"/>
            <rFont val="Tahoma"/>
            <family val="2"/>
          </rPr>
          <t xml:space="preserve">
Source: Forbes team page, historical value for Forbes 2018 list (2018–19 season; Forbes rounds to nearest $0.1B on this page), https://www.forbes.com/teams/atlanta-hawks/</t>
        </r>
      </text>
    </comment>
    <comment ref="E5" authorId="0" shapeId="0" xr:uid="{A45EADA5-464E-0148-AB9C-71164C31119C}">
      <text>
        <r>
          <rPr>
            <b/>
            <sz val="10"/>
            <color rgb="FF000000"/>
            <rFont val="Tahoma"/>
            <family val="2"/>
          </rPr>
          <t>Keller, Zach:</t>
        </r>
        <r>
          <rPr>
            <sz val="10"/>
            <color rgb="FF000000"/>
            <rFont val="Tahoma"/>
            <family val="2"/>
          </rPr>
          <t xml:space="preserve">
Source: Forbes team page, historical value for Forbes 2019 list (2019–20 season; Forbes rounds to nearest $0.1B on this page), https://www.forbes.com/teams/atlanta-hawks/</t>
        </r>
      </text>
    </comment>
    <comment ref="F5" authorId="0" shapeId="0" xr:uid="{4A29F8F7-14F7-2744-9853-BBF671A00177}">
      <text>
        <r>
          <rPr>
            <b/>
            <sz val="10"/>
            <color rgb="FF000000"/>
            <rFont val="Tahoma"/>
            <family val="2"/>
          </rPr>
          <t>Keller, Zach:</t>
        </r>
        <r>
          <rPr>
            <sz val="10"/>
            <color rgb="FF000000"/>
            <rFont val="Tahoma"/>
            <family val="2"/>
          </rPr>
          <t xml:space="preserve">
Source: Forbes NBA Team Valuations (Feb 2021, 2020–21 season), https://www.forbes.com/sites/kurtbadenhausen/2021/02/10/nba-team-values-2021-knicks-keep-top-spot-at-5-billion-warriors-bump-lakers-for-second-place/</t>
        </r>
      </text>
    </comment>
    <comment ref="G5" authorId="0" shapeId="0" xr:uid="{0C735CEB-1733-D647-BE41-5760AE665537}">
      <text>
        <r>
          <rPr>
            <b/>
            <sz val="10"/>
            <color rgb="FF000000"/>
            <rFont val="Tahoma"/>
            <family val="2"/>
          </rPr>
          <t>Keller, Zach:</t>
        </r>
        <r>
          <rPr>
            <sz val="10"/>
            <color rgb="FF000000"/>
            <rFont val="Tahoma"/>
            <family val="2"/>
          </rPr>
          <t xml:space="preserve">
Source: Forbes NBA Team Valuations (Oct 2021, 2021–22 season), https://www.forbes.com/sites/mikeozanian/2021/10/18/the-nbas-most-valuable-teams-2021-22-new-york-knicks-lead-a-trio-now-worth-over-5-billion-each/</t>
        </r>
      </text>
    </comment>
    <comment ref="H5" authorId="0" shapeId="0" xr:uid="{D061811B-5235-F542-8260-71B8BBFA2CC3}">
      <text>
        <r>
          <rPr>
            <b/>
            <sz val="10"/>
            <color rgb="FF000000"/>
            <rFont val="Tahoma"/>
            <family val="2"/>
          </rPr>
          <t>Keller, Zach:</t>
        </r>
        <r>
          <rPr>
            <sz val="10"/>
            <color rgb="FF000000"/>
            <rFont val="Tahoma"/>
            <family val="2"/>
          </rPr>
          <t xml:space="preserve">
Source: Forbes NBA Team Valuations (Oct 2022, 2022–23 season), https://www.forbes.com/sites/mikeozanian/2022/10/27/nba-team-values-2022-for-the-first-time-in-two-decades-the-top-spot-goes-to-a-franchise-thats-not-the-knicks-or-lakers/</t>
        </r>
      </text>
    </comment>
    <comment ref="I5" authorId="0" shapeId="0" xr:uid="{EC1D3439-A464-D84A-95AE-3A2F65C3F9F5}">
      <text>
        <r>
          <rPr>
            <b/>
            <sz val="10"/>
            <color rgb="FF000000"/>
            <rFont val="Tahoma"/>
            <family val="2"/>
          </rPr>
          <t>Keller, Zach:</t>
        </r>
        <r>
          <rPr>
            <sz val="10"/>
            <color rgb="FF000000"/>
            <rFont val="Tahoma"/>
            <family val="2"/>
          </rPr>
          <t xml:space="preserve">
Source: Forbes NBA Team Valuations (Oct 2023, 2023–24 season), https://www.forbes.com/sites/mikeozanian/2023/10/26/the-most-valuable-nba-teams-2023/</t>
        </r>
      </text>
    </comment>
    <comment ref="J5" authorId="0" shapeId="0" xr:uid="{5B8C7C2B-C843-F04A-917D-B915A9E2F174}">
      <text>
        <r>
          <rPr>
            <b/>
            <sz val="10"/>
            <color rgb="FF000000"/>
            <rFont val="Tahoma"/>
            <family val="2"/>
          </rPr>
          <t>Keller, Zach:</t>
        </r>
        <r>
          <rPr>
            <sz val="10"/>
            <color rgb="FF000000"/>
            <rFont val="Tahoma"/>
            <family val="2"/>
          </rPr>
          <t xml:space="preserve">
Source: Forbes NBA Team Valuations (Oct 2024, 2024–25 season), https://www.forbes.com/sites/justinteitelbaum/2024/10/24/the-most-valuable-nba-teams-2024/</t>
        </r>
      </text>
    </comment>
    <comment ref="K5" authorId="0" shapeId="0" xr:uid="{D37C7B70-13FB-ED4D-862D-DD5D02DC0E08}">
      <text>
        <r>
          <rPr>
            <b/>
            <sz val="10"/>
            <color rgb="FF000000"/>
            <rFont val="Tahoma"/>
            <family val="2"/>
          </rPr>
          <t>Keller, Zach:</t>
        </r>
        <r>
          <rPr>
            <sz val="10"/>
            <color rgb="FF000000"/>
            <rFont val="Tahoma"/>
            <family val="2"/>
          </rPr>
          <t xml:space="preserve">
Source: Forbes NBA Team Valuations (Oct 2025, 2025–26 season), https://www.forbes.com/sites/justinteitelbaum/2025/10/23/the-most-valuable-nba-teams-2025/</t>
        </r>
      </text>
    </comment>
    <comment ref="B6" authorId="0" shapeId="0" xr:uid="{BC8E412B-5FC9-FC4B-BDD0-F7383CF62279}">
      <text>
        <r>
          <rPr>
            <b/>
            <sz val="10"/>
            <color rgb="FF000000"/>
            <rFont val="Tahoma"/>
            <family val="2"/>
          </rPr>
          <t>Keller, Zach:</t>
        </r>
        <r>
          <rPr>
            <sz val="10"/>
            <color rgb="FF000000"/>
            <rFont val="Tahoma"/>
            <family val="2"/>
          </rPr>
          <t xml:space="preserve">
Source: Forbes team page, historical value for Forbes 2016 list (2016–17 season; Forbes rounds to nearest $0.1B on this page), https://www.forbes.com/teams/boston-celtics/</t>
        </r>
      </text>
    </comment>
    <comment ref="C6" authorId="0" shapeId="0" xr:uid="{32A633AF-3206-1F41-9E94-1FF549E2E9D9}">
      <text>
        <r>
          <rPr>
            <b/>
            <sz val="10"/>
            <color rgb="FF000000"/>
            <rFont val="Tahoma"/>
            <family val="2"/>
          </rPr>
          <t>Keller, Zach:</t>
        </r>
        <r>
          <rPr>
            <sz val="10"/>
            <color rgb="FF000000"/>
            <rFont val="Tahoma"/>
            <family val="2"/>
          </rPr>
          <t xml:space="preserve">
</t>
        </r>
        <r>
          <rPr>
            <sz val="10"/>
            <color rgb="FF000000"/>
            <rFont val="Tahoma"/>
            <family val="2"/>
          </rPr>
          <t>Source: Forbes team page, historical value for Forbes 2017 list (2017–18 season; Forbes rounds to nearest $0.1B on this page), https://www.forbes.com/teams/boston-celtics/</t>
        </r>
      </text>
    </comment>
    <comment ref="D6" authorId="0" shapeId="0" xr:uid="{53197FDA-4E87-EE44-BD0D-B82C8BAF1FE1}">
      <text>
        <r>
          <rPr>
            <b/>
            <sz val="10"/>
            <color rgb="FF000000"/>
            <rFont val="Tahoma"/>
            <family val="2"/>
          </rPr>
          <t>Keller, Zach:</t>
        </r>
        <r>
          <rPr>
            <sz val="10"/>
            <color rgb="FF000000"/>
            <rFont val="Tahoma"/>
            <family val="2"/>
          </rPr>
          <t xml:space="preserve">
Source: Forbes team page, historical value for Forbes 2018 list (2018–19 season; Forbes rounds to nearest $0.1B on this page), https://www.forbes.com/teams/boston-celtics/</t>
        </r>
      </text>
    </comment>
    <comment ref="E6" authorId="0" shapeId="0" xr:uid="{F181EEBD-92E2-3E41-A9C5-5CB630B0D295}">
      <text>
        <r>
          <rPr>
            <b/>
            <sz val="10"/>
            <color rgb="FF000000"/>
            <rFont val="Tahoma"/>
            <family val="2"/>
          </rPr>
          <t>Keller, Zach:</t>
        </r>
        <r>
          <rPr>
            <sz val="10"/>
            <color rgb="FF000000"/>
            <rFont val="Tahoma"/>
            <family val="2"/>
          </rPr>
          <t xml:space="preserve">
</t>
        </r>
        <r>
          <rPr>
            <sz val="10"/>
            <color rgb="FF000000"/>
            <rFont val="Tahoma"/>
            <family val="2"/>
          </rPr>
          <t>Source: Forbes team page, historical value for Forbes 2019 list (2019–20 season; Forbes rounds to nearest $0.1B on this page), https://www.forbes.com/teams/boston-celtics/</t>
        </r>
      </text>
    </comment>
    <comment ref="F6" authorId="0" shapeId="0" xr:uid="{4EEAAAE2-15EB-CF4C-91C7-8AB6B339A99B}">
      <text>
        <r>
          <rPr>
            <b/>
            <sz val="10"/>
            <color rgb="FF000000"/>
            <rFont val="Tahoma"/>
            <family val="2"/>
          </rPr>
          <t>Keller, Zach:</t>
        </r>
        <r>
          <rPr>
            <sz val="10"/>
            <color rgb="FF000000"/>
            <rFont val="Tahoma"/>
            <family val="2"/>
          </rPr>
          <t xml:space="preserve">
Source: Forbes NBA Team Valuations (Feb 2021, 2020–21 season), https://www.forbes.com/sites/kurtbadenhausen/2021/02/10/nba-team-values-2021-knicks-keep-top-spot-at-5-billion-warriors-bump-lakers-for-second-place/</t>
        </r>
      </text>
    </comment>
    <comment ref="G6" authorId="0" shapeId="0" xr:uid="{6D735F0F-81AA-9B42-9582-651EF8FA5E99}">
      <text>
        <r>
          <rPr>
            <b/>
            <sz val="10"/>
            <color rgb="FF000000"/>
            <rFont val="Tahoma"/>
            <family val="2"/>
          </rPr>
          <t>Keller, Zach:</t>
        </r>
        <r>
          <rPr>
            <sz val="10"/>
            <color rgb="FF000000"/>
            <rFont val="Tahoma"/>
            <family val="2"/>
          </rPr>
          <t xml:space="preserve">
Source: Forbes NBA Team Valuations (Oct 2021, 2021–22 season), https://www.forbes.com/sites/mikeozanian/2021/10/18/the-nbas-most-valuable-teams-2021-22-new-york-knicks-lead-a-trio-now-worth-over-5-billion-each/</t>
        </r>
      </text>
    </comment>
    <comment ref="H6" authorId="0" shapeId="0" xr:uid="{BC4655D5-DDD5-2E4C-837B-21FA25456626}">
      <text>
        <r>
          <rPr>
            <b/>
            <sz val="10"/>
            <color rgb="FF000000"/>
            <rFont val="Tahoma"/>
            <family val="2"/>
          </rPr>
          <t>Keller, Zach:</t>
        </r>
        <r>
          <rPr>
            <sz val="10"/>
            <color rgb="FF000000"/>
            <rFont val="Tahoma"/>
            <family val="2"/>
          </rPr>
          <t xml:space="preserve">
Source: Forbes NBA Team Valuations (Oct 2022, 2022–23 season), https://www.forbes.com/sites/mikeozanian/2022/10/27/nba-team-values-2022-for-the-first-time-in-two-decades-the-top-spot-goes-to-a-franchise-thats-not-the-knicks-or-lakers/</t>
        </r>
      </text>
    </comment>
    <comment ref="I6" authorId="0" shapeId="0" xr:uid="{E06606FB-9EDB-0444-9BBC-073963E970E5}">
      <text>
        <r>
          <rPr>
            <b/>
            <sz val="10"/>
            <color rgb="FF000000"/>
            <rFont val="Tahoma"/>
            <family val="2"/>
          </rPr>
          <t>Keller, Zach:</t>
        </r>
        <r>
          <rPr>
            <sz val="10"/>
            <color rgb="FF000000"/>
            <rFont val="Tahoma"/>
            <family val="2"/>
          </rPr>
          <t xml:space="preserve">
Source: Forbes NBA Team Valuations (Oct 2023, 2023–24 season), https://www.forbes.com/sites/mikeozanian/2023/10/26/the-most-valuable-nba-teams-2023/</t>
        </r>
      </text>
    </comment>
    <comment ref="J6" authorId="0" shapeId="0" xr:uid="{E2CF18EB-88A0-4548-B198-A507C13B3E5F}">
      <text>
        <r>
          <rPr>
            <b/>
            <sz val="10"/>
            <color rgb="FF000000"/>
            <rFont val="Tahoma"/>
            <family val="2"/>
          </rPr>
          <t>Keller, Zach:</t>
        </r>
        <r>
          <rPr>
            <sz val="10"/>
            <color rgb="FF000000"/>
            <rFont val="Tahoma"/>
            <family val="2"/>
          </rPr>
          <t xml:space="preserve">
Source: Forbes NBA Team Valuations (Oct 2024, 2024–25 season), https://www.forbes.com/sites/justinteitelbaum/2024/10/24/the-most-valuable-nba-teams-2024/</t>
        </r>
      </text>
    </comment>
    <comment ref="K6" authorId="0" shapeId="0" xr:uid="{A5E7A0A2-B238-D247-8EC4-F2B8960182D8}">
      <text>
        <r>
          <rPr>
            <b/>
            <sz val="10"/>
            <color rgb="FF000000"/>
            <rFont val="Tahoma"/>
            <family val="2"/>
          </rPr>
          <t>Keller, Zach:</t>
        </r>
        <r>
          <rPr>
            <sz val="10"/>
            <color rgb="FF000000"/>
            <rFont val="Tahoma"/>
            <family val="2"/>
          </rPr>
          <t xml:space="preserve">
Source: Forbes NBA Team Valuations (Oct 2025, 2025–26 season), https://www.forbes.com/sites/justinteitelbaum/2025/10/23/the-most-valuable-nba-teams-2025/</t>
        </r>
      </text>
    </comment>
    <comment ref="B7" authorId="0" shapeId="0" xr:uid="{7F52DDDD-03BC-5D4C-8CA5-D6EBC433390F}">
      <text>
        <r>
          <rPr>
            <b/>
            <sz val="10"/>
            <color rgb="FF000000"/>
            <rFont val="Tahoma"/>
            <family val="2"/>
          </rPr>
          <t>Keller, Zach:</t>
        </r>
        <r>
          <rPr>
            <sz val="10"/>
            <color rgb="FF000000"/>
            <rFont val="Tahoma"/>
            <family val="2"/>
          </rPr>
          <t xml:space="preserve">
Source: Forbes team page, historical value for Forbes 2016 list (2016–17 season; Forbes rounds to nearest $0.1B on this page), https://www.forbes.com/teams/brooklyn-nets/</t>
        </r>
      </text>
    </comment>
    <comment ref="C7" authorId="0" shapeId="0" xr:uid="{2D383103-4635-8F44-8CB4-708A5CB79694}">
      <text>
        <r>
          <rPr>
            <b/>
            <sz val="10"/>
            <color rgb="FF000000"/>
            <rFont val="Tahoma"/>
            <family val="2"/>
          </rPr>
          <t>Keller, Zach:</t>
        </r>
        <r>
          <rPr>
            <sz val="10"/>
            <color rgb="FF000000"/>
            <rFont val="Tahoma"/>
            <family val="2"/>
          </rPr>
          <t xml:space="preserve">
Source: Forbes team page, historical value for Forbes 2017 list (2017–18 season; Forbes rounds to nearest $0.1B on this page), https://www.forbes.com/teams/brooklyn-nets/</t>
        </r>
      </text>
    </comment>
    <comment ref="D7" authorId="0" shapeId="0" xr:uid="{F48CC775-8C67-404D-9DFC-8EA911B82E45}">
      <text>
        <r>
          <rPr>
            <b/>
            <sz val="10"/>
            <color rgb="FF000000"/>
            <rFont val="Tahoma"/>
            <family val="2"/>
          </rPr>
          <t>Keller, Zach:</t>
        </r>
        <r>
          <rPr>
            <sz val="10"/>
            <color rgb="FF000000"/>
            <rFont val="Tahoma"/>
            <family val="2"/>
          </rPr>
          <t xml:space="preserve">
Source: Forbes team page, historical value for Forbes 2018 list (2018–19 season; Forbes rounds to nearest $0.1B on this page), https://www.forbes.com/teams/brooklyn-nets/</t>
        </r>
      </text>
    </comment>
    <comment ref="E7" authorId="0" shapeId="0" xr:uid="{2C67B1C0-F5CC-3947-88B2-806E49435EEF}">
      <text>
        <r>
          <rPr>
            <b/>
            <sz val="10"/>
            <color rgb="FF000000"/>
            <rFont val="Tahoma"/>
            <family val="2"/>
          </rPr>
          <t>Keller, Zach:</t>
        </r>
        <r>
          <rPr>
            <sz val="10"/>
            <color rgb="FF000000"/>
            <rFont val="Tahoma"/>
            <family val="2"/>
          </rPr>
          <t xml:space="preserve">
</t>
        </r>
        <r>
          <rPr>
            <sz val="10"/>
            <color rgb="FF000000"/>
            <rFont val="Tahoma"/>
            <family val="2"/>
          </rPr>
          <t>Source: Forbes team page, historical value for Forbes 2019 list (2019–20 season; Forbes rounds to nearest $0.1B on this page), https://www.forbes.com/teams/brooklyn-nets/</t>
        </r>
      </text>
    </comment>
    <comment ref="F7" authorId="0" shapeId="0" xr:uid="{3D3D4C42-FE57-D84A-819B-8D186C5314EE}">
      <text>
        <r>
          <rPr>
            <b/>
            <sz val="10"/>
            <color rgb="FF000000"/>
            <rFont val="Tahoma"/>
            <family val="2"/>
          </rPr>
          <t>Keller, Zach:</t>
        </r>
        <r>
          <rPr>
            <sz val="10"/>
            <color rgb="FF000000"/>
            <rFont val="Tahoma"/>
            <family val="2"/>
          </rPr>
          <t xml:space="preserve">
Source: Forbes NBA Team Valuations (Feb 2021, 2020–21 season), https://www.forbes.com/sites/kurtbadenhausen/2021/02/10/nba-team-values-2021-knicks-keep-top-spot-at-5-billion-warriors-bump-lakers-for-second-place/</t>
        </r>
      </text>
    </comment>
    <comment ref="G7" authorId="0" shapeId="0" xr:uid="{1CA63916-DCD7-B94D-B0A5-E4055C22FCF2}">
      <text>
        <r>
          <rPr>
            <b/>
            <sz val="10"/>
            <color rgb="FF000000"/>
            <rFont val="Tahoma"/>
            <family val="2"/>
          </rPr>
          <t>Keller, Zach:</t>
        </r>
        <r>
          <rPr>
            <sz val="10"/>
            <color rgb="FF000000"/>
            <rFont val="Tahoma"/>
            <family val="2"/>
          </rPr>
          <t xml:space="preserve">
Source: Forbes NBA Team Valuations (Oct 2021, 2021–22 season), https://www.forbes.com/sites/mikeozanian/2021/10/18/the-nbas-most-valuable-teams-2021-22-new-york-knicks-lead-a-trio-now-worth-over-5-billion-each/</t>
        </r>
      </text>
    </comment>
    <comment ref="H7" authorId="0" shapeId="0" xr:uid="{1FC29D41-EEB9-DC47-AB3D-A790BEE7A7EE}">
      <text>
        <r>
          <rPr>
            <b/>
            <sz val="10"/>
            <color rgb="FF000000"/>
            <rFont val="Tahoma"/>
            <family val="2"/>
          </rPr>
          <t>Keller, Zach:</t>
        </r>
        <r>
          <rPr>
            <sz val="10"/>
            <color rgb="FF000000"/>
            <rFont val="Tahoma"/>
            <family val="2"/>
          </rPr>
          <t xml:space="preserve">
Source: Forbes NBA Team Valuations (Oct 2022, 2022–23 season), https://www.forbes.com/sites/mikeozanian/2022/10/27/nba-team-values-2022-for-the-first-time-in-two-decades-the-top-spot-goes-to-a-franchise-thats-not-the-knicks-or-lakers/</t>
        </r>
      </text>
    </comment>
    <comment ref="I7" authorId="0" shapeId="0" xr:uid="{946793EC-1453-CE42-873B-3D12989503A9}">
      <text>
        <r>
          <rPr>
            <b/>
            <sz val="10"/>
            <color rgb="FF000000"/>
            <rFont val="Tahoma"/>
            <family val="2"/>
          </rPr>
          <t>Keller, Zach:</t>
        </r>
        <r>
          <rPr>
            <sz val="10"/>
            <color rgb="FF000000"/>
            <rFont val="Tahoma"/>
            <family val="2"/>
          </rPr>
          <t xml:space="preserve">
Source: Forbes NBA Team Valuations (Oct 2023, 2023–24 season), https://www.forbes.com/sites/mikeozanian/2023/10/26/the-most-valuable-nba-teams-2023/</t>
        </r>
      </text>
    </comment>
    <comment ref="J7" authorId="0" shapeId="0" xr:uid="{8F696B7F-578C-924D-9B0B-EFA2A9F66AE0}">
      <text>
        <r>
          <rPr>
            <b/>
            <sz val="10"/>
            <color rgb="FF000000"/>
            <rFont val="Tahoma"/>
            <family val="2"/>
          </rPr>
          <t>Keller, Zach:</t>
        </r>
        <r>
          <rPr>
            <sz val="10"/>
            <color rgb="FF000000"/>
            <rFont val="Tahoma"/>
            <family val="2"/>
          </rPr>
          <t xml:space="preserve">
Source: Forbes NBA Team Valuations (Oct 2024, 2024–25 season), https://www.forbes.com/sites/justinteitelbaum/2024/10/24/the-most-valuable-nba-teams-2024/</t>
        </r>
      </text>
    </comment>
    <comment ref="K7" authorId="0" shapeId="0" xr:uid="{F5B00289-51E8-914B-B297-08F66378A855}">
      <text>
        <r>
          <rPr>
            <b/>
            <sz val="10"/>
            <color rgb="FF000000"/>
            <rFont val="Tahoma"/>
            <family val="2"/>
          </rPr>
          <t>Keller, Zach:</t>
        </r>
        <r>
          <rPr>
            <sz val="10"/>
            <color rgb="FF000000"/>
            <rFont val="Tahoma"/>
            <family val="2"/>
          </rPr>
          <t xml:space="preserve">
Source: Forbes NBA Team Valuations (Oct 2025, 2025–26 season), https://www.forbes.com/sites/justinteitelbaum/2025/10/23/the-most-valuable-nba-teams-2025/</t>
        </r>
      </text>
    </comment>
    <comment ref="B8" authorId="0" shapeId="0" xr:uid="{8F8D8456-BE59-E646-9059-F50E38196955}">
      <text>
        <r>
          <rPr>
            <b/>
            <sz val="10"/>
            <color rgb="FF000000"/>
            <rFont val="Tahoma"/>
            <family val="2"/>
          </rPr>
          <t>Keller, Zach:</t>
        </r>
        <r>
          <rPr>
            <sz val="10"/>
            <color rgb="FF000000"/>
            <rFont val="Tahoma"/>
            <family val="2"/>
          </rPr>
          <t xml:space="preserve">
Source: Forbes team page, historical value for Forbes 2016 list (2016–17 season; Forbes rounds to nearest $0.1B on this page), https://www.forbes.com/teams/charlotte-hornets/</t>
        </r>
      </text>
    </comment>
    <comment ref="C8" authorId="0" shapeId="0" xr:uid="{FA923D8A-FC12-D74A-A441-D55AA6560283}">
      <text>
        <r>
          <rPr>
            <b/>
            <sz val="10"/>
            <color rgb="FF000000"/>
            <rFont val="Tahoma"/>
            <family val="2"/>
          </rPr>
          <t>Keller, Zach:</t>
        </r>
        <r>
          <rPr>
            <sz val="10"/>
            <color rgb="FF000000"/>
            <rFont val="Tahoma"/>
            <family val="2"/>
          </rPr>
          <t xml:space="preserve">
Source: Forbes team page, historical value for Forbes 2017 list (2017–18 season; Forbes rounds to nearest $0.1B on this page), https://www.forbes.com/teams/charlotte-hornets/</t>
        </r>
      </text>
    </comment>
    <comment ref="D8" authorId="0" shapeId="0" xr:uid="{EA77F14C-C743-1F44-80FF-6389A1394D73}">
      <text>
        <r>
          <rPr>
            <b/>
            <sz val="10"/>
            <color rgb="FF000000"/>
            <rFont val="Tahoma"/>
            <family val="2"/>
          </rPr>
          <t>Keller, Zach:</t>
        </r>
        <r>
          <rPr>
            <sz val="10"/>
            <color rgb="FF000000"/>
            <rFont val="Tahoma"/>
            <family val="2"/>
          </rPr>
          <t xml:space="preserve">
Source: Forbes team page, historical value for Forbes 2018 list (2018–19 season; Forbes rounds to nearest $0.1B on this page), https://www.forbes.com/teams/charlotte-hornets/</t>
        </r>
      </text>
    </comment>
    <comment ref="E8" authorId="0" shapeId="0" xr:uid="{9A561F9C-607C-D34A-9BF7-315D0B52D386}">
      <text>
        <r>
          <rPr>
            <b/>
            <sz val="10"/>
            <color rgb="FF000000"/>
            <rFont val="Tahoma"/>
            <family val="2"/>
          </rPr>
          <t>Keller, Zach:</t>
        </r>
        <r>
          <rPr>
            <sz val="10"/>
            <color rgb="FF000000"/>
            <rFont val="Tahoma"/>
            <family val="2"/>
          </rPr>
          <t xml:space="preserve">
Source: Forbes team page, historical value for Forbes 2019 list (2019–20 season; Forbes rounds to nearest $0.1B on this page), https://www.forbes.com/teams/charlotte-hornets/</t>
        </r>
      </text>
    </comment>
    <comment ref="F8" authorId="0" shapeId="0" xr:uid="{57254CD3-66AB-1646-A266-DAB7ED20E54B}">
      <text>
        <r>
          <rPr>
            <b/>
            <sz val="10"/>
            <color rgb="FF000000"/>
            <rFont val="Tahoma"/>
            <family val="2"/>
          </rPr>
          <t>Keller, Zach:</t>
        </r>
        <r>
          <rPr>
            <sz val="10"/>
            <color rgb="FF000000"/>
            <rFont val="Tahoma"/>
            <family val="2"/>
          </rPr>
          <t xml:space="preserve">
Source: Forbes NBA Team Valuations (Feb 2021, 2020–21 season), https://www.forbes.com/sites/kurtbadenhausen/2021/02/10/nba-team-values-2021-knicks-keep-top-spot-at-5-billion-warriors-bump-lakers-for-second-place/</t>
        </r>
      </text>
    </comment>
    <comment ref="G8" authorId="0" shapeId="0" xr:uid="{CD50A430-D38A-C04A-B968-84EE0E6598F2}">
      <text>
        <r>
          <rPr>
            <b/>
            <sz val="10"/>
            <color rgb="FF000000"/>
            <rFont val="Tahoma"/>
            <family val="2"/>
          </rPr>
          <t>Keller, Zach:</t>
        </r>
        <r>
          <rPr>
            <sz val="10"/>
            <color rgb="FF000000"/>
            <rFont val="Tahoma"/>
            <family val="2"/>
          </rPr>
          <t xml:space="preserve">
Source: Forbes NBA Team Valuations (Oct 2021, 2021–22 season), https://www.forbes.com/sites/mikeozanian/2021/10/18/the-nbas-most-valuable-teams-2021-22-new-york-knicks-lead-a-trio-now-worth-over-5-billion-each/</t>
        </r>
      </text>
    </comment>
    <comment ref="H8" authorId="0" shapeId="0" xr:uid="{9E3B1A0B-D220-2240-B52E-0BAE7E26C8DC}">
      <text>
        <r>
          <rPr>
            <b/>
            <sz val="10"/>
            <color rgb="FF000000"/>
            <rFont val="Tahoma"/>
            <family val="2"/>
          </rPr>
          <t>Keller, Zach:</t>
        </r>
        <r>
          <rPr>
            <sz val="10"/>
            <color rgb="FF000000"/>
            <rFont val="Tahoma"/>
            <family val="2"/>
          </rPr>
          <t xml:space="preserve">
Source: Forbes NBA Team Valuations (Oct 2022, 2022–23 season), https://www.forbes.com/sites/mikeozanian/2022/10/27/nba-team-values-2022-for-the-first-time-in-two-decades-the-top-spot-goes-to-a-franchise-thats-not-the-knicks-or-lakers/</t>
        </r>
      </text>
    </comment>
    <comment ref="I8" authorId="0" shapeId="0" xr:uid="{F5DBB45A-4840-5448-B143-FC6BC9E94A3F}">
      <text>
        <r>
          <rPr>
            <b/>
            <sz val="10"/>
            <color rgb="FF000000"/>
            <rFont val="Tahoma"/>
            <family val="2"/>
          </rPr>
          <t>Keller, Zach:</t>
        </r>
        <r>
          <rPr>
            <sz val="10"/>
            <color rgb="FF000000"/>
            <rFont val="Tahoma"/>
            <family val="2"/>
          </rPr>
          <t xml:space="preserve">
Source: Forbes NBA Team Valuations (Oct 2023, 2023–24 season), https://www.forbes.com/sites/mikeozanian/2023/10/26/the-most-valuable-nba-teams-2023/</t>
        </r>
      </text>
    </comment>
    <comment ref="J8" authorId="0" shapeId="0" xr:uid="{3999C214-E197-8045-B67C-86DE8F25D5F1}">
      <text>
        <r>
          <rPr>
            <b/>
            <sz val="10"/>
            <color rgb="FF000000"/>
            <rFont val="Tahoma"/>
            <family val="2"/>
          </rPr>
          <t>Keller, Zach:</t>
        </r>
        <r>
          <rPr>
            <sz val="10"/>
            <color rgb="FF000000"/>
            <rFont val="Tahoma"/>
            <family val="2"/>
          </rPr>
          <t xml:space="preserve">
Source: Forbes NBA Team Valuations (Oct 2024, 2024–25 season), https://www.forbes.com/sites/justinteitelbaum/2024/10/24/the-most-valuable-nba-teams-2024/</t>
        </r>
      </text>
    </comment>
    <comment ref="K8" authorId="0" shapeId="0" xr:uid="{95FE8320-887A-7A48-8B10-53863C8C0DCB}">
      <text>
        <r>
          <rPr>
            <b/>
            <sz val="10"/>
            <color rgb="FF000000"/>
            <rFont val="Tahoma"/>
            <family val="2"/>
          </rPr>
          <t>Keller, Zach:</t>
        </r>
        <r>
          <rPr>
            <sz val="10"/>
            <color rgb="FF000000"/>
            <rFont val="Tahoma"/>
            <family val="2"/>
          </rPr>
          <t xml:space="preserve">
Source: Forbes NBA Team Valuations (Oct 2025, 2025–26 season), https://www.forbes.com/sites/justinteitelbaum/2025/10/23/the-most-valuable-nba-teams-2025/</t>
        </r>
      </text>
    </comment>
    <comment ref="B9" authorId="0" shapeId="0" xr:uid="{A6F8A4D0-5B1A-BE45-AAD7-03EEDF6881AB}">
      <text>
        <r>
          <rPr>
            <b/>
            <sz val="10"/>
            <color rgb="FF000000"/>
            <rFont val="Tahoma"/>
            <family val="2"/>
          </rPr>
          <t>Keller, Zach:</t>
        </r>
        <r>
          <rPr>
            <sz val="10"/>
            <color rgb="FF000000"/>
            <rFont val="Tahoma"/>
            <family val="2"/>
          </rPr>
          <t xml:space="preserve">
Source: Forbes team page, historical value for Forbes 2016 list (2016–17 season; Forbes rounds to nearest $0.1B on this page), https://www.forbes.com/teams/chicago-bulls/</t>
        </r>
      </text>
    </comment>
    <comment ref="C9" authorId="0" shapeId="0" xr:uid="{B63AE860-DB1F-9A4F-9384-80CAC2EE7BC3}">
      <text>
        <r>
          <rPr>
            <b/>
            <sz val="10"/>
            <color rgb="FF000000"/>
            <rFont val="Tahoma"/>
            <family val="2"/>
          </rPr>
          <t>Keller, Zach:</t>
        </r>
        <r>
          <rPr>
            <sz val="10"/>
            <color rgb="FF000000"/>
            <rFont val="Tahoma"/>
            <family val="2"/>
          </rPr>
          <t xml:space="preserve">
</t>
        </r>
        <r>
          <rPr>
            <sz val="10"/>
            <color rgb="FF000000"/>
            <rFont val="Tahoma"/>
            <family val="2"/>
          </rPr>
          <t>Source: Forbes team page, historical value for Forbes 2017 list (2017–18 season; Forbes rounds to nearest $0.1B on this page), https://www.forbes.com/teams/chicago-bulls/</t>
        </r>
      </text>
    </comment>
    <comment ref="D9" authorId="0" shapeId="0" xr:uid="{27CBF2CA-FBFF-034E-B6A2-C4AFEAD74DAE}">
      <text>
        <r>
          <rPr>
            <b/>
            <sz val="10"/>
            <color rgb="FF000000"/>
            <rFont val="Tahoma"/>
            <family val="2"/>
          </rPr>
          <t>Keller, Zach:</t>
        </r>
        <r>
          <rPr>
            <sz val="10"/>
            <color rgb="FF000000"/>
            <rFont val="Tahoma"/>
            <family val="2"/>
          </rPr>
          <t xml:space="preserve">
Source: Forbes team page, historical value for Forbes 2018 list (2018–19 season; Forbes rounds to nearest $0.1B on this page), https://www.forbes.com/teams/chicago-bulls/</t>
        </r>
      </text>
    </comment>
    <comment ref="E9" authorId="0" shapeId="0" xr:uid="{A7A9F263-824F-A248-99C9-7789CA74101B}">
      <text>
        <r>
          <rPr>
            <b/>
            <sz val="10"/>
            <color rgb="FF000000"/>
            <rFont val="Tahoma"/>
            <family val="2"/>
          </rPr>
          <t>Keller, Zach:</t>
        </r>
        <r>
          <rPr>
            <sz val="10"/>
            <color rgb="FF000000"/>
            <rFont val="Tahoma"/>
            <family val="2"/>
          </rPr>
          <t xml:space="preserve">
Source: Forbes team page, historical value for Forbes 2019 list (2019–20 season; Forbes rounds to nearest $0.1B on this page), https://www.forbes.com/teams/chicago-bulls/</t>
        </r>
      </text>
    </comment>
    <comment ref="F9" authorId="0" shapeId="0" xr:uid="{CA6FCD6D-F2DE-764D-A5A2-39185F23A971}">
      <text>
        <r>
          <rPr>
            <b/>
            <sz val="10"/>
            <color rgb="FF000000"/>
            <rFont val="Tahoma"/>
            <family val="2"/>
          </rPr>
          <t>Keller, Zach:</t>
        </r>
        <r>
          <rPr>
            <sz val="10"/>
            <color rgb="FF000000"/>
            <rFont val="Tahoma"/>
            <family val="2"/>
          </rPr>
          <t xml:space="preserve">
Source: Forbes NBA Team Valuations (Feb 2021, 2020–21 season), https://www.forbes.com/sites/kurtbadenhausen/2021/02/10/nba-team-values-2021-knicks-keep-top-spot-at-5-billion-warriors-bump-lakers-for-second-place/</t>
        </r>
      </text>
    </comment>
    <comment ref="G9" authorId="0" shapeId="0" xr:uid="{297F10DC-93D8-9A4E-BEA0-D54609F56BE1}">
      <text>
        <r>
          <rPr>
            <b/>
            <sz val="10"/>
            <color rgb="FF000000"/>
            <rFont val="Tahoma"/>
            <family val="2"/>
          </rPr>
          <t>Keller, Zach:</t>
        </r>
        <r>
          <rPr>
            <sz val="10"/>
            <color rgb="FF000000"/>
            <rFont val="Tahoma"/>
            <family val="2"/>
          </rPr>
          <t xml:space="preserve">
Source: Forbes NBA Team Valuations (Oct 2021, 2021–22 season), https://www.forbes.com/sites/mikeozanian/2021/10/18/the-nbas-most-valuable-teams-2021-22-new-york-knicks-lead-a-trio-now-worth-over-5-billion-each/</t>
        </r>
      </text>
    </comment>
    <comment ref="H9" authorId="0" shapeId="0" xr:uid="{0884612F-8B74-944A-A943-544A7F431698}">
      <text>
        <r>
          <rPr>
            <b/>
            <sz val="10"/>
            <color rgb="FF000000"/>
            <rFont val="Tahoma"/>
            <family val="2"/>
          </rPr>
          <t>Keller, Zach:</t>
        </r>
        <r>
          <rPr>
            <sz val="10"/>
            <color rgb="FF000000"/>
            <rFont val="Tahoma"/>
            <family val="2"/>
          </rPr>
          <t xml:space="preserve">
Source: Forbes NBA Team Valuations (Oct 2022, 2022–23 season), https://www.forbes.com/sites/mikeozanian/2022/10/27/nba-team-values-2022-for-the-first-time-in-two-decades-the-top-spot-goes-to-a-franchise-thats-not-the-knicks-or-lakers/</t>
        </r>
      </text>
    </comment>
    <comment ref="I9" authorId="0" shapeId="0" xr:uid="{374A7F50-D2A5-3644-93F6-ED03D83D7548}">
      <text>
        <r>
          <rPr>
            <b/>
            <sz val="10"/>
            <color rgb="FF000000"/>
            <rFont val="Tahoma"/>
            <family val="2"/>
          </rPr>
          <t>Keller, Zach:</t>
        </r>
        <r>
          <rPr>
            <sz val="10"/>
            <color rgb="FF000000"/>
            <rFont val="Tahoma"/>
            <family val="2"/>
          </rPr>
          <t xml:space="preserve">
Source: Forbes NBA Team Valuations (Oct 2023, 2023–24 season), https://www.forbes.com/sites/mikeozanian/2023/10/26/the-most-valuable-nba-teams-2023/</t>
        </r>
      </text>
    </comment>
    <comment ref="J9" authorId="0" shapeId="0" xr:uid="{A9EA8785-41EB-554C-8910-5A967D375A0F}">
      <text>
        <r>
          <rPr>
            <b/>
            <sz val="10"/>
            <color rgb="FF000000"/>
            <rFont val="Tahoma"/>
            <family val="2"/>
          </rPr>
          <t>Keller, Zach:</t>
        </r>
        <r>
          <rPr>
            <sz val="10"/>
            <color rgb="FF000000"/>
            <rFont val="Tahoma"/>
            <family val="2"/>
          </rPr>
          <t xml:space="preserve">
Source: Forbes NBA Team Valuations (Oct 2024, 2024–25 season), https://www.forbes.com/sites/justinteitelbaum/2024/10/24/the-most-valuable-nba-teams-2024/</t>
        </r>
      </text>
    </comment>
    <comment ref="K9" authorId="0" shapeId="0" xr:uid="{0B3B04BA-8F45-D644-8370-4260DD394EC9}">
      <text>
        <r>
          <rPr>
            <b/>
            <sz val="10"/>
            <color rgb="FF000000"/>
            <rFont val="Tahoma"/>
            <family val="2"/>
          </rPr>
          <t>Keller, Zach:</t>
        </r>
        <r>
          <rPr>
            <sz val="10"/>
            <color rgb="FF000000"/>
            <rFont val="Tahoma"/>
            <family val="2"/>
          </rPr>
          <t xml:space="preserve">
Source: Forbes NBA Team Valuations (Oct 2025, 2025–26 season), https://www.forbes.com/sites/justinteitelbaum/2025/10/23/the-most-valuable-nba-teams-2025/</t>
        </r>
      </text>
    </comment>
    <comment ref="B10" authorId="0" shapeId="0" xr:uid="{770CFE58-3B10-C442-A222-6619B8843934}">
      <text>
        <r>
          <rPr>
            <b/>
            <sz val="10"/>
            <color rgb="FF000000"/>
            <rFont val="Tahoma"/>
            <family val="2"/>
          </rPr>
          <t>Keller, Zach:</t>
        </r>
        <r>
          <rPr>
            <sz val="10"/>
            <color rgb="FF000000"/>
            <rFont val="Tahoma"/>
            <family val="2"/>
          </rPr>
          <t xml:space="preserve">
Source: Forbes team page, historical value for Forbes 2016 list (2016–17 season; Forbes rounds to nearest $0.1B on this page), https://www.forbes.com/teams/cleveland-cavaliers/</t>
        </r>
      </text>
    </comment>
    <comment ref="C10" authorId="0" shapeId="0" xr:uid="{4897F644-48AD-064D-B5BE-5745A0197833}">
      <text>
        <r>
          <rPr>
            <b/>
            <sz val="10"/>
            <color rgb="FF000000"/>
            <rFont val="Tahoma"/>
            <family val="2"/>
          </rPr>
          <t>Keller, Zach:</t>
        </r>
        <r>
          <rPr>
            <sz val="10"/>
            <color rgb="FF000000"/>
            <rFont val="Tahoma"/>
            <family val="2"/>
          </rPr>
          <t xml:space="preserve">
Source: Forbes team page, historical value for Forbes 2017 list (2017–18 season; Forbes rounds to nearest $0.1B on this page), https://www.forbes.com/teams/cleveland-cavaliers/</t>
        </r>
      </text>
    </comment>
    <comment ref="D10" authorId="0" shapeId="0" xr:uid="{A7C67FFF-27B6-4745-8727-387AE2B12419}">
      <text>
        <r>
          <rPr>
            <b/>
            <sz val="10"/>
            <color rgb="FF000000"/>
            <rFont val="Tahoma"/>
            <family val="2"/>
          </rPr>
          <t>Keller, Zach:</t>
        </r>
        <r>
          <rPr>
            <sz val="10"/>
            <color rgb="FF000000"/>
            <rFont val="Tahoma"/>
            <family val="2"/>
          </rPr>
          <t xml:space="preserve">
Source: Forbes team page, historical value for Forbes 2018 list (2018–19 season; Forbes rounds to nearest $0.1B on this page), https://www.forbes.com/teams/cleveland-cavaliers/</t>
        </r>
      </text>
    </comment>
    <comment ref="E10" authorId="0" shapeId="0" xr:uid="{50D8B99F-B3F6-D548-987F-C2F9FFC76D24}">
      <text>
        <r>
          <rPr>
            <b/>
            <sz val="10"/>
            <color rgb="FF000000"/>
            <rFont val="Tahoma"/>
            <family val="2"/>
          </rPr>
          <t>Keller, Zach:</t>
        </r>
        <r>
          <rPr>
            <sz val="10"/>
            <color rgb="FF000000"/>
            <rFont val="Tahoma"/>
            <family val="2"/>
          </rPr>
          <t xml:space="preserve">
</t>
        </r>
        <r>
          <rPr>
            <sz val="10"/>
            <color rgb="FF000000"/>
            <rFont val="Tahoma"/>
            <family val="2"/>
          </rPr>
          <t>Source: Forbes team page, historical value for Forbes 2019 list (2019–20 season; Forbes rounds to nearest $0.1B on this page), https://www.forbes.com/teams/cleveland-cavaliers/</t>
        </r>
      </text>
    </comment>
    <comment ref="F10" authorId="0" shapeId="0" xr:uid="{3B3A5750-4E81-4046-9DB8-8751E2561C03}">
      <text>
        <r>
          <rPr>
            <b/>
            <sz val="10"/>
            <color rgb="FF000000"/>
            <rFont val="Tahoma"/>
            <family val="2"/>
          </rPr>
          <t>Keller, Zach:</t>
        </r>
        <r>
          <rPr>
            <sz val="10"/>
            <color rgb="FF000000"/>
            <rFont val="Tahoma"/>
            <family val="2"/>
          </rPr>
          <t xml:space="preserve">
Source: Forbes NBA Team Valuations (Feb 2021, 2020–21 season), https://www.forbes.com/sites/kurtbadenhausen/2021/02/10/nba-team-values-2021-knicks-keep-top-spot-at-5-billion-warriors-bump-lakers-for-second-place/</t>
        </r>
      </text>
    </comment>
    <comment ref="G10" authorId="0" shapeId="0" xr:uid="{F152B045-BDDE-D44E-A3FF-258F69D6F4CF}">
      <text>
        <r>
          <rPr>
            <b/>
            <sz val="10"/>
            <color rgb="FF000000"/>
            <rFont val="Tahoma"/>
            <family val="2"/>
          </rPr>
          <t>Keller, Zach:</t>
        </r>
        <r>
          <rPr>
            <sz val="10"/>
            <color rgb="FF000000"/>
            <rFont val="Tahoma"/>
            <family val="2"/>
          </rPr>
          <t xml:space="preserve">
Source: Forbes NBA Team Valuations (Oct 2021, 2021–22 season), https://www.forbes.com/sites/mikeozanian/2021/10/18/the-nbas-most-valuable-teams-2021-22-new-york-knicks-lead-a-trio-now-worth-over-5-billion-each/</t>
        </r>
      </text>
    </comment>
    <comment ref="H10" authorId="0" shapeId="0" xr:uid="{03EC06BB-1B38-CC4B-ACF3-0BB71646DE3F}">
      <text>
        <r>
          <rPr>
            <b/>
            <sz val="10"/>
            <color rgb="FF000000"/>
            <rFont val="Tahoma"/>
            <family val="2"/>
          </rPr>
          <t>Keller, Zach:</t>
        </r>
        <r>
          <rPr>
            <sz val="10"/>
            <color rgb="FF000000"/>
            <rFont val="Tahoma"/>
            <family val="2"/>
          </rPr>
          <t xml:space="preserve">
Source: Forbes NBA Team Valuations (Oct 2022, 2022–23 season), https://www.forbes.com/sites/mikeozanian/2022/10/27/nba-team-values-2022-for-the-first-time-in-two-decades-the-top-spot-goes-to-a-franchise-thats-not-the-knicks-or-lakers/</t>
        </r>
      </text>
    </comment>
    <comment ref="I10" authorId="0" shapeId="0" xr:uid="{C59F36FA-3D50-3D40-B3C5-77F2681C4FBB}">
      <text>
        <r>
          <rPr>
            <b/>
            <sz val="10"/>
            <color rgb="FF000000"/>
            <rFont val="Tahoma"/>
            <family val="2"/>
          </rPr>
          <t>Keller, Zach:</t>
        </r>
        <r>
          <rPr>
            <sz val="10"/>
            <color rgb="FF000000"/>
            <rFont val="Tahoma"/>
            <family val="2"/>
          </rPr>
          <t xml:space="preserve">
Source: Forbes NBA Team Valuations (Oct 2023, 2023–24 season), https://www.forbes.com/sites/mikeozanian/2023/10/26/the-most-valuable-nba-teams-2023/</t>
        </r>
      </text>
    </comment>
    <comment ref="J10" authorId="0" shapeId="0" xr:uid="{42B3D4A4-C64C-0B4A-AAB1-C7EE90AC7C93}">
      <text>
        <r>
          <rPr>
            <b/>
            <sz val="10"/>
            <color rgb="FF000000"/>
            <rFont val="Tahoma"/>
            <family val="2"/>
          </rPr>
          <t>Keller, Zach:</t>
        </r>
        <r>
          <rPr>
            <sz val="10"/>
            <color rgb="FF000000"/>
            <rFont val="Tahoma"/>
            <family val="2"/>
          </rPr>
          <t xml:space="preserve">
Source: Forbes NBA Team Valuations (Oct 2024, 2024–25 season), https://www.forbes.com/sites/justinteitelbaum/2024/10/24/the-most-valuable-nba-teams-2024/</t>
        </r>
      </text>
    </comment>
    <comment ref="K10" authorId="0" shapeId="0" xr:uid="{8B7578AD-443A-DA41-8131-86A3B65BC13E}">
      <text>
        <r>
          <rPr>
            <b/>
            <sz val="10"/>
            <color rgb="FF000000"/>
            <rFont val="Tahoma"/>
            <family val="2"/>
          </rPr>
          <t>Keller, Zach:</t>
        </r>
        <r>
          <rPr>
            <sz val="10"/>
            <color rgb="FF000000"/>
            <rFont val="Tahoma"/>
            <family val="2"/>
          </rPr>
          <t xml:space="preserve">
Source: Forbes NBA Team Valuations (Oct 2025, 2025–26 season), https://www.forbes.com/sites/justinteitelbaum/2025/10/23/the-most-valuable-nba-teams-2025/</t>
        </r>
      </text>
    </comment>
    <comment ref="B11" authorId="0" shapeId="0" xr:uid="{2EC1848A-3982-104F-81B3-ECDCB1F781D6}">
      <text>
        <r>
          <rPr>
            <b/>
            <sz val="10"/>
            <color rgb="FF000000"/>
            <rFont val="Tahoma"/>
            <family val="2"/>
          </rPr>
          <t>Keller, Zach:</t>
        </r>
        <r>
          <rPr>
            <sz val="10"/>
            <color rgb="FF000000"/>
            <rFont val="Tahoma"/>
            <family val="2"/>
          </rPr>
          <t xml:space="preserve">
Source: Forbes team page, historical value for Forbes 2016 list (2016–17 season; Forbes rounds to nearest $0.1B on this page), https://www.forbes.com/teams/dallas-mavericks/</t>
        </r>
      </text>
    </comment>
    <comment ref="C11" authorId="0" shapeId="0" xr:uid="{6B2DD543-A158-5A49-84B1-3F909C384C5B}">
      <text>
        <r>
          <rPr>
            <b/>
            <sz val="10"/>
            <color rgb="FF000000"/>
            <rFont val="Tahoma"/>
            <family val="2"/>
          </rPr>
          <t>Keller, Zach:</t>
        </r>
        <r>
          <rPr>
            <sz val="10"/>
            <color rgb="FF000000"/>
            <rFont val="Tahoma"/>
            <family val="2"/>
          </rPr>
          <t xml:space="preserve">
Source: Forbes team page, historical value for Forbes 2017 list (2017–18 season; Forbes rounds to nearest $0.1B on this page), https://www.forbes.com/teams/dallas-mavericks/</t>
        </r>
      </text>
    </comment>
    <comment ref="D11" authorId="0" shapeId="0" xr:uid="{49B44B79-EC47-3F45-964A-184FD91CD680}">
      <text>
        <r>
          <rPr>
            <b/>
            <sz val="10"/>
            <color rgb="FF000000"/>
            <rFont val="Tahoma"/>
            <family val="2"/>
          </rPr>
          <t>Keller, Zach:</t>
        </r>
        <r>
          <rPr>
            <sz val="10"/>
            <color rgb="FF000000"/>
            <rFont val="Tahoma"/>
            <family val="2"/>
          </rPr>
          <t xml:space="preserve">
Source: Forbes team page, historical value for Forbes 2018 list (2018–19 season; Forbes rounds to nearest $0.1B on this page), https://www.forbes.com/teams/dallas-mavericks/</t>
        </r>
      </text>
    </comment>
    <comment ref="E11" authorId="0" shapeId="0" xr:uid="{4AA1310D-D692-CA40-8351-E48F070CB12F}">
      <text>
        <r>
          <rPr>
            <b/>
            <sz val="10"/>
            <color rgb="FF000000"/>
            <rFont val="Tahoma"/>
            <family val="2"/>
          </rPr>
          <t>Keller, Zach:</t>
        </r>
        <r>
          <rPr>
            <sz val="10"/>
            <color rgb="FF000000"/>
            <rFont val="Tahoma"/>
            <family val="2"/>
          </rPr>
          <t xml:space="preserve">
Source: Forbes team page, historical value for Forbes 2019 list (2019–20 season; Forbes rounds to nearest $0.1B on this page), https://www.forbes.com/teams/dallas-mavericks/</t>
        </r>
      </text>
    </comment>
    <comment ref="F11" authorId="0" shapeId="0" xr:uid="{B521AF9B-77F2-4245-9558-EC8F75963885}">
      <text>
        <r>
          <rPr>
            <b/>
            <sz val="10"/>
            <color rgb="FF000000"/>
            <rFont val="Tahoma"/>
            <family val="2"/>
          </rPr>
          <t>Keller, Zach:</t>
        </r>
        <r>
          <rPr>
            <sz val="10"/>
            <color rgb="FF000000"/>
            <rFont val="Tahoma"/>
            <family val="2"/>
          </rPr>
          <t xml:space="preserve">
Source: Forbes NBA Team Valuations (Feb 2021, 2020–21 season), https://www.forbes.com/sites/kurtbadenhausen/2021/02/10/nba-team-values-2021-knicks-keep-top-spot-at-5-billion-warriors-bump-lakers-for-second-place/</t>
        </r>
      </text>
    </comment>
    <comment ref="G11" authorId="0" shapeId="0" xr:uid="{18BF77DA-C0B2-BC47-A886-BAA852207040}">
      <text>
        <r>
          <rPr>
            <b/>
            <sz val="10"/>
            <color rgb="FF000000"/>
            <rFont val="Tahoma"/>
            <family val="2"/>
          </rPr>
          <t>Keller, Zach:</t>
        </r>
        <r>
          <rPr>
            <sz val="10"/>
            <color rgb="FF000000"/>
            <rFont val="Tahoma"/>
            <family val="2"/>
          </rPr>
          <t xml:space="preserve">
Source: Forbes NBA Team Valuations (Oct 2021, 2021–22 season), https://www.forbes.com/sites/mikeozanian/2021/10/18/the-nbas-most-valuable-teams-2021-22-new-york-knicks-lead-a-trio-now-worth-over-5-billion-each/</t>
        </r>
      </text>
    </comment>
    <comment ref="H11" authorId="0" shapeId="0" xr:uid="{BB731EE6-4F86-AC42-B685-29B3EEFD8A41}">
      <text>
        <r>
          <rPr>
            <b/>
            <sz val="10"/>
            <color rgb="FF000000"/>
            <rFont val="Tahoma"/>
            <family val="2"/>
          </rPr>
          <t>Keller, Zach:</t>
        </r>
        <r>
          <rPr>
            <sz val="10"/>
            <color rgb="FF000000"/>
            <rFont val="Tahoma"/>
            <family val="2"/>
          </rPr>
          <t xml:space="preserve">
Source: Forbes NBA Team Valuations (Oct 2022, 2022–23 season), https://www.forbes.com/sites/mikeozanian/2022/10/27/nba-team-values-2022-for-the-first-time-in-two-decades-the-top-spot-goes-to-a-franchise-thats-not-the-knicks-or-lakers/</t>
        </r>
      </text>
    </comment>
    <comment ref="I11" authorId="0" shapeId="0" xr:uid="{4DAC4CBB-42A5-324D-9DA6-F0B643A69DC5}">
      <text>
        <r>
          <rPr>
            <b/>
            <sz val="10"/>
            <color rgb="FF000000"/>
            <rFont val="Tahoma"/>
            <family val="2"/>
          </rPr>
          <t>Keller, Zach:</t>
        </r>
        <r>
          <rPr>
            <sz val="10"/>
            <color rgb="FF000000"/>
            <rFont val="Tahoma"/>
            <family val="2"/>
          </rPr>
          <t xml:space="preserve">
Source: Forbes NBA Team Valuations (Oct 2023, 2023–24 season), https://www.forbes.com/sites/mikeozanian/2023/10/26/the-most-valuable-nba-teams-2023/</t>
        </r>
      </text>
    </comment>
    <comment ref="J11" authorId="0" shapeId="0" xr:uid="{C9277557-134E-104C-9CB7-BCB531337D3D}">
      <text>
        <r>
          <rPr>
            <b/>
            <sz val="10"/>
            <color rgb="FF000000"/>
            <rFont val="Tahoma"/>
            <family val="2"/>
          </rPr>
          <t>Keller, Zach:</t>
        </r>
        <r>
          <rPr>
            <sz val="10"/>
            <color rgb="FF000000"/>
            <rFont val="Tahoma"/>
            <family val="2"/>
          </rPr>
          <t xml:space="preserve">
Source: Forbes NBA Team Valuations (Oct 2024, 2024–25 season), https://www.forbes.com/sites/justinteitelbaum/2024/10/24/the-most-valuable-nba-teams-2024/</t>
        </r>
      </text>
    </comment>
    <comment ref="K11" authorId="0" shapeId="0" xr:uid="{44FAAD71-5B26-1246-A8F9-481E82B3A8F0}">
      <text>
        <r>
          <rPr>
            <b/>
            <sz val="10"/>
            <color rgb="FF000000"/>
            <rFont val="Tahoma"/>
            <family val="2"/>
          </rPr>
          <t>Keller, Zach:</t>
        </r>
        <r>
          <rPr>
            <sz val="10"/>
            <color rgb="FF000000"/>
            <rFont val="Tahoma"/>
            <family val="2"/>
          </rPr>
          <t xml:space="preserve">
Source: Forbes NBA Team Valuations (Oct 2025, 2025–26 season), https://www.forbes.com/sites/justinteitelbaum/2025/10/23/the-most-valuable-nba-teams-2025/</t>
        </r>
      </text>
    </comment>
    <comment ref="B12" authorId="0" shapeId="0" xr:uid="{A0E003A9-B38C-2844-BA8B-4FD72B7BA2CF}">
      <text>
        <r>
          <rPr>
            <b/>
            <sz val="10"/>
            <color rgb="FF000000"/>
            <rFont val="Tahoma"/>
            <family val="2"/>
          </rPr>
          <t>Keller, Zach:</t>
        </r>
        <r>
          <rPr>
            <sz val="10"/>
            <color rgb="FF000000"/>
            <rFont val="Tahoma"/>
            <family val="2"/>
          </rPr>
          <t xml:space="preserve">
Source: Forbes team page, historical value for Forbes 2016 list (2016–17 season; Forbes rounds to nearest $0.1B on this page), https://www.forbes.com/teams/denver-nuggets/</t>
        </r>
      </text>
    </comment>
    <comment ref="C12" authorId="0" shapeId="0" xr:uid="{6510FE72-26EF-974F-9757-FD0409B62807}">
      <text>
        <r>
          <rPr>
            <b/>
            <sz val="10"/>
            <color rgb="FF000000"/>
            <rFont val="Tahoma"/>
            <family val="2"/>
          </rPr>
          <t>Keller, Zach:</t>
        </r>
        <r>
          <rPr>
            <sz val="10"/>
            <color rgb="FF000000"/>
            <rFont val="Tahoma"/>
            <family val="2"/>
          </rPr>
          <t xml:space="preserve">
Source: Forbes team page, historical value for Forbes 2017 list (2017–18 season; Forbes rounds to nearest $0.1B on this page), https://www.forbes.com/teams/denver-nuggets/</t>
        </r>
      </text>
    </comment>
    <comment ref="D12" authorId="0" shapeId="0" xr:uid="{6A2E2EDD-C430-8B40-BC4D-A54D79FB0C6E}">
      <text>
        <r>
          <rPr>
            <b/>
            <sz val="10"/>
            <color rgb="FF000000"/>
            <rFont val="Tahoma"/>
            <family val="2"/>
          </rPr>
          <t>Keller, Zach:</t>
        </r>
        <r>
          <rPr>
            <sz val="10"/>
            <color rgb="FF000000"/>
            <rFont val="Tahoma"/>
            <family val="2"/>
          </rPr>
          <t xml:space="preserve">
Source: Forbes team page, historical value for Forbes 2018 list (2018–19 season; Forbes rounds to nearest $0.1B on this page), https://www.forbes.com/teams/denver-nuggets/</t>
        </r>
      </text>
    </comment>
    <comment ref="E12" authorId="0" shapeId="0" xr:uid="{B6B21A12-0C4E-244D-98C4-14F3332930F4}">
      <text>
        <r>
          <rPr>
            <b/>
            <sz val="10"/>
            <color rgb="FF000000"/>
            <rFont val="Tahoma"/>
            <family val="2"/>
          </rPr>
          <t>Keller, Zach:</t>
        </r>
        <r>
          <rPr>
            <sz val="10"/>
            <color rgb="FF000000"/>
            <rFont val="Tahoma"/>
            <family val="2"/>
          </rPr>
          <t xml:space="preserve">
Source: Forbes team page, historical value for Forbes 2019 list (2019–20 season; Forbes rounds to nearest $0.1B on this page), https://www.forbes.com/teams/denver-nuggets/</t>
        </r>
      </text>
    </comment>
    <comment ref="F12" authorId="0" shapeId="0" xr:uid="{0476030C-B540-3C46-B176-083A527E9D48}">
      <text>
        <r>
          <rPr>
            <b/>
            <sz val="10"/>
            <color rgb="FF000000"/>
            <rFont val="Tahoma"/>
            <family val="2"/>
          </rPr>
          <t>Keller, Zach:</t>
        </r>
        <r>
          <rPr>
            <sz val="10"/>
            <color rgb="FF000000"/>
            <rFont val="Tahoma"/>
            <family val="2"/>
          </rPr>
          <t xml:space="preserve">
Source: Forbes NBA Team Valuations (Feb 2021, 2020–21 season), https://www.forbes.com/sites/kurtbadenhausen/2021/02/10/nba-team-values-2021-knicks-keep-top-spot-at-5-billion-warriors-bump-lakers-for-second-place/</t>
        </r>
      </text>
    </comment>
    <comment ref="G12" authorId="0" shapeId="0" xr:uid="{E3345497-8D11-F245-A153-07B8FA4C4247}">
      <text>
        <r>
          <rPr>
            <b/>
            <sz val="10"/>
            <color rgb="FF000000"/>
            <rFont val="Tahoma"/>
            <family val="2"/>
          </rPr>
          <t>Keller, Zach:</t>
        </r>
        <r>
          <rPr>
            <sz val="10"/>
            <color rgb="FF000000"/>
            <rFont val="Tahoma"/>
            <family val="2"/>
          </rPr>
          <t xml:space="preserve">
Source: Forbes NBA Team Valuations (Oct 2021, 2021–22 season), https://www.forbes.com/sites/mikeozanian/2021/10/18/the-nbas-most-valuable-teams-2021-22-new-york-knicks-lead-a-trio-now-worth-over-5-billion-each/</t>
        </r>
      </text>
    </comment>
    <comment ref="H12" authorId="0" shapeId="0" xr:uid="{5FD3D096-B392-554F-9662-E3607B299713}">
      <text>
        <r>
          <rPr>
            <b/>
            <sz val="10"/>
            <color rgb="FF000000"/>
            <rFont val="Tahoma"/>
            <family val="2"/>
          </rPr>
          <t>Keller, Zach:</t>
        </r>
        <r>
          <rPr>
            <sz val="10"/>
            <color rgb="FF000000"/>
            <rFont val="Tahoma"/>
            <family val="2"/>
          </rPr>
          <t xml:space="preserve">
Source: Forbes NBA Team Valuations (Oct 2022, 2022–23 season), https://www.forbes.com/sites/mikeozanian/2022/10/27/nba-team-values-2022-for-the-first-time-in-two-decades-the-top-spot-goes-to-a-franchise-thats-not-the-knicks-or-lakers/</t>
        </r>
      </text>
    </comment>
    <comment ref="I12" authorId="0" shapeId="0" xr:uid="{DDE73CC3-C6E2-DE4D-B954-C83522EDD813}">
      <text>
        <r>
          <rPr>
            <b/>
            <sz val="10"/>
            <color rgb="FF000000"/>
            <rFont val="Tahoma"/>
            <family val="2"/>
          </rPr>
          <t>Keller, Zach:</t>
        </r>
        <r>
          <rPr>
            <sz val="10"/>
            <color rgb="FF000000"/>
            <rFont val="Tahoma"/>
            <family val="2"/>
          </rPr>
          <t xml:space="preserve">
Source: Forbes NBA Team Valuations (Oct 2023, 2023–24 season), https://www.forbes.com/sites/mikeozanian/2023/10/26/the-most-valuable-nba-teams-2023/</t>
        </r>
      </text>
    </comment>
    <comment ref="J12" authorId="0" shapeId="0" xr:uid="{D5381DB7-58A1-C645-A832-9BDE8CBF910E}">
      <text>
        <r>
          <rPr>
            <b/>
            <sz val="10"/>
            <color rgb="FF000000"/>
            <rFont val="Tahoma"/>
            <family val="2"/>
          </rPr>
          <t>Keller, Zach:</t>
        </r>
        <r>
          <rPr>
            <sz val="10"/>
            <color rgb="FF000000"/>
            <rFont val="Tahoma"/>
            <family val="2"/>
          </rPr>
          <t xml:space="preserve">
</t>
        </r>
        <r>
          <rPr>
            <sz val="10"/>
            <color rgb="FF000000"/>
            <rFont val="Tahoma"/>
            <family val="2"/>
          </rPr>
          <t>Source: Forbes NBA Team Valuations (Oct 2024, 2024–25 season), https://www.forbes.com/sites/justinteitelbaum/2024/10/24/the-most-valuable-nba-teams-2024/</t>
        </r>
      </text>
    </comment>
    <comment ref="K12" authorId="0" shapeId="0" xr:uid="{778BB935-7FCC-2F4B-9B01-F5EB5236481F}">
      <text>
        <r>
          <rPr>
            <b/>
            <sz val="10"/>
            <color rgb="FF000000"/>
            <rFont val="Tahoma"/>
            <family val="2"/>
          </rPr>
          <t>Keller, Zach:</t>
        </r>
        <r>
          <rPr>
            <sz val="10"/>
            <color rgb="FF000000"/>
            <rFont val="Tahoma"/>
            <family val="2"/>
          </rPr>
          <t xml:space="preserve">
Source: Forbes NBA Team Valuations (Oct 2025, 2025–26 season), https://www.forbes.com/sites/justinteitelbaum/2025/10/23/the-most-valuable-nba-teams-2025/</t>
        </r>
      </text>
    </comment>
    <comment ref="B13" authorId="0" shapeId="0" xr:uid="{DE68C52E-3186-E24B-9362-9E6FBB1DBE72}">
      <text>
        <r>
          <rPr>
            <b/>
            <sz val="10"/>
            <color rgb="FF000000"/>
            <rFont val="Tahoma"/>
            <family val="2"/>
          </rPr>
          <t>Keller, Zach:</t>
        </r>
        <r>
          <rPr>
            <sz val="10"/>
            <color rgb="FF000000"/>
            <rFont val="Tahoma"/>
            <family val="2"/>
          </rPr>
          <t xml:space="preserve">
Source: Forbes team page, historical value for Forbes 2016 list (2016–17 season; Forbes rounds to nearest $0.1B on this page), https://www.forbes.com/teams/detroit-pistons/</t>
        </r>
      </text>
    </comment>
    <comment ref="C13" authorId="0" shapeId="0" xr:uid="{3EA95B0C-EDFE-3D41-9B19-36C47B636112}">
      <text>
        <r>
          <rPr>
            <b/>
            <sz val="10"/>
            <color rgb="FF000000"/>
            <rFont val="Tahoma"/>
            <family val="2"/>
          </rPr>
          <t>Keller, Zach:</t>
        </r>
        <r>
          <rPr>
            <sz val="10"/>
            <color rgb="FF000000"/>
            <rFont val="Tahoma"/>
            <family val="2"/>
          </rPr>
          <t xml:space="preserve">
Source: Forbes team page, historical value for Forbes 2017 list (2017–18 season; Forbes rounds to nearest $0.1B on this page), https://www.forbes.com/teams/detroit-pistons/</t>
        </r>
      </text>
    </comment>
    <comment ref="D13" authorId="0" shapeId="0" xr:uid="{CE7A42C8-3718-3943-952B-24A3E6858A8A}">
      <text>
        <r>
          <rPr>
            <b/>
            <sz val="10"/>
            <color rgb="FF000000"/>
            <rFont val="Tahoma"/>
            <family val="2"/>
          </rPr>
          <t>Keller, Zach:</t>
        </r>
        <r>
          <rPr>
            <sz val="10"/>
            <color rgb="FF000000"/>
            <rFont val="Tahoma"/>
            <family val="2"/>
          </rPr>
          <t xml:space="preserve">
Source: Forbes team page, historical value for Forbes 2018 list (2018–19 season; Forbes rounds to nearest $0.1B on this page), https://www.forbes.com/teams/detroit-pistons/</t>
        </r>
      </text>
    </comment>
    <comment ref="E13" authorId="0" shapeId="0" xr:uid="{7833EA58-B485-0F4A-96FB-5377ABCE783E}">
      <text>
        <r>
          <rPr>
            <b/>
            <sz val="10"/>
            <color rgb="FF000000"/>
            <rFont val="Tahoma"/>
            <family val="2"/>
          </rPr>
          <t>Keller, Zach:</t>
        </r>
        <r>
          <rPr>
            <sz val="10"/>
            <color rgb="FF000000"/>
            <rFont val="Tahoma"/>
            <family val="2"/>
          </rPr>
          <t xml:space="preserve">
Source: Forbes team page, historical value for Forbes 2019 list (2019–20 season; Forbes rounds to nearest $0.1B on this page), https://www.forbes.com/teams/detroit-pistons/</t>
        </r>
      </text>
    </comment>
    <comment ref="F13" authorId="0" shapeId="0" xr:uid="{2B20235D-CC80-2447-9D31-ABFD719671E7}">
      <text>
        <r>
          <rPr>
            <b/>
            <sz val="10"/>
            <color rgb="FF000000"/>
            <rFont val="Tahoma"/>
            <family val="2"/>
          </rPr>
          <t>Keller, Zach:</t>
        </r>
        <r>
          <rPr>
            <sz val="10"/>
            <color rgb="FF000000"/>
            <rFont val="Tahoma"/>
            <family val="2"/>
          </rPr>
          <t xml:space="preserve">
Source: Forbes NBA Team Valuations (Feb 2021, 2020–21 season), https://www.forbes.com/sites/kurtbadenhausen/2021/02/10/nba-team-values-2021-knicks-keep-top-spot-at-5-billion-warriors-bump-lakers-for-second-place/</t>
        </r>
      </text>
    </comment>
    <comment ref="G13" authorId="0" shapeId="0" xr:uid="{13AFB4CD-473E-5445-91BA-9EEE2F831DCC}">
      <text>
        <r>
          <rPr>
            <b/>
            <sz val="10"/>
            <color rgb="FF000000"/>
            <rFont val="Tahoma"/>
            <family val="2"/>
          </rPr>
          <t>Keller, Zach:</t>
        </r>
        <r>
          <rPr>
            <sz val="10"/>
            <color rgb="FF000000"/>
            <rFont val="Tahoma"/>
            <family val="2"/>
          </rPr>
          <t xml:space="preserve">
Source: Forbes NBA Team Valuations (Oct 2021, 2021–22 season), https://www.forbes.com/sites/mikeozanian/2021/10/18/the-nbas-most-valuable-teams-2021-22-new-york-knicks-lead-a-trio-now-worth-over-5-billion-each/</t>
        </r>
      </text>
    </comment>
    <comment ref="H13" authorId="0" shapeId="0" xr:uid="{A1FB0900-31DB-D749-81A2-E3B52DE74B57}">
      <text>
        <r>
          <rPr>
            <b/>
            <sz val="10"/>
            <color rgb="FF000000"/>
            <rFont val="Tahoma"/>
            <family val="2"/>
          </rPr>
          <t>Keller, Zach:</t>
        </r>
        <r>
          <rPr>
            <sz val="10"/>
            <color rgb="FF000000"/>
            <rFont val="Tahoma"/>
            <family val="2"/>
          </rPr>
          <t xml:space="preserve">
Source: Forbes NBA Team Valuations (Oct 2022, 2022–23 season), https://www.forbes.com/sites/mikeozanian/2022/10/27/nba-team-values-2022-for-the-first-time-in-two-decades-the-top-spot-goes-to-a-franchise-thats-not-the-knicks-or-lakers/</t>
        </r>
      </text>
    </comment>
    <comment ref="I13" authorId="0" shapeId="0" xr:uid="{27CCEB15-8F11-3647-BEC9-6E8F24D9447D}">
      <text>
        <r>
          <rPr>
            <b/>
            <sz val="10"/>
            <color rgb="FF000000"/>
            <rFont val="Tahoma"/>
            <family val="2"/>
          </rPr>
          <t>Keller, Zach:</t>
        </r>
        <r>
          <rPr>
            <sz val="10"/>
            <color rgb="FF000000"/>
            <rFont val="Tahoma"/>
            <family val="2"/>
          </rPr>
          <t xml:space="preserve">
Source: Forbes NBA Team Valuations (Oct 2023, 2023–24 season), https://www.forbes.com/sites/mikeozanian/2023/10/26/the-most-valuable-nba-teams-2023/</t>
        </r>
      </text>
    </comment>
    <comment ref="J13" authorId="0" shapeId="0" xr:uid="{D9B20FBB-8CC3-2E4C-9DB9-3F162F0B0BD9}">
      <text>
        <r>
          <rPr>
            <b/>
            <sz val="10"/>
            <color rgb="FF000000"/>
            <rFont val="Tahoma"/>
            <family val="2"/>
          </rPr>
          <t>Keller, Zach:</t>
        </r>
        <r>
          <rPr>
            <sz val="10"/>
            <color rgb="FF000000"/>
            <rFont val="Tahoma"/>
            <family val="2"/>
          </rPr>
          <t xml:space="preserve">
Source: Forbes NBA Team Valuations (Oct 2024, 2024–25 season), https://www.forbes.com/sites/justinteitelbaum/2024/10/24/the-most-valuable-nba-teams-2024/</t>
        </r>
      </text>
    </comment>
    <comment ref="K13" authorId="0" shapeId="0" xr:uid="{40CA0807-AD48-174F-937D-0538B6C4F4FA}">
      <text>
        <r>
          <rPr>
            <b/>
            <sz val="10"/>
            <color rgb="FF000000"/>
            <rFont val="Tahoma"/>
            <family val="2"/>
          </rPr>
          <t>Keller, Zach:</t>
        </r>
        <r>
          <rPr>
            <sz val="10"/>
            <color rgb="FF000000"/>
            <rFont val="Tahoma"/>
            <family val="2"/>
          </rPr>
          <t xml:space="preserve">
Source: Forbes NBA Team Valuations (Oct 2025, 2025–26 season), https://www.forbes.com/sites/justinteitelbaum/2025/10/23/the-most-valuable-nba-teams-2025/</t>
        </r>
      </text>
    </comment>
    <comment ref="B14" authorId="0" shapeId="0" xr:uid="{97CDFE42-A80D-194F-BDE2-6432ABCB13FA}">
      <text>
        <r>
          <rPr>
            <b/>
            <sz val="10"/>
            <color rgb="FF000000"/>
            <rFont val="Tahoma"/>
            <family val="2"/>
          </rPr>
          <t>Keller, Zach:</t>
        </r>
        <r>
          <rPr>
            <sz val="10"/>
            <color rgb="FF000000"/>
            <rFont val="Tahoma"/>
            <family val="2"/>
          </rPr>
          <t xml:space="preserve">
Source: Forbes team page, historical value for Forbes 2016 list (2016–17 season; Forbes rounds to nearest $0.1B on this page), https://www.forbes.com/teams/golden-state-warriors/</t>
        </r>
      </text>
    </comment>
    <comment ref="C14" authorId="0" shapeId="0" xr:uid="{01B2F65C-802B-764B-B921-8D7BA3E000BC}">
      <text>
        <r>
          <rPr>
            <b/>
            <sz val="10"/>
            <color rgb="FF000000"/>
            <rFont val="Tahoma"/>
            <family val="2"/>
          </rPr>
          <t>Keller, Zach:</t>
        </r>
        <r>
          <rPr>
            <sz val="10"/>
            <color rgb="FF000000"/>
            <rFont val="Tahoma"/>
            <family val="2"/>
          </rPr>
          <t xml:space="preserve">
Source: Forbes team page, historical value for Forbes 2017 list (2017–18 season; Forbes rounds to nearest $0.1B on this page), https://www.forbes.com/teams/golden-state-warriors/</t>
        </r>
      </text>
    </comment>
    <comment ref="D14" authorId="0" shapeId="0" xr:uid="{F4B394EE-F4BE-714D-A360-3791D4E6338F}">
      <text>
        <r>
          <rPr>
            <b/>
            <sz val="10"/>
            <color rgb="FF000000"/>
            <rFont val="Tahoma"/>
            <family val="2"/>
          </rPr>
          <t>Keller, Zach:</t>
        </r>
        <r>
          <rPr>
            <sz val="10"/>
            <color rgb="FF000000"/>
            <rFont val="Tahoma"/>
            <family val="2"/>
          </rPr>
          <t xml:space="preserve">
Source: Forbes team page, historical value for Forbes 2018 list (2018–19 season; Forbes rounds to nearest $0.1B on this page), https://www.forbes.com/teams/golden-state-warriors/</t>
        </r>
      </text>
    </comment>
    <comment ref="E14" authorId="0" shapeId="0" xr:uid="{4A40F7EE-D73D-6E44-9D93-4D7215068569}">
      <text>
        <r>
          <rPr>
            <b/>
            <sz val="10"/>
            <color rgb="FF000000"/>
            <rFont val="Tahoma"/>
            <family val="2"/>
          </rPr>
          <t>Keller, Zach:</t>
        </r>
        <r>
          <rPr>
            <sz val="10"/>
            <color rgb="FF000000"/>
            <rFont val="Tahoma"/>
            <family val="2"/>
          </rPr>
          <t xml:space="preserve">
Source: Forbes team page, historical value for Forbes 2019 list (2019–20 season; Forbes rounds to nearest $0.1B on this page), https://www.forbes.com/teams/golden-state-warriors/</t>
        </r>
      </text>
    </comment>
    <comment ref="F14" authorId="0" shapeId="0" xr:uid="{5642C1DA-B63E-8248-9968-2E5BBAE0C56A}">
      <text>
        <r>
          <rPr>
            <b/>
            <sz val="10"/>
            <color rgb="FF000000"/>
            <rFont val="Tahoma"/>
            <family val="2"/>
          </rPr>
          <t>Keller, Zach:</t>
        </r>
        <r>
          <rPr>
            <sz val="10"/>
            <color rgb="FF000000"/>
            <rFont val="Tahoma"/>
            <family val="2"/>
          </rPr>
          <t xml:space="preserve">
Source: Forbes NBA Team Valuations (Feb 2021, 2020–21 season), https://www.forbes.com/sites/kurtbadenhausen/2021/02/10/nba-team-values-2021-knicks-keep-top-spot-at-5-billion-warriors-bump-lakers-for-second-place/</t>
        </r>
      </text>
    </comment>
    <comment ref="G14" authorId="0" shapeId="0" xr:uid="{C108BA75-9C6E-DA4E-8185-279BF8B2BA96}">
      <text>
        <r>
          <rPr>
            <b/>
            <sz val="10"/>
            <color rgb="FF000000"/>
            <rFont val="Tahoma"/>
            <family val="2"/>
          </rPr>
          <t>Keller, Zach:</t>
        </r>
        <r>
          <rPr>
            <sz val="10"/>
            <color rgb="FF000000"/>
            <rFont val="Tahoma"/>
            <family val="2"/>
          </rPr>
          <t xml:space="preserve">
Source: Forbes NBA Team Valuations (Oct 2021, 2021–22 season), https://www.forbes.com/sites/mikeozanian/2021/10/18/the-nbas-most-valuable-teams-2021-22-new-york-knicks-lead-a-trio-now-worth-over-5-billion-each/</t>
        </r>
      </text>
    </comment>
    <comment ref="H14" authorId="0" shapeId="0" xr:uid="{75619B3B-7E1E-7F42-8D80-532E1FB07952}">
      <text>
        <r>
          <rPr>
            <b/>
            <sz val="10"/>
            <color rgb="FF000000"/>
            <rFont val="Tahoma"/>
            <family val="2"/>
          </rPr>
          <t>Keller, Zach:</t>
        </r>
        <r>
          <rPr>
            <sz val="10"/>
            <color rgb="FF000000"/>
            <rFont val="Tahoma"/>
            <family val="2"/>
          </rPr>
          <t xml:space="preserve">
Source: Forbes NBA Team Valuations (Oct 2022, 2022–23 season), https://www.forbes.com/sites/mikeozanian/2022/10/27/nba-team-values-2022-for-the-first-time-in-two-decades-the-top-spot-goes-to-a-franchise-thats-not-the-knicks-or-lakers/</t>
        </r>
      </text>
    </comment>
    <comment ref="I14" authorId="0" shapeId="0" xr:uid="{8631075D-1C97-094D-AE4F-57829AE4E96F}">
      <text>
        <r>
          <rPr>
            <b/>
            <sz val="10"/>
            <color rgb="FF000000"/>
            <rFont val="Tahoma"/>
            <family val="2"/>
          </rPr>
          <t>Keller, Zach:</t>
        </r>
        <r>
          <rPr>
            <sz val="10"/>
            <color rgb="FF000000"/>
            <rFont val="Tahoma"/>
            <family val="2"/>
          </rPr>
          <t xml:space="preserve">
Source: Forbes NBA Team Valuations (Oct 2023, 2023–24 season), https://www.forbes.com/sites/mikeozanian/2023/10/26/the-most-valuable-nba-teams-2023/</t>
        </r>
      </text>
    </comment>
    <comment ref="J14" authorId="0" shapeId="0" xr:uid="{2243D2ED-EFDF-844B-AA0D-F7703F7D6C39}">
      <text>
        <r>
          <rPr>
            <b/>
            <sz val="10"/>
            <color rgb="FF000000"/>
            <rFont val="Tahoma"/>
            <family val="2"/>
          </rPr>
          <t>Keller, Zach:</t>
        </r>
        <r>
          <rPr>
            <sz val="10"/>
            <color rgb="FF000000"/>
            <rFont val="Tahoma"/>
            <family val="2"/>
          </rPr>
          <t xml:space="preserve">
Source: Forbes NBA Team Valuations (Oct 2024, 2024–25 season), https://www.forbes.com/sites/justinteitelbaum/2024/10/24/the-most-valuable-nba-teams-2024/</t>
        </r>
      </text>
    </comment>
    <comment ref="K14" authorId="0" shapeId="0" xr:uid="{3C4B5675-6896-B84F-AEC9-5C33BA6B471D}">
      <text>
        <r>
          <rPr>
            <b/>
            <sz val="10"/>
            <color rgb="FF000000"/>
            <rFont val="Tahoma"/>
            <family val="2"/>
          </rPr>
          <t>Keller, Zach:</t>
        </r>
        <r>
          <rPr>
            <sz val="10"/>
            <color rgb="FF000000"/>
            <rFont val="Tahoma"/>
            <family val="2"/>
          </rPr>
          <t xml:space="preserve">
Source: Forbes NBA Team Valuations (Oct 2025, 2025–26 season), https://www.forbes.com/sites/justinteitelbaum/2025/10/23/the-most-valuable-nba-teams-2025/</t>
        </r>
      </text>
    </comment>
    <comment ref="B15" authorId="0" shapeId="0" xr:uid="{59B1BE26-3DE6-2342-B986-9160008EED2B}">
      <text>
        <r>
          <rPr>
            <b/>
            <sz val="10"/>
            <color rgb="FF000000"/>
            <rFont val="Tahoma"/>
            <family val="2"/>
          </rPr>
          <t>Keller, Zach:</t>
        </r>
        <r>
          <rPr>
            <sz val="10"/>
            <color rgb="FF000000"/>
            <rFont val="Tahoma"/>
            <family val="2"/>
          </rPr>
          <t xml:space="preserve">
Source: Forbes team page, historical value for Forbes 2016 list (2016–17 season; Forbes rounds to nearest $0.1B on this page), https://www.forbes.com/teams/houston-rockets/</t>
        </r>
      </text>
    </comment>
    <comment ref="C15" authorId="0" shapeId="0" xr:uid="{06A9C301-4032-6E46-92D8-1EB1CCA124CF}">
      <text>
        <r>
          <rPr>
            <b/>
            <sz val="10"/>
            <color rgb="FF000000"/>
            <rFont val="Tahoma"/>
            <family val="2"/>
          </rPr>
          <t>Keller, Zach:</t>
        </r>
        <r>
          <rPr>
            <sz val="10"/>
            <color rgb="FF000000"/>
            <rFont val="Tahoma"/>
            <family val="2"/>
          </rPr>
          <t xml:space="preserve">
Source: Forbes team page, historical value for Forbes 2017 list (2017–18 season; Forbes rounds to nearest $0.1B on this page), https://www.forbes.com/teams/houston-rockets/</t>
        </r>
      </text>
    </comment>
    <comment ref="D15" authorId="0" shapeId="0" xr:uid="{4215962D-3B22-3F45-8C4E-8DCFF4CC03A3}">
      <text>
        <r>
          <rPr>
            <b/>
            <sz val="10"/>
            <color rgb="FF000000"/>
            <rFont val="Tahoma"/>
            <family val="2"/>
          </rPr>
          <t>Keller, Zach:</t>
        </r>
        <r>
          <rPr>
            <sz val="10"/>
            <color rgb="FF000000"/>
            <rFont val="Tahoma"/>
            <family val="2"/>
          </rPr>
          <t xml:space="preserve">
Source: Forbes team page, historical value for Forbes 2018 list (2018–19 season; Forbes rounds to nearest $0.1B on this page), https://www.forbes.com/teams/houston-rockets/</t>
        </r>
      </text>
    </comment>
    <comment ref="E15" authorId="0" shapeId="0" xr:uid="{1CE66B09-6B41-6D44-9756-48C0382B1317}">
      <text>
        <r>
          <rPr>
            <b/>
            <sz val="10"/>
            <color rgb="FF000000"/>
            <rFont val="Tahoma"/>
            <family val="2"/>
          </rPr>
          <t>Keller, Zach:</t>
        </r>
        <r>
          <rPr>
            <sz val="10"/>
            <color rgb="FF000000"/>
            <rFont val="Tahoma"/>
            <family val="2"/>
          </rPr>
          <t xml:space="preserve">
Source: Forbes team page, historical value for Forbes 2019 list (2019–20 season; Forbes rounds to nearest $0.1B on this page), https://www.forbes.com/teams/houston-rockets/</t>
        </r>
      </text>
    </comment>
    <comment ref="F15" authorId="0" shapeId="0" xr:uid="{C51FBCD0-2FAE-0C44-91E8-B6E2039978C9}">
      <text>
        <r>
          <rPr>
            <b/>
            <sz val="10"/>
            <color rgb="FF000000"/>
            <rFont val="Tahoma"/>
            <family val="2"/>
          </rPr>
          <t>Keller, Zach:</t>
        </r>
        <r>
          <rPr>
            <sz val="10"/>
            <color rgb="FF000000"/>
            <rFont val="Tahoma"/>
            <family val="2"/>
          </rPr>
          <t xml:space="preserve">
Source: Forbes NBA Team Valuations (Feb 2021, 2020–21 season), https://www.forbes.com/sites/kurtbadenhausen/2021/02/10/nba-team-values-2021-knicks-keep-top-spot-at-5-billion-warriors-bump-lakers-for-second-place/</t>
        </r>
      </text>
    </comment>
    <comment ref="G15" authorId="0" shapeId="0" xr:uid="{F9741E5D-6FDC-0149-9DCF-9E1ED035C185}">
      <text>
        <r>
          <rPr>
            <b/>
            <sz val="10"/>
            <color rgb="FF000000"/>
            <rFont val="Tahoma"/>
            <family val="2"/>
          </rPr>
          <t>Keller, Zach:</t>
        </r>
        <r>
          <rPr>
            <sz val="10"/>
            <color rgb="FF000000"/>
            <rFont val="Tahoma"/>
            <family val="2"/>
          </rPr>
          <t xml:space="preserve">
Source: Forbes NBA Team Valuations (Oct 2021, 2021–22 season), https://www.forbes.com/sites/mikeozanian/2021/10/18/the-nbas-most-valuable-teams-2021-22-new-york-knicks-lead-a-trio-now-worth-over-5-billion-each/</t>
        </r>
      </text>
    </comment>
    <comment ref="H15" authorId="0" shapeId="0" xr:uid="{0220E2F1-AE89-EB4F-A6E0-BE804A9B4985}">
      <text>
        <r>
          <rPr>
            <b/>
            <sz val="10"/>
            <color rgb="FF000000"/>
            <rFont val="Tahoma"/>
            <family val="2"/>
          </rPr>
          <t>Keller, Zach:</t>
        </r>
        <r>
          <rPr>
            <sz val="10"/>
            <color rgb="FF000000"/>
            <rFont val="Tahoma"/>
            <family val="2"/>
          </rPr>
          <t xml:space="preserve">
Source: Forbes NBA Team Valuations (Oct 2022, 2022–23 season), https://www.forbes.com/sites/mikeozanian/2022/10/27/nba-team-values-2022-for-the-first-time-in-two-decades-the-top-spot-goes-to-a-franchise-thats-not-the-knicks-or-lakers/</t>
        </r>
      </text>
    </comment>
    <comment ref="I15" authorId="0" shapeId="0" xr:uid="{82CEB684-2310-B74B-BE57-B56AA90DEA58}">
      <text>
        <r>
          <rPr>
            <b/>
            <sz val="10"/>
            <color rgb="FF000000"/>
            <rFont val="Tahoma"/>
            <family val="2"/>
          </rPr>
          <t>Keller, Zach:</t>
        </r>
        <r>
          <rPr>
            <sz val="10"/>
            <color rgb="FF000000"/>
            <rFont val="Tahoma"/>
            <family val="2"/>
          </rPr>
          <t xml:space="preserve">
Source: Forbes NBA Team Valuations (Oct 2023, 2023–24 season), https://www.forbes.com/sites/mikeozanian/2023/10/26/the-most-valuable-nba-teams-2023/</t>
        </r>
      </text>
    </comment>
    <comment ref="J15" authorId="0" shapeId="0" xr:uid="{C944C2C9-403E-4548-B4B4-B3662862D617}">
      <text>
        <r>
          <rPr>
            <b/>
            <sz val="10"/>
            <color rgb="FF000000"/>
            <rFont val="Tahoma"/>
            <family val="2"/>
          </rPr>
          <t>Keller, Zach:</t>
        </r>
        <r>
          <rPr>
            <sz val="10"/>
            <color rgb="FF000000"/>
            <rFont val="Tahoma"/>
            <family val="2"/>
          </rPr>
          <t xml:space="preserve">
Source: Forbes NBA Team Valuations (Oct 2024, 2024–25 season), https://www.forbes.com/sites/justinteitelbaum/2024/10/24/the-most-valuable-nba-teams-2024/</t>
        </r>
      </text>
    </comment>
    <comment ref="K15" authorId="0" shapeId="0" xr:uid="{A97E5EF8-2843-4141-AC3A-D14212AAC06D}">
      <text>
        <r>
          <rPr>
            <b/>
            <sz val="10"/>
            <color rgb="FF000000"/>
            <rFont val="Tahoma"/>
            <family val="2"/>
          </rPr>
          <t>Keller, Zach:</t>
        </r>
        <r>
          <rPr>
            <sz val="10"/>
            <color rgb="FF000000"/>
            <rFont val="Tahoma"/>
            <family val="2"/>
          </rPr>
          <t xml:space="preserve">
Source: Forbes NBA Team Valuations (Oct 2025, 2025–26 season), https://www.forbes.com/sites/justinteitelbaum/2025/10/23/the-most-valuable-nba-teams-2025/</t>
        </r>
      </text>
    </comment>
    <comment ref="B16" authorId="0" shapeId="0" xr:uid="{8DB0B88B-B1E2-AB49-A540-B1582F959448}">
      <text>
        <r>
          <rPr>
            <b/>
            <sz val="10"/>
            <color rgb="FF000000"/>
            <rFont val="Tahoma"/>
            <family val="2"/>
          </rPr>
          <t>Keller, Zach:</t>
        </r>
        <r>
          <rPr>
            <sz val="10"/>
            <color rgb="FF000000"/>
            <rFont val="Tahoma"/>
            <family val="2"/>
          </rPr>
          <t xml:space="preserve">
Source: Forbes team page, historical value for Forbes 2016 list (2016–17 season; Forbes rounds to nearest $0.1B on this page), https://www.forbes.com/teams/indiana-pacers/</t>
        </r>
      </text>
    </comment>
    <comment ref="C16" authorId="0" shapeId="0" xr:uid="{D03D78BD-A702-F342-8ACD-B85C7061F602}">
      <text>
        <r>
          <rPr>
            <b/>
            <sz val="10"/>
            <color rgb="FF000000"/>
            <rFont val="Tahoma"/>
            <family val="2"/>
          </rPr>
          <t>Keller, Zach:</t>
        </r>
        <r>
          <rPr>
            <sz val="10"/>
            <color rgb="FF000000"/>
            <rFont val="Tahoma"/>
            <family val="2"/>
          </rPr>
          <t xml:space="preserve">
Source: Forbes team page, historical value for Forbes 2017 list (2017–18 season; Forbes rounds to nearest $0.1B on this page), https://www.forbes.com/teams/indiana-pacers/</t>
        </r>
      </text>
    </comment>
    <comment ref="D16" authorId="0" shapeId="0" xr:uid="{81B42BDB-0CCB-7748-874D-81C6E5C2268A}">
      <text>
        <r>
          <rPr>
            <b/>
            <sz val="10"/>
            <color rgb="FF000000"/>
            <rFont val="Tahoma"/>
            <family val="2"/>
          </rPr>
          <t>Keller, Zach:</t>
        </r>
        <r>
          <rPr>
            <sz val="10"/>
            <color rgb="FF000000"/>
            <rFont val="Tahoma"/>
            <family val="2"/>
          </rPr>
          <t xml:space="preserve">
Source: Forbes team page, historical value for Forbes 2018 list (2018–19 season; Forbes rounds to nearest $0.1B on this page), https://www.forbes.com/teams/indiana-pacers/</t>
        </r>
      </text>
    </comment>
    <comment ref="E16" authorId="0" shapeId="0" xr:uid="{28F2D240-651B-7B47-A51C-FA70612A0327}">
      <text>
        <r>
          <rPr>
            <b/>
            <sz val="10"/>
            <color rgb="FF000000"/>
            <rFont val="Tahoma"/>
            <family val="2"/>
          </rPr>
          <t>Keller, Zach:</t>
        </r>
        <r>
          <rPr>
            <sz val="10"/>
            <color rgb="FF000000"/>
            <rFont val="Tahoma"/>
            <family val="2"/>
          </rPr>
          <t xml:space="preserve">
Source: Forbes team page, historical value for Forbes 2019 list (2019–20 season; Forbes rounds to nearest $0.1B on this page), https://www.forbes.com/teams/indiana-pacers/</t>
        </r>
      </text>
    </comment>
    <comment ref="F16" authorId="0" shapeId="0" xr:uid="{97BB8B85-5C09-8F46-87EE-1C64BDC0A021}">
      <text>
        <r>
          <rPr>
            <b/>
            <sz val="10"/>
            <color rgb="FF000000"/>
            <rFont val="Tahoma"/>
            <family val="2"/>
          </rPr>
          <t>Keller, Zach:</t>
        </r>
        <r>
          <rPr>
            <sz val="10"/>
            <color rgb="FF000000"/>
            <rFont val="Tahoma"/>
            <family val="2"/>
          </rPr>
          <t xml:space="preserve">
Source: Forbes NBA Team Valuations (Feb 2021, 2020–21 season), https://www.forbes.com/sites/kurtbadenhausen/2021/02/10/nba-team-values-2021-knicks-keep-top-spot-at-5-billion-warriors-bump-lakers-for-second-place/</t>
        </r>
      </text>
    </comment>
    <comment ref="G16" authorId="0" shapeId="0" xr:uid="{E43E6BAF-405F-9C4D-9D7A-C2D57E9D41ED}">
      <text>
        <r>
          <rPr>
            <b/>
            <sz val="10"/>
            <color rgb="FF000000"/>
            <rFont val="Tahoma"/>
            <family val="2"/>
          </rPr>
          <t>Keller, Zach:</t>
        </r>
        <r>
          <rPr>
            <sz val="10"/>
            <color rgb="FF000000"/>
            <rFont val="Tahoma"/>
            <family val="2"/>
          </rPr>
          <t xml:space="preserve">
Source: Forbes NBA Team Valuations (Oct 2021, 2021–22 season), https://www.forbes.com/sites/mikeozanian/2021/10/18/the-nbas-most-valuable-teams-2021-22-new-york-knicks-lead-a-trio-now-worth-over-5-billion-each/</t>
        </r>
      </text>
    </comment>
    <comment ref="H16" authorId="0" shapeId="0" xr:uid="{3B8F04F3-7F36-8D4E-9614-2A170CFC46B6}">
      <text>
        <r>
          <rPr>
            <b/>
            <sz val="10"/>
            <color rgb="FF000000"/>
            <rFont val="Tahoma"/>
            <family val="2"/>
          </rPr>
          <t>Keller, Zach:</t>
        </r>
        <r>
          <rPr>
            <sz val="10"/>
            <color rgb="FF000000"/>
            <rFont val="Tahoma"/>
            <family val="2"/>
          </rPr>
          <t xml:space="preserve">
Source: Forbes NBA Team Valuations (Oct 2022, 2022–23 season), https://www.forbes.com/sites/mikeozanian/2022/10/27/nba-team-values-2022-for-the-first-time-in-two-decades-the-top-spot-goes-to-a-franchise-thats-not-the-knicks-or-lakers/</t>
        </r>
      </text>
    </comment>
    <comment ref="I16" authorId="0" shapeId="0" xr:uid="{DE55BDE1-4697-FA42-BEFE-1105E9E68B1E}">
      <text>
        <r>
          <rPr>
            <b/>
            <sz val="10"/>
            <color rgb="FF000000"/>
            <rFont val="Tahoma"/>
            <family val="2"/>
          </rPr>
          <t>Keller, Zach:</t>
        </r>
        <r>
          <rPr>
            <sz val="10"/>
            <color rgb="FF000000"/>
            <rFont val="Tahoma"/>
            <family val="2"/>
          </rPr>
          <t xml:space="preserve">
Source: Forbes NBA Team Valuations (Oct 2023, 2023–24 season), https://www.forbes.com/sites/mikeozanian/2023/10/26/the-most-valuable-nba-teams-2023/</t>
        </r>
      </text>
    </comment>
    <comment ref="J16" authorId="0" shapeId="0" xr:uid="{8D6D03AB-8628-FF44-8E9A-A0AD3EB5BE49}">
      <text>
        <r>
          <rPr>
            <b/>
            <sz val="10"/>
            <color rgb="FF000000"/>
            <rFont val="Tahoma"/>
            <family val="2"/>
          </rPr>
          <t>Keller, Zach:</t>
        </r>
        <r>
          <rPr>
            <sz val="10"/>
            <color rgb="FF000000"/>
            <rFont val="Tahoma"/>
            <family val="2"/>
          </rPr>
          <t xml:space="preserve">
Source: Forbes NBA Team Valuations (Oct 2024, 2024–25 season), https://www.forbes.com/sites/justinteitelbaum/2024/10/24/the-most-valuable-nba-teams-2024/</t>
        </r>
      </text>
    </comment>
    <comment ref="K16" authorId="0" shapeId="0" xr:uid="{CCF62BAB-04DC-B84C-BD00-45BFF2C38A31}">
      <text>
        <r>
          <rPr>
            <b/>
            <sz val="10"/>
            <color rgb="FF000000"/>
            <rFont val="Tahoma"/>
            <family val="2"/>
          </rPr>
          <t>Keller, Zach:</t>
        </r>
        <r>
          <rPr>
            <sz val="10"/>
            <color rgb="FF000000"/>
            <rFont val="Tahoma"/>
            <family val="2"/>
          </rPr>
          <t xml:space="preserve">
Source: Forbes NBA Team Valuations (Oct 2025, 2025–26 season), https://www.forbes.com/sites/justinteitelbaum/2025/10/23/the-most-valuable-nba-teams-2025/</t>
        </r>
      </text>
    </comment>
    <comment ref="B17" authorId="0" shapeId="0" xr:uid="{E8FC67B7-49BC-9944-AA7B-E94223EEB08A}">
      <text>
        <r>
          <rPr>
            <b/>
            <sz val="10"/>
            <color rgb="FF000000"/>
            <rFont val="Tahoma"/>
            <family val="2"/>
          </rPr>
          <t>Keller, Zach:</t>
        </r>
        <r>
          <rPr>
            <sz val="10"/>
            <color rgb="FF000000"/>
            <rFont val="Tahoma"/>
            <family val="2"/>
          </rPr>
          <t xml:space="preserve">
Source: Forbes team page, historical value for Forbes 2016 list (2016–17 season; Forbes rounds to nearest $0.1B on this page), https://www.forbes.com/teams/los-angeles-clippers/</t>
        </r>
      </text>
    </comment>
    <comment ref="C17" authorId="0" shapeId="0" xr:uid="{EF9F94E6-A627-2D4D-81AE-4D1C6E38B59B}">
      <text>
        <r>
          <rPr>
            <b/>
            <sz val="10"/>
            <color rgb="FF000000"/>
            <rFont val="Tahoma"/>
            <family val="2"/>
          </rPr>
          <t>Keller, Zach:</t>
        </r>
        <r>
          <rPr>
            <sz val="10"/>
            <color rgb="FF000000"/>
            <rFont val="Tahoma"/>
            <family val="2"/>
          </rPr>
          <t xml:space="preserve">
Source: Forbes team page, historical value for Forbes 2017 list (2017–18 season; Forbes rounds to nearest $0.1B on this page), https://www.forbes.com/teams/los-angeles-clippers/</t>
        </r>
      </text>
    </comment>
    <comment ref="D17" authorId="0" shapeId="0" xr:uid="{33ECC1B2-E7DA-144B-9DC2-6F89041B359D}">
      <text>
        <r>
          <rPr>
            <b/>
            <sz val="10"/>
            <color rgb="FF000000"/>
            <rFont val="Tahoma"/>
            <family val="2"/>
          </rPr>
          <t>Keller, Zach:</t>
        </r>
        <r>
          <rPr>
            <sz val="10"/>
            <color rgb="FF000000"/>
            <rFont val="Tahoma"/>
            <family val="2"/>
          </rPr>
          <t xml:space="preserve">
Source: Forbes team page, historical value for Forbes 2018 list (2018–19 season; Forbes rounds to nearest $0.1B on this page), https://www.forbes.com/teams/los-angeles-clippers/</t>
        </r>
      </text>
    </comment>
    <comment ref="E17" authorId="0" shapeId="0" xr:uid="{2F7CE9B2-B427-6A4A-9501-6F4F3002C1CF}">
      <text>
        <r>
          <rPr>
            <b/>
            <sz val="10"/>
            <color rgb="FF000000"/>
            <rFont val="Tahoma"/>
            <family val="2"/>
          </rPr>
          <t>Keller, Zach:</t>
        </r>
        <r>
          <rPr>
            <sz val="10"/>
            <color rgb="FF000000"/>
            <rFont val="Tahoma"/>
            <family val="2"/>
          </rPr>
          <t xml:space="preserve">
Source: Forbes team page, historical value for Forbes 2019 list (2019–20 season; Forbes rounds to nearest $0.1B on this page), https://www.forbes.com/teams/los-angeles-clippers/</t>
        </r>
      </text>
    </comment>
    <comment ref="F17" authorId="0" shapeId="0" xr:uid="{9672381A-D6DC-6248-97C3-82F7CC3E7C2D}">
      <text>
        <r>
          <rPr>
            <b/>
            <sz val="10"/>
            <color rgb="FF000000"/>
            <rFont val="Tahoma"/>
            <family val="2"/>
          </rPr>
          <t>Keller, Zach:</t>
        </r>
        <r>
          <rPr>
            <sz val="10"/>
            <color rgb="FF000000"/>
            <rFont val="Tahoma"/>
            <family val="2"/>
          </rPr>
          <t xml:space="preserve">
Source: Forbes NBA Team Valuations (Feb 2021, 2020–21 season), https://www.forbes.com/sites/kurtbadenhausen/2021/02/10/nba-team-values-2021-knicks-keep-top-spot-at-5-billion-warriors-bump-lakers-for-second-place/</t>
        </r>
      </text>
    </comment>
    <comment ref="G17" authorId="0" shapeId="0" xr:uid="{EC66E2FE-9D06-824D-90B1-DF8434B305CD}">
      <text>
        <r>
          <rPr>
            <b/>
            <sz val="10"/>
            <color rgb="FF000000"/>
            <rFont val="Tahoma"/>
            <family val="2"/>
          </rPr>
          <t>Keller, Zach:</t>
        </r>
        <r>
          <rPr>
            <sz val="10"/>
            <color rgb="FF000000"/>
            <rFont val="Tahoma"/>
            <family val="2"/>
          </rPr>
          <t xml:space="preserve">
Source: Forbes NBA Team Valuations (Oct 2021, 2021–22 season), https://www.forbes.com/sites/mikeozanian/2021/10/18/the-nbas-most-valuable-teams-2021-22-new-york-knicks-lead-a-trio-now-worth-over-5-billion-each/</t>
        </r>
      </text>
    </comment>
    <comment ref="H17" authorId="0" shapeId="0" xr:uid="{6414CB0A-B3AA-A448-8FA7-37E42BB70083}">
      <text>
        <r>
          <rPr>
            <b/>
            <sz val="10"/>
            <color rgb="FF000000"/>
            <rFont val="Tahoma"/>
            <family val="2"/>
          </rPr>
          <t>Keller, Zach:</t>
        </r>
        <r>
          <rPr>
            <sz val="10"/>
            <color rgb="FF000000"/>
            <rFont val="Tahoma"/>
            <family val="2"/>
          </rPr>
          <t xml:space="preserve">
Source: Forbes NBA Team Valuations (Oct 2022, 2022–23 season), https://www.forbes.com/sites/mikeozanian/2022/10/27/nba-team-values-2022-for-the-first-time-in-two-decades-the-top-spot-goes-to-a-franchise-thats-not-the-knicks-or-lakers/</t>
        </r>
      </text>
    </comment>
    <comment ref="I17" authorId="0" shapeId="0" xr:uid="{5C2BB097-BD41-C443-B6FE-541CC491307C}">
      <text>
        <r>
          <rPr>
            <b/>
            <sz val="10"/>
            <color rgb="FF000000"/>
            <rFont val="Tahoma"/>
            <family val="2"/>
          </rPr>
          <t>Keller, Zach:</t>
        </r>
        <r>
          <rPr>
            <sz val="10"/>
            <color rgb="FF000000"/>
            <rFont val="Tahoma"/>
            <family val="2"/>
          </rPr>
          <t xml:space="preserve">
Source: Forbes NBA Team Valuations (Oct 2023, 2023–24 season), https://www.forbes.com/sites/mikeozanian/2023/10/26/the-most-valuable-nba-teams-2023/</t>
        </r>
      </text>
    </comment>
    <comment ref="J17" authorId="0" shapeId="0" xr:uid="{328425C5-6088-6D4E-A39B-C4A1B1EBB07A}">
      <text>
        <r>
          <rPr>
            <b/>
            <sz val="10"/>
            <color rgb="FF000000"/>
            <rFont val="Tahoma"/>
            <family val="2"/>
          </rPr>
          <t>Keller, Zach:</t>
        </r>
        <r>
          <rPr>
            <sz val="10"/>
            <color rgb="FF000000"/>
            <rFont val="Tahoma"/>
            <family val="2"/>
          </rPr>
          <t xml:space="preserve">
Source: Forbes NBA Team Valuations (Oct 2024, 2024–25 season), https://www.forbes.com/sites/justinteitelbaum/2024/10/24/the-most-valuable-nba-teams-2024/</t>
        </r>
      </text>
    </comment>
    <comment ref="K17" authorId="0" shapeId="0" xr:uid="{B539BF21-A23B-4E43-ADB5-D77A845D105E}">
      <text>
        <r>
          <rPr>
            <b/>
            <sz val="10"/>
            <color rgb="FF000000"/>
            <rFont val="Tahoma"/>
            <family val="2"/>
          </rPr>
          <t>Keller, Zach:</t>
        </r>
        <r>
          <rPr>
            <sz val="10"/>
            <color rgb="FF000000"/>
            <rFont val="Tahoma"/>
            <family val="2"/>
          </rPr>
          <t xml:space="preserve">
Source: Forbes NBA Team Valuations (Oct 2025, 2025–26 season), https://www.forbes.com/sites/justinteitelbaum/2025/10/23/the-most-valuable-nba-teams-2025/</t>
        </r>
      </text>
    </comment>
    <comment ref="B18" authorId="0" shapeId="0" xr:uid="{515CC97A-6DD2-3C49-8535-9F419EF65687}">
      <text>
        <r>
          <rPr>
            <b/>
            <sz val="10"/>
            <color rgb="FF000000"/>
            <rFont val="Tahoma"/>
            <family val="2"/>
          </rPr>
          <t>Keller, Zach:</t>
        </r>
        <r>
          <rPr>
            <sz val="10"/>
            <color rgb="FF000000"/>
            <rFont val="Tahoma"/>
            <family val="2"/>
          </rPr>
          <t xml:space="preserve">
Source: Forbes team page, historical value for Forbes 2016 list (2016–17 season; Forbes rounds to nearest $0.1B on this page), https://www.forbes.com/teams/los-angeles-lakers/</t>
        </r>
      </text>
    </comment>
    <comment ref="C18" authorId="0" shapeId="0" xr:uid="{2DE47FC3-5799-9141-B575-2F6F584BEA4E}">
      <text>
        <r>
          <rPr>
            <b/>
            <sz val="10"/>
            <color rgb="FF000000"/>
            <rFont val="Tahoma"/>
            <family val="2"/>
          </rPr>
          <t>Keller, Zach:</t>
        </r>
        <r>
          <rPr>
            <sz val="10"/>
            <color rgb="FF000000"/>
            <rFont val="Tahoma"/>
            <family val="2"/>
          </rPr>
          <t xml:space="preserve">
Source: Forbes team page, historical value for Forbes 2017 list (2017–18 season; Forbes rounds to nearest $0.1B on this page), https://www.forbes.com/teams/los-angeles-lakers/</t>
        </r>
      </text>
    </comment>
    <comment ref="D18" authorId="0" shapeId="0" xr:uid="{3BD32323-3BAB-3846-A438-133829680513}">
      <text>
        <r>
          <rPr>
            <b/>
            <sz val="10"/>
            <color rgb="FF000000"/>
            <rFont val="Tahoma"/>
            <family val="2"/>
          </rPr>
          <t>Keller, Zach:</t>
        </r>
        <r>
          <rPr>
            <sz val="10"/>
            <color rgb="FF000000"/>
            <rFont val="Tahoma"/>
            <family val="2"/>
          </rPr>
          <t xml:space="preserve">
Source: Forbes team page, historical value for Forbes 2018 list (2018–19 season; Forbes rounds to nearest $0.1B on this page), https://www.forbes.com/teams/los-angeles-lakers/</t>
        </r>
      </text>
    </comment>
    <comment ref="E18" authorId="0" shapeId="0" xr:uid="{37799C19-D3EF-AF4A-8A8F-C2EBB7A618AF}">
      <text>
        <r>
          <rPr>
            <b/>
            <sz val="10"/>
            <color rgb="FF000000"/>
            <rFont val="Tahoma"/>
            <family val="2"/>
          </rPr>
          <t>Keller, Zach:</t>
        </r>
        <r>
          <rPr>
            <sz val="10"/>
            <color rgb="FF000000"/>
            <rFont val="Tahoma"/>
            <family val="2"/>
          </rPr>
          <t xml:space="preserve">
Source: Forbes team page, historical value for Forbes 2019 list (2019–20 season; Forbes rounds to nearest $0.1B on this page), https://www.forbes.com/teams/los-angeles-lakers/</t>
        </r>
      </text>
    </comment>
    <comment ref="F18" authorId="0" shapeId="0" xr:uid="{F921175F-08BE-8F4E-ACED-4849C93D04B1}">
      <text>
        <r>
          <rPr>
            <b/>
            <sz val="10"/>
            <color rgb="FF000000"/>
            <rFont val="Tahoma"/>
            <family val="2"/>
          </rPr>
          <t>Keller, Zach:</t>
        </r>
        <r>
          <rPr>
            <sz val="10"/>
            <color rgb="FF000000"/>
            <rFont val="Tahoma"/>
            <family val="2"/>
          </rPr>
          <t xml:space="preserve">
Source: Forbes NBA Team Valuations (Feb 2021, 2020–21 season), https://www.forbes.com/sites/kurtbadenhausen/2021/02/10/nba-team-values-2021-knicks-keep-top-spot-at-5-billion-warriors-bump-lakers-for-second-place/</t>
        </r>
      </text>
    </comment>
    <comment ref="G18" authorId="0" shapeId="0" xr:uid="{8ED230E5-1ACC-BE44-8052-6B574B737BD7}">
      <text>
        <r>
          <rPr>
            <b/>
            <sz val="10"/>
            <color rgb="FF000000"/>
            <rFont val="Tahoma"/>
            <family val="2"/>
          </rPr>
          <t>Keller, Zach:</t>
        </r>
        <r>
          <rPr>
            <sz val="10"/>
            <color rgb="FF000000"/>
            <rFont val="Tahoma"/>
            <family val="2"/>
          </rPr>
          <t xml:space="preserve">
Source: Forbes NBA Team Valuations (Oct 2021, 2021–22 season), https://www.forbes.com/sites/mikeozanian/2021/10/18/the-nbas-most-valuable-teams-2021-22-new-york-knicks-lead-a-trio-now-worth-over-5-billion-each/</t>
        </r>
      </text>
    </comment>
    <comment ref="H18" authorId="0" shapeId="0" xr:uid="{1C5E3BF4-1B6F-874E-BA5D-5791D688DECE}">
      <text>
        <r>
          <rPr>
            <b/>
            <sz val="10"/>
            <color rgb="FF000000"/>
            <rFont val="Tahoma"/>
            <family val="2"/>
          </rPr>
          <t>Keller, Zach:</t>
        </r>
        <r>
          <rPr>
            <sz val="10"/>
            <color rgb="FF000000"/>
            <rFont val="Tahoma"/>
            <family val="2"/>
          </rPr>
          <t xml:space="preserve">
Source: Forbes NBA Team Valuations (Oct 2022, 2022–23 season), https://www.forbes.com/sites/mikeozanian/2022/10/27/nba-team-values-2022-for-the-first-time-in-two-decades-the-top-spot-goes-to-a-franchise-thats-not-the-knicks-or-lakers/</t>
        </r>
      </text>
    </comment>
    <comment ref="I18" authorId="0" shapeId="0" xr:uid="{BF313398-3FEF-DF4D-80CA-D35EDE8DF6F6}">
      <text>
        <r>
          <rPr>
            <b/>
            <sz val="10"/>
            <color rgb="FF000000"/>
            <rFont val="Tahoma"/>
            <family val="2"/>
          </rPr>
          <t>Keller, Zach:</t>
        </r>
        <r>
          <rPr>
            <sz val="10"/>
            <color rgb="FF000000"/>
            <rFont val="Tahoma"/>
            <family val="2"/>
          </rPr>
          <t xml:space="preserve">
Source: Forbes NBA Team Valuations (Oct 2023, 2023–24 season), https://www.forbes.com/sites/mikeozanian/2023/10/26/the-most-valuable-nba-teams-2023/</t>
        </r>
      </text>
    </comment>
    <comment ref="J18" authorId="0" shapeId="0" xr:uid="{116DFCB4-A829-4B45-9F64-A016C745B936}">
      <text>
        <r>
          <rPr>
            <b/>
            <sz val="10"/>
            <color rgb="FF000000"/>
            <rFont val="Tahoma"/>
            <family val="2"/>
          </rPr>
          <t>Keller, Zach:</t>
        </r>
        <r>
          <rPr>
            <sz val="10"/>
            <color rgb="FF000000"/>
            <rFont val="Tahoma"/>
            <family val="2"/>
          </rPr>
          <t xml:space="preserve">
Source: Forbes NBA Team Valuations (Oct 2024, 2024–25 season), https://www.forbes.com/sites/justinteitelbaum/2024/10/24/the-most-valuable-nba-teams-2024/</t>
        </r>
      </text>
    </comment>
    <comment ref="K18" authorId="0" shapeId="0" xr:uid="{41696D04-3924-1948-A26E-660D325DD2FA}">
      <text>
        <r>
          <rPr>
            <b/>
            <sz val="10"/>
            <color rgb="FF000000"/>
            <rFont val="Tahoma"/>
            <family val="2"/>
          </rPr>
          <t>Keller, Zach:</t>
        </r>
        <r>
          <rPr>
            <sz val="10"/>
            <color rgb="FF000000"/>
            <rFont val="Tahoma"/>
            <family val="2"/>
          </rPr>
          <t xml:space="preserve">
Source: Forbes NBA Team Valuations (Oct 2025, 2025–26 season), https://www.forbes.com/sites/justinteitelbaum/2025/10/23/the-most-valuable-nba-teams-2025/</t>
        </r>
      </text>
    </comment>
    <comment ref="B19" authorId="0" shapeId="0" xr:uid="{E9374841-B379-644F-A9A1-3F61E2F4A4B4}">
      <text>
        <r>
          <rPr>
            <b/>
            <sz val="10"/>
            <color rgb="FF000000"/>
            <rFont val="Tahoma"/>
            <family val="2"/>
          </rPr>
          <t>Keller, Zach:</t>
        </r>
        <r>
          <rPr>
            <sz val="10"/>
            <color rgb="FF000000"/>
            <rFont val="Tahoma"/>
            <family val="2"/>
          </rPr>
          <t xml:space="preserve">
Source: Forbes team page, historical value for Forbes 2016 list (2016–17 season; Forbes rounds to nearest $0.1B on this page), https://www.forbes.com/teams/memphis-grizzlies/</t>
        </r>
      </text>
    </comment>
    <comment ref="C19" authorId="0" shapeId="0" xr:uid="{52A22DD4-9A8C-A344-9AEC-A6B4A902A304}">
      <text>
        <r>
          <rPr>
            <b/>
            <sz val="10"/>
            <color rgb="FF000000"/>
            <rFont val="Tahoma"/>
            <family val="2"/>
          </rPr>
          <t>Keller, Zach:</t>
        </r>
        <r>
          <rPr>
            <sz val="10"/>
            <color rgb="FF000000"/>
            <rFont val="Tahoma"/>
            <family val="2"/>
          </rPr>
          <t xml:space="preserve">
Source: Forbes team page, historical value for Forbes 2017 list (2017–18 season; Forbes rounds to nearest $0.1B on this page), https://www.forbes.com/teams/memphis-grizzlies/</t>
        </r>
      </text>
    </comment>
    <comment ref="D19" authorId="0" shapeId="0" xr:uid="{B48CF0BE-CDD7-A845-90B5-CE66F7F19E8C}">
      <text>
        <r>
          <rPr>
            <b/>
            <sz val="10"/>
            <color rgb="FF000000"/>
            <rFont val="Tahoma"/>
            <family val="2"/>
          </rPr>
          <t>Keller, Zach:</t>
        </r>
        <r>
          <rPr>
            <sz val="10"/>
            <color rgb="FF000000"/>
            <rFont val="Tahoma"/>
            <family val="2"/>
          </rPr>
          <t xml:space="preserve">
Source: Forbes team page, historical value for Forbes 2018 list (2018–19 season; Forbes rounds to nearest $0.1B on this page), https://www.forbes.com/teams/memphis-grizzlies/</t>
        </r>
      </text>
    </comment>
    <comment ref="E19" authorId="0" shapeId="0" xr:uid="{81E82AF4-31B4-3B4F-9D28-ABABC5143F8B}">
      <text>
        <r>
          <rPr>
            <b/>
            <sz val="10"/>
            <color rgb="FF000000"/>
            <rFont val="Tahoma"/>
            <family val="2"/>
          </rPr>
          <t>Keller, Zach:</t>
        </r>
        <r>
          <rPr>
            <sz val="10"/>
            <color rgb="FF000000"/>
            <rFont val="Tahoma"/>
            <family val="2"/>
          </rPr>
          <t xml:space="preserve">
Source: Forbes team page, historical value for Forbes 2019 list (2019–20 season; Forbes rounds to nearest $0.1B on this page), https://www.forbes.com/teams/memphis-grizzlies/</t>
        </r>
      </text>
    </comment>
    <comment ref="F19" authorId="0" shapeId="0" xr:uid="{420CD5C7-2666-4047-82C7-C092BFB5F93D}">
      <text>
        <r>
          <rPr>
            <b/>
            <sz val="10"/>
            <color rgb="FF000000"/>
            <rFont val="Tahoma"/>
            <family val="2"/>
          </rPr>
          <t>Keller, Zach:</t>
        </r>
        <r>
          <rPr>
            <sz val="10"/>
            <color rgb="FF000000"/>
            <rFont val="Tahoma"/>
            <family val="2"/>
          </rPr>
          <t xml:space="preserve">
Source: Forbes NBA Team Valuations (Feb 2021, 2020–21 season), https://www.forbes.com/sites/kurtbadenhausen/2021/02/10/nba-team-values-2021-knicks-keep-top-spot-at-5-billion-warriors-bump-lakers-for-second-place/</t>
        </r>
      </text>
    </comment>
    <comment ref="G19" authorId="0" shapeId="0" xr:uid="{0D56B42B-1BE9-7C42-9BD3-0A55AE77E402}">
      <text>
        <r>
          <rPr>
            <b/>
            <sz val="10"/>
            <color rgb="FF000000"/>
            <rFont val="Tahoma"/>
            <family val="2"/>
          </rPr>
          <t>Keller, Zach:</t>
        </r>
        <r>
          <rPr>
            <sz val="10"/>
            <color rgb="FF000000"/>
            <rFont val="Tahoma"/>
            <family val="2"/>
          </rPr>
          <t xml:space="preserve">
Source: Forbes NBA Team Valuations (Oct 2021, 2021–22 season), https://www.forbes.com/sites/mikeozanian/2021/10/18/the-nbas-most-valuable-teams-2021-22-new-york-knicks-lead-a-trio-now-worth-over-5-billion-each/</t>
        </r>
      </text>
    </comment>
    <comment ref="H19" authorId="0" shapeId="0" xr:uid="{C440ED9F-F298-054C-8D27-AB27EBC6EAD5}">
      <text>
        <r>
          <rPr>
            <b/>
            <sz val="10"/>
            <color rgb="FF000000"/>
            <rFont val="Tahoma"/>
            <family val="2"/>
          </rPr>
          <t>Keller, Zach:</t>
        </r>
        <r>
          <rPr>
            <sz val="10"/>
            <color rgb="FF000000"/>
            <rFont val="Tahoma"/>
            <family val="2"/>
          </rPr>
          <t xml:space="preserve">
Source: Forbes NBA Team Valuations (Oct 2022, 2022–23 season), https://www.forbes.com/sites/mikeozanian/2022/10/27/nba-team-values-2022-for-the-first-time-in-two-decades-the-top-spot-goes-to-a-franchise-thats-not-the-knicks-or-lakers/</t>
        </r>
      </text>
    </comment>
    <comment ref="I19" authorId="0" shapeId="0" xr:uid="{3C27D71C-6CF0-864C-9122-2FC0F1573273}">
      <text>
        <r>
          <rPr>
            <b/>
            <sz val="10"/>
            <color rgb="FF000000"/>
            <rFont val="Tahoma"/>
            <family val="2"/>
          </rPr>
          <t>Keller, Zach:</t>
        </r>
        <r>
          <rPr>
            <sz val="10"/>
            <color rgb="FF000000"/>
            <rFont val="Tahoma"/>
            <family val="2"/>
          </rPr>
          <t xml:space="preserve">
Source: Forbes NBA Team Valuations (Oct 2023, 2023–24 season), https://www.forbes.com/sites/mikeozanian/2023/10/26/the-most-valuable-nba-teams-2023/</t>
        </r>
      </text>
    </comment>
    <comment ref="J19" authorId="0" shapeId="0" xr:uid="{D522B25A-5F76-6F46-929F-D744D421FDC6}">
      <text>
        <r>
          <rPr>
            <b/>
            <sz val="10"/>
            <color rgb="FF000000"/>
            <rFont val="Tahoma"/>
            <family val="2"/>
          </rPr>
          <t>Keller, Zach:</t>
        </r>
        <r>
          <rPr>
            <sz val="10"/>
            <color rgb="FF000000"/>
            <rFont val="Tahoma"/>
            <family val="2"/>
          </rPr>
          <t xml:space="preserve">
Source: Forbes NBA Team Valuations (Oct 2024, 2024–25 season), https://www.forbes.com/sites/justinteitelbaum/2024/10/24/the-most-valuable-nba-teams-2024/</t>
        </r>
      </text>
    </comment>
    <comment ref="K19" authorId="0" shapeId="0" xr:uid="{64DA6AB8-5EB1-1D4F-936E-2C5356067EC5}">
      <text>
        <r>
          <rPr>
            <b/>
            <sz val="10"/>
            <color rgb="FF000000"/>
            <rFont val="Tahoma"/>
            <family val="2"/>
          </rPr>
          <t>Keller, Zach:</t>
        </r>
        <r>
          <rPr>
            <sz val="10"/>
            <color rgb="FF000000"/>
            <rFont val="Tahoma"/>
            <family val="2"/>
          </rPr>
          <t xml:space="preserve">
Source: Forbes NBA Team Valuations (Oct 2025, 2025–26 season), https://www.forbes.com/sites/justinteitelbaum/2025/10/23/the-most-valuable-nba-teams-2025/</t>
        </r>
      </text>
    </comment>
    <comment ref="B20" authorId="0" shapeId="0" xr:uid="{BB9BBE99-621F-164A-B5EE-BAD3263D13BD}">
      <text>
        <r>
          <rPr>
            <b/>
            <sz val="10"/>
            <color rgb="FF000000"/>
            <rFont val="Tahoma"/>
            <family val="2"/>
          </rPr>
          <t>Keller, Zach:</t>
        </r>
        <r>
          <rPr>
            <sz val="10"/>
            <color rgb="FF000000"/>
            <rFont val="Tahoma"/>
            <family val="2"/>
          </rPr>
          <t xml:space="preserve">
Source: Forbes team page, historical value for Forbes 2016 list (2016–17 season; Forbes rounds to nearest $0.1B on this page), https://www.forbes.com/teams/miami-heat/</t>
        </r>
      </text>
    </comment>
    <comment ref="C20" authorId="0" shapeId="0" xr:uid="{6F5DCC40-632C-A048-A2CE-FB9877A4EF63}">
      <text>
        <r>
          <rPr>
            <b/>
            <sz val="10"/>
            <color rgb="FF000000"/>
            <rFont val="Tahoma"/>
            <family val="2"/>
          </rPr>
          <t>Keller, Zach:</t>
        </r>
        <r>
          <rPr>
            <sz val="10"/>
            <color rgb="FF000000"/>
            <rFont val="Tahoma"/>
            <family val="2"/>
          </rPr>
          <t xml:space="preserve">
Source: Forbes team page, historical value for Forbes 2017 list (2017–18 season; Forbes rounds to nearest $0.1B on this page), https://www.forbes.com/teams/miami-heat/</t>
        </r>
      </text>
    </comment>
    <comment ref="D20" authorId="0" shapeId="0" xr:uid="{F8FA643F-0145-EC43-B494-865557F7AFD5}">
      <text>
        <r>
          <rPr>
            <b/>
            <sz val="10"/>
            <color rgb="FF000000"/>
            <rFont val="Tahoma"/>
            <family val="2"/>
          </rPr>
          <t>Keller, Zach:</t>
        </r>
        <r>
          <rPr>
            <sz val="10"/>
            <color rgb="FF000000"/>
            <rFont val="Tahoma"/>
            <family val="2"/>
          </rPr>
          <t xml:space="preserve">
Source: Forbes team page, historical value for Forbes 2018 list (2018–19 season; Forbes rounds to nearest $0.1B on this page), https://www.forbes.com/teams/miami-heat/</t>
        </r>
      </text>
    </comment>
    <comment ref="E20" authorId="0" shapeId="0" xr:uid="{9CACED96-1831-6449-93C8-6246ACD3B443}">
      <text>
        <r>
          <rPr>
            <b/>
            <sz val="10"/>
            <color rgb="FF000000"/>
            <rFont val="Tahoma"/>
            <family val="2"/>
          </rPr>
          <t>Keller, Zach:</t>
        </r>
        <r>
          <rPr>
            <sz val="10"/>
            <color rgb="FF000000"/>
            <rFont val="Tahoma"/>
            <family val="2"/>
          </rPr>
          <t xml:space="preserve">
Source: Forbes team page, historical value for Forbes 2019 list (2019–20 season; Forbes rounds to nearest $0.1B on this page), https://www.forbes.com/teams/miami-heat/</t>
        </r>
      </text>
    </comment>
    <comment ref="F20" authorId="0" shapeId="0" xr:uid="{A04184B3-B3F5-8649-8132-85BEBB6D9754}">
      <text>
        <r>
          <rPr>
            <b/>
            <sz val="10"/>
            <color rgb="FF000000"/>
            <rFont val="Tahoma"/>
            <family val="2"/>
          </rPr>
          <t>Keller, Zach:</t>
        </r>
        <r>
          <rPr>
            <sz val="10"/>
            <color rgb="FF000000"/>
            <rFont val="Tahoma"/>
            <family val="2"/>
          </rPr>
          <t xml:space="preserve">
Source: Forbes NBA Team Valuations (Feb 2021, 2020–21 season), https://www.forbes.com/sites/kurtbadenhausen/2021/02/10/nba-team-values-2021-knicks-keep-top-spot-at-5-billion-warriors-bump-lakers-for-second-place/</t>
        </r>
      </text>
    </comment>
    <comment ref="G20" authorId="0" shapeId="0" xr:uid="{E3D7157D-E462-214E-9716-479662B873AB}">
      <text>
        <r>
          <rPr>
            <b/>
            <sz val="10"/>
            <color rgb="FF000000"/>
            <rFont val="Tahoma"/>
            <family val="2"/>
          </rPr>
          <t>Keller, Zach:</t>
        </r>
        <r>
          <rPr>
            <sz val="10"/>
            <color rgb="FF000000"/>
            <rFont val="Tahoma"/>
            <family val="2"/>
          </rPr>
          <t xml:space="preserve">
Source: Forbes NBA Team Valuations (Oct 2021, 2021–22 season), https://www.forbes.com/sites/mikeozanian/2021/10/18/the-nbas-most-valuable-teams-2021-22-new-york-knicks-lead-a-trio-now-worth-over-5-billion-each/</t>
        </r>
      </text>
    </comment>
    <comment ref="H20" authorId="0" shapeId="0" xr:uid="{4C40FB44-54D1-664F-BA97-1EBF37126507}">
      <text>
        <r>
          <rPr>
            <b/>
            <sz val="10"/>
            <color rgb="FF000000"/>
            <rFont val="Tahoma"/>
            <family val="2"/>
          </rPr>
          <t>Keller, Zach:</t>
        </r>
        <r>
          <rPr>
            <sz val="10"/>
            <color rgb="FF000000"/>
            <rFont val="Tahoma"/>
            <family val="2"/>
          </rPr>
          <t xml:space="preserve">
Source: Forbes NBA Team Valuations (Oct 2022, 2022–23 season), https://www.forbes.com/sites/mikeozanian/2022/10/27/nba-team-values-2022-for-the-first-time-in-two-decades-the-top-spot-goes-to-a-franchise-thats-not-the-knicks-or-lakers/</t>
        </r>
      </text>
    </comment>
    <comment ref="I20" authorId="0" shapeId="0" xr:uid="{456AD926-71F6-D441-BE4A-11DF60BC0E84}">
      <text>
        <r>
          <rPr>
            <b/>
            <sz val="10"/>
            <color rgb="FF000000"/>
            <rFont val="Tahoma"/>
            <family val="2"/>
          </rPr>
          <t>Keller, Zach:</t>
        </r>
        <r>
          <rPr>
            <sz val="10"/>
            <color rgb="FF000000"/>
            <rFont val="Tahoma"/>
            <family val="2"/>
          </rPr>
          <t xml:space="preserve">
Source: Forbes NBA Team Valuations (Oct 2023, 2023–24 season), https://www.forbes.com/sites/mikeozanian/2023/10/26/the-most-valuable-nba-teams-2023/</t>
        </r>
      </text>
    </comment>
    <comment ref="J20" authorId="0" shapeId="0" xr:uid="{24CAD3B9-E459-274B-BFFC-B4A70C0B0F96}">
      <text>
        <r>
          <rPr>
            <b/>
            <sz val="10"/>
            <color rgb="FF000000"/>
            <rFont val="Tahoma"/>
            <family val="2"/>
          </rPr>
          <t>Keller, Zach:</t>
        </r>
        <r>
          <rPr>
            <sz val="10"/>
            <color rgb="FF000000"/>
            <rFont val="Tahoma"/>
            <family val="2"/>
          </rPr>
          <t xml:space="preserve">
Source: Forbes NBA Team Valuations (Oct 2024, 2024–25 season), https://www.forbes.com/sites/justinteitelbaum/2024/10/24/the-most-valuable-nba-teams-2024/</t>
        </r>
      </text>
    </comment>
    <comment ref="K20" authorId="0" shapeId="0" xr:uid="{09150079-42C8-B645-9EFA-660CDCB698E3}">
      <text>
        <r>
          <rPr>
            <b/>
            <sz val="10"/>
            <color rgb="FF000000"/>
            <rFont val="Tahoma"/>
            <family val="2"/>
          </rPr>
          <t>Keller, Zach:</t>
        </r>
        <r>
          <rPr>
            <sz val="10"/>
            <color rgb="FF000000"/>
            <rFont val="Tahoma"/>
            <family val="2"/>
          </rPr>
          <t xml:space="preserve">
Source: Forbes NBA Team Valuations (Oct 2025, 2025–26 season), https://www.forbes.com/sites/justinteitelbaum/2025/10/23/the-most-valuable-nba-teams-2025/</t>
        </r>
      </text>
    </comment>
    <comment ref="B21" authorId="0" shapeId="0" xr:uid="{9179A154-2E8E-C646-94A4-53515688DE06}">
      <text>
        <r>
          <rPr>
            <b/>
            <sz val="10"/>
            <color rgb="FF000000"/>
            <rFont val="Tahoma"/>
            <family val="2"/>
          </rPr>
          <t>Keller, Zach:</t>
        </r>
        <r>
          <rPr>
            <sz val="10"/>
            <color rgb="FF000000"/>
            <rFont val="Tahoma"/>
            <family val="2"/>
          </rPr>
          <t xml:space="preserve">
Source: Forbes team page, historical value for Forbes 2016 list (2016–17 season; Forbes rounds to nearest $0.1B on this page), https://www.forbes.com/teams/milwaukee-bucks/</t>
        </r>
      </text>
    </comment>
    <comment ref="C21" authorId="0" shapeId="0" xr:uid="{FBC6BF0F-643F-9344-BEF9-D4035F89D560}">
      <text>
        <r>
          <rPr>
            <b/>
            <sz val="10"/>
            <color rgb="FF000000"/>
            <rFont val="Tahoma"/>
            <family val="2"/>
          </rPr>
          <t>Keller, Zach:</t>
        </r>
        <r>
          <rPr>
            <sz val="10"/>
            <color rgb="FF000000"/>
            <rFont val="Tahoma"/>
            <family val="2"/>
          </rPr>
          <t xml:space="preserve">
Source: Forbes team page, historical value for Forbes 2017 list (2017–18 season; Forbes rounds to nearest $0.1B on this page), https://www.forbes.com/teams/milwaukee-bucks/</t>
        </r>
      </text>
    </comment>
    <comment ref="D21" authorId="0" shapeId="0" xr:uid="{75101115-07A3-7546-88C1-9F56377DD803}">
      <text>
        <r>
          <rPr>
            <b/>
            <sz val="10"/>
            <color rgb="FF000000"/>
            <rFont val="Tahoma"/>
            <family val="2"/>
          </rPr>
          <t>Keller, Zach:</t>
        </r>
        <r>
          <rPr>
            <sz val="10"/>
            <color rgb="FF000000"/>
            <rFont val="Tahoma"/>
            <family val="2"/>
          </rPr>
          <t xml:space="preserve">
</t>
        </r>
        <r>
          <rPr>
            <sz val="10"/>
            <color rgb="FF000000"/>
            <rFont val="Tahoma"/>
            <family val="2"/>
          </rPr>
          <t>Source: Forbes team page, historical value for Forbes 2018 list (2018–19 season; Forbes rounds to nearest $0.1B on this page), https://www.forbes.com/teams/milwaukee-bucks/</t>
        </r>
      </text>
    </comment>
    <comment ref="E21" authorId="0" shapeId="0" xr:uid="{9E52A6F9-C638-284A-8DD3-8DFD7FB65FC9}">
      <text>
        <r>
          <rPr>
            <b/>
            <sz val="10"/>
            <color rgb="FF000000"/>
            <rFont val="Tahoma"/>
            <family val="2"/>
          </rPr>
          <t>Keller, Zach:</t>
        </r>
        <r>
          <rPr>
            <sz val="10"/>
            <color rgb="FF000000"/>
            <rFont val="Tahoma"/>
            <family val="2"/>
          </rPr>
          <t xml:space="preserve">
Source: Forbes team page, historical value for Forbes 2019 list (2019–20 season; Forbes rounds to nearest $0.1B on this page), https://www.forbes.com/teams/milwaukee-bucks/</t>
        </r>
      </text>
    </comment>
    <comment ref="F21" authorId="0" shapeId="0" xr:uid="{8319158D-4211-0742-94E2-8DF311B4214E}">
      <text>
        <r>
          <rPr>
            <b/>
            <sz val="10"/>
            <color rgb="FF000000"/>
            <rFont val="Tahoma"/>
            <family val="2"/>
          </rPr>
          <t>Keller, Zach:</t>
        </r>
        <r>
          <rPr>
            <sz val="10"/>
            <color rgb="FF000000"/>
            <rFont val="Tahoma"/>
            <family val="2"/>
          </rPr>
          <t xml:space="preserve">
Source: Forbes NBA Team Valuations (Feb 2021, 2020–21 season), https://www.forbes.com/sites/kurtbadenhausen/2021/02/10/nba-team-values-2021-knicks-keep-top-spot-at-5-billion-warriors-bump-lakers-for-second-place/</t>
        </r>
      </text>
    </comment>
    <comment ref="G21" authorId="0" shapeId="0" xr:uid="{7E0B1879-9E36-0143-B33A-587D667A924E}">
      <text>
        <r>
          <rPr>
            <b/>
            <sz val="10"/>
            <color rgb="FF000000"/>
            <rFont val="Tahoma"/>
            <family val="2"/>
          </rPr>
          <t>Keller, Zach:</t>
        </r>
        <r>
          <rPr>
            <sz val="10"/>
            <color rgb="FF000000"/>
            <rFont val="Tahoma"/>
            <family val="2"/>
          </rPr>
          <t xml:space="preserve">
Source: Forbes NBA Team Valuations (Oct 2021, 2021–22 season), https://www.forbes.com/sites/mikeozanian/2021/10/18/the-nbas-most-valuable-teams-2021-22-new-york-knicks-lead-a-trio-now-worth-over-5-billion-each/</t>
        </r>
      </text>
    </comment>
    <comment ref="H21" authorId="0" shapeId="0" xr:uid="{8FB473BD-09C2-C441-9DCB-747171E6A510}">
      <text>
        <r>
          <rPr>
            <b/>
            <sz val="10"/>
            <color rgb="FF000000"/>
            <rFont val="Tahoma"/>
            <family val="2"/>
          </rPr>
          <t>Keller, Zach:</t>
        </r>
        <r>
          <rPr>
            <sz val="10"/>
            <color rgb="FF000000"/>
            <rFont val="Tahoma"/>
            <family val="2"/>
          </rPr>
          <t xml:space="preserve">
Source: Forbes NBA Team Valuations (Oct 2022, 2022–23 season), https://www.forbes.com/sites/mikeozanian/2022/10/27/nba-team-values-2022-for-the-first-time-in-two-decades-the-top-spot-goes-to-a-franchise-thats-not-the-knicks-or-lakers/</t>
        </r>
      </text>
    </comment>
    <comment ref="I21" authorId="0" shapeId="0" xr:uid="{8BAC677C-CE8F-BB41-9AE8-5C90F8257159}">
      <text>
        <r>
          <rPr>
            <b/>
            <sz val="10"/>
            <color rgb="FF000000"/>
            <rFont val="Tahoma"/>
            <family val="2"/>
          </rPr>
          <t>Keller, Zach:</t>
        </r>
        <r>
          <rPr>
            <sz val="10"/>
            <color rgb="FF000000"/>
            <rFont val="Tahoma"/>
            <family val="2"/>
          </rPr>
          <t xml:space="preserve">
Source: Forbes NBA Team Valuations (Oct 2023, 2023–24 season), https://www.forbes.com/sites/mikeozanian/2023/10/26/the-most-valuable-nba-teams-2023/</t>
        </r>
      </text>
    </comment>
    <comment ref="J21" authorId="0" shapeId="0" xr:uid="{6F7EA2B0-B4AD-B748-91BF-0FC363021EFA}">
      <text>
        <r>
          <rPr>
            <b/>
            <sz val="10"/>
            <color rgb="FF000000"/>
            <rFont val="Tahoma"/>
            <family val="2"/>
          </rPr>
          <t>Keller, Zach:</t>
        </r>
        <r>
          <rPr>
            <sz val="10"/>
            <color rgb="FF000000"/>
            <rFont val="Tahoma"/>
            <family val="2"/>
          </rPr>
          <t xml:space="preserve">
Source: Forbes NBA Team Valuations (Oct 2024, 2024–25 season), https://www.forbes.com/sites/justinteitelbaum/2024/10/24/the-most-valuable-nba-teams-2024/</t>
        </r>
      </text>
    </comment>
    <comment ref="K21" authorId="0" shapeId="0" xr:uid="{1DDF1503-AB20-F24E-8EAD-CA5FF26D4A6E}">
      <text>
        <r>
          <rPr>
            <b/>
            <sz val="10"/>
            <color rgb="FF000000"/>
            <rFont val="Tahoma"/>
            <family val="2"/>
          </rPr>
          <t>Keller, Zach:</t>
        </r>
        <r>
          <rPr>
            <sz val="10"/>
            <color rgb="FF000000"/>
            <rFont val="Tahoma"/>
            <family val="2"/>
          </rPr>
          <t xml:space="preserve">
Source: Forbes NBA Team Valuations (Oct 2025, 2025–26 season), https://www.forbes.com/sites/justinteitelbaum/2025/10/23/the-most-valuable-nba-teams-2025/</t>
        </r>
      </text>
    </comment>
    <comment ref="B22" authorId="0" shapeId="0" xr:uid="{4E24CE96-2113-DB45-944C-FCF902BEF810}">
      <text>
        <r>
          <rPr>
            <b/>
            <sz val="10"/>
            <color rgb="FF000000"/>
            <rFont val="Tahoma"/>
            <family val="2"/>
          </rPr>
          <t>Keller, Zach:</t>
        </r>
        <r>
          <rPr>
            <sz val="10"/>
            <color rgb="FF000000"/>
            <rFont val="Tahoma"/>
            <family val="2"/>
          </rPr>
          <t xml:space="preserve">
Source: Forbes team page, historical value for Forbes 2016 list (2016–17 season; Forbes rounds to nearest $0.1B on this page), https://www.forbes.com/teams/minnesota-timberwolves/</t>
        </r>
      </text>
    </comment>
    <comment ref="C22" authorId="0" shapeId="0" xr:uid="{744B7AB0-2062-1C44-BD6C-DEDA885EF0C4}">
      <text>
        <r>
          <rPr>
            <b/>
            <sz val="10"/>
            <color rgb="FF000000"/>
            <rFont val="Tahoma"/>
            <family val="2"/>
          </rPr>
          <t>Keller, Zach:</t>
        </r>
        <r>
          <rPr>
            <sz val="10"/>
            <color rgb="FF000000"/>
            <rFont val="Tahoma"/>
            <family val="2"/>
          </rPr>
          <t xml:space="preserve">
Source: Forbes team page, historical value for Forbes 2017 list (2017–18 season; Forbes rounds to nearest $0.1B on this page), https://www.forbes.com/teams/minnesota-timberwolves/</t>
        </r>
      </text>
    </comment>
    <comment ref="D22" authorId="0" shapeId="0" xr:uid="{6CA13E26-B3ED-2F43-AE9F-F52C495EC572}">
      <text>
        <r>
          <rPr>
            <b/>
            <sz val="10"/>
            <color rgb="FF000000"/>
            <rFont val="Tahoma"/>
            <family val="2"/>
          </rPr>
          <t>Keller, Zach:</t>
        </r>
        <r>
          <rPr>
            <sz val="10"/>
            <color rgb="FF000000"/>
            <rFont val="Tahoma"/>
            <family val="2"/>
          </rPr>
          <t xml:space="preserve">
Source: Forbes team page, historical value for Forbes 2018 list (2018–19 season; Forbes rounds to nearest $0.1B on this page), https://www.forbes.com/teams/minnesota-timberwolves/</t>
        </r>
      </text>
    </comment>
    <comment ref="E22" authorId="0" shapeId="0" xr:uid="{581CD1D6-C128-B04A-AD0D-2AC23CB1AF05}">
      <text>
        <r>
          <rPr>
            <b/>
            <sz val="10"/>
            <color rgb="FF000000"/>
            <rFont val="Tahoma"/>
            <family val="2"/>
          </rPr>
          <t>Keller, Zach:</t>
        </r>
        <r>
          <rPr>
            <sz val="10"/>
            <color rgb="FF000000"/>
            <rFont val="Tahoma"/>
            <family val="2"/>
          </rPr>
          <t xml:space="preserve">
Source: Forbes team page, historical value for Forbes 2019 list (2019–20 season; Forbes rounds to nearest $0.1B on this page), https://www.forbes.com/teams/minnesota-timberwolves/</t>
        </r>
      </text>
    </comment>
    <comment ref="F22" authorId="0" shapeId="0" xr:uid="{8EA1581B-AA41-6E4D-AC1D-2636C840E096}">
      <text>
        <r>
          <rPr>
            <b/>
            <sz val="10"/>
            <color rgb="FF000000"/>
            <rFont val="Tahoma"/>
            <family val="2"/>
          </rPr>
          <t>Keller, Zach:</t>
        </r>
        <r>
          <rPr>
            <sz val="10"/>
            <color rgb="FF000000"/>
            <rFont val="Tahoma"/>
            <family val="2"/>
          </rPr>
          <t xml:space="preserve">
Source: Forbes NBA Team Valuations (Feb 2021, 2020–21 season), https://www.forbes.com/sites/kurtbadenhausen/2021/02/10/nba-team-values-2021-knicks-keep-top-spot-at-5-billion-warriors-bump-lakers-for-second-place/</t>
        </r>
      </text>
    </comment>
    <comment ref="G22" authorId="0" shapeId="0" xr:uid="{728AB7BC-BD2D-FC47-917C-B7599308F115}">
      <text>
        <r>
          <rPr>
            <b/>
            <sz val="10"/>
            <color rgb="FF000000"/>
            <rFont val="Tahoma"/>
            <family val="2"/>
          </rPr>
          <t>Keller, Zach:</t>
        </r>
        <r>
          <rPr>
            <sz val="10"/>
            <color rgb="FF000000"/>
            <rFont val="Tahoma"/>
            <family val="2"/>
          </rPr>
          <t xml:space="preserve">
Source: Forbes NBA Team Valuations (Oct 2021, 2021–22 season), https://www.forbes.com/sites/mikeozanian/2021/10/18/the-nbas-most-valuable-teams-2021-22-new-york-knicks-lead-a-trio-now-worth-over-5-billion-each/</t>
        </r>
      </text>
    </comment>
    <comment ref="H22" authorId="0" shapeId="0" xr:uid="{3BFFDD49-F302-3C4C-88F8-8DAA33928657}">
      <text>
        <r>
          <rPr>
            <b/>
            <sz val="10"/>
            <color rgb="FF000000"/>
            <rFont val="Tahoma"/>
            <family val="2"/>
          </rPr>
          <t>Keller, Zach:</t>
        </r>
        <r>
          <rPr>
            <sz val="10"/>
            <color rgb="FF000000"/>
            <rFont val="Tahoma"/>
            <family val="2"/>
          </rPr>
          <t xml:space="preserve">
Source: Forbes NBA Team Valuations (Oct 2022, 2022–23 season), https://www.forbes.com/sites/mikeozanian/2022/10/27/nba-team-values-2022-for-the-first-time-in-two-decades-the-top-spot-goes-to-a-franchise-thats-not-the-knicks-or-lakers/</t>
        </r>
      </text>
    </comment>
    <comment ref="I22" authorId="0" shapeId="0" xr:uid="{2F17ED6C-3062-3245-AE14-D243A71ED4AF}">
      <text>
        <r>
          <rPr>
            <b/>
            <sz val="10"/>
            <color rgb="FF000000"/>
            <rFont val="Tahoma"/>
            <family val="2"/>
          </rPr>
          <t>Keller, Zach:</t>
        </r>
        <r>
          <rPr>
            <sz val="10"/>
            <color rgb="FF000000"/>
            <rFont val="Tahoma"/>
            <family val="2"/>
          </rPr>
          <t xml:space="preserve">
Source: Forbes NBA Team Valuations (Oct 2023, 2023–24 season), https://www.forbes.com/sites/mikeozanian/2023/10/26/the-most-valuable-nba-teams-2023/</t>
        </r>
      </text>
    </comment>
    <comment ref="J22" authorId="0" shapeId="0" xr:uid="{47C3DF81-1A91-8149-9599-2F268DFFBE44}">
      <text>
        <r>
          <rPr>
            <b/>
            <sz val="10"/>
            <color rgb="FF000000"/>
            <rFont val="Tahoma"/>
            <family val="2"/>
          </rPr>
          <t>Keller, Zach:</t>
        </r>
        <r>
          <rPr>
            <sz val="10"/>
            <color rgb="FF000000"/>
            <rFont val="Tahoma"/>
            <family val="2"/>
          </rPr>
          <t xml:space="preserve">
Source: Forbes NBA Team Valuations (Oct 2024, 2024–25 season), https://www.forbes.com/sites/justinteitelbaum/2024/10/24/the-most-valuable-nba-teams-2024/</t>
        </r>
      </text>
    </comment>
    <comment ref="K22" authorId="0" shapeId="0" xr:uid="{C5E5FB4D-FAB9-5C40-8C54-B8F9E41284B5}">
      <text>
        <r>
          <rPr>
            <b/>
            <sz val="10"/>
            <color rgb="FF000000"/>
            <rFont val="Tahoma"/>
            <family val="2"/>
          </rPr>
          <t>Keller, Zach:</t>
        </r>
        <r>
          <rPr>
            <sz val="10"/>
            <color rgb="FF000000"/>
            <rFont val="Tahoma"/>
            <family val="2"/>
          </rPr>
          <t xml:space="preserve">
Source: Forbes NBA Team Valuations (Oct 2025, 2025–26 season), https://www.forbes.com/sites/justinteitelbaum/2025/10/23/the-most-valuable-nba-teams-2025/</t>
        </r>
      </text>
    </comment>
    <comment ref="B23" authorId="0" shapeId="0" xr:uid="{CA20D3CB-60A6-AA43-865C-C0BCAF9B8D3B}">
      <text>
        <r>
          <rPr>
            <b/>
            <sz val="10"/>
            <color rgb="FF000000"/>
            <rFont val="Tahoma"/>
            <family val="2"/>
          </rPr>
          <t>Keller, Zach:</t>
        </r>
        <r>
          <rPr>
            <sz val="10"/>
            <color rgb="FF000000"/>
            <rFont val="Tahoma"/>
            <family val="2"/>
          </rPr>
          <t xml:space="preserve">
Source: Forbes team page, historical value for Forbes 2016 list (2016–17 season; Forbes rounds to nearest $0.1B on this page), https://www.forbes.com/teams/new-orleans-pelicans/</t>
        </r>
      </text>
    </comment>
    <comment ref="C23" authorId="0" shapeId="0" xr:uid="{857FBAD0-3E15-A64C-B0AF-4100527B5B9A}">
      <text>
        <r>
          <rPr>
            <b/>
            <sz val="10"/>
            <color rgb="FF000000"/>
            <rFont val="Tahoma"/>
            <family val="2"/>
          </rPr>
          <t>Keller, Zach:</t>
        </r>
        <r>
          <rPr>
            <sz val="10"/>
            <color rgb="FF000000"/>
            <rFont val="Tahoma"/>
            <family val="2"/>
          </rPr>
          <t xml:space="preserve">
Source: Forbes team page, historical value for Forbes 2017 list (2017–18 season; Forbes rounds to nearest $0.1B on this page), https://www.forbes.com/teams/new-orleans-pelicans/</t>
        </r>
      </text>
    </comment>
    <comment ref="D23" authorId="0" shapeId="0" xr:uid="{C3D76EBB-2FBF-474E-AA7F-F7E2EA8401E3}">
      <text>
        <r>
          <rPr>
            <b/>
            <sz val="10"/>
            <color rgb="FF000000"/>
            <rFont val="Tahoma"/>
            <family val="2"/>
          </rPr>
          <t>Keller, Zach:</t>
        </r>
        <r>
          <rPr>
            <sz val="10"/>
            <color rgb="FF000000"/>
            <rFont val="Tahoma"/>
            <family val="2"/>
          </rPr>
          <t xml:space="preserve">
Source: Forbes team page, historical value for Forbes 2018 list (2018–19 season; Forbes rounds to nearest $0.1B on this page), https://www.forbes.com/teams/new-orleans-pelicans/</t>
        </r>
      </text>
    </comment>
    <comment ref="E23" authorId="0" shapeId="0" xr:uid="{ECC7FECA-C2D1-094C-8523-A9BADAD2BD2C}">
      <text>
        <r>
          <rPr>
            <b/>
            <sz val="10"/>
            <color rgb="FF000000"/>
            <rFont val="Tahoma"/>
            <family val="2"/>
          </rPr>
          <t>Keller, Zach:</t>
        </r>
        <r>
          <rPr>
            <sz val="10"/>
            <color rgb="FF000000"/>
            <rFont val="Tahoma"/>
            <family val="2"/>
          </rPr>
          <t xml:space="preserve">
Source: Forbes team page, historical value for Forbes 2019 list (2019–20 season; Forbes rounds to nearest $0.1B on this page), https://www.forbes.com/teams/new-orleans-pelicans/</t>
        </r>
      </text>
    </comment>
    <comment ref="F23" authorId="0" shapeId="0" xr:uid="{98ADB0AC-3910-0546-9CDC-35ABF53293B7}">
      <text>
        <r>
          <rPr>
            <b/>
            <sz val="10"/>
            <color rgb="FF000000"/>
            <rFont val="Tahoma"/>
            <family val="2"/>
          </rPr>
          <t>Keller, Zach:</t>
        </r>
        <r>
          <rPr>
            <sz val="10"/>
            <color rgb="FF000000"/>
            <rFont val="Tahoma"/>
            <family val="2"/>
          </rPr>
          <t xml:space="preserve">
Source: Forbes NBA Team Valuations (Feb 2021, 2020–21 season), https://www.forbes.com/sites/kurtbadenhausen/2021/02/10/nba-team-values-2021-knicks-keep-top-spot-at-5-billion-warriors-bump-lakers-for-second-place/</t>
        </r>
      </text>
    </comment>
    <comment ref="G23" authorId="0" shapeId="0" xr:uid="{25286C4C-5E24-C444-AB10-C51C0B799A4E}">
      <text>
        <r>
          <rPr>
            <b/>
            <sz val="10"/>
            <color rgb="FF000000"/>
            <rFont val="Tahoma"/>
            <family val="2"/>
          </rPr>
          <t>Keller, Zach:</t>
        </r>
        <r>
          <rPr>
            <sz val="10"/>
            <color rgb="FF000000"/>
            <rFont val="Tahoma"/>
            <family val="2"/>
          </rPr>
          <t xml:space="preserve">
Source: Forbes NBA Team Valuations (Oct 2021, 2021–22 season), https://www.forbes.com/sites/mikeozanian/2021/10/18/the-nbas-most-valuable-teams-2021-22-new-york-knicks-lead-a-trio-now-worth-over-5-billion-each/</t>
        </r>
      </text>
    </comment>
    <comment ref="H23" authorId="0" shapeId="0" xr:uid="{DA05D672-0E99-F146-B7EE-161A0119DCCB}">
      <text>
        <r>
          <rPr>
            <b/>
            <sz val="10"/>
            <color rgb="FF000000"/>
            <rFont val="Tahoma"/>
            <family val="2"/>
          </rPr>
          <t>Keller, Zach:</t>
        </r>
        <r>
          <rPr>
            <sz val="10"/>
            <color rgb="FF000000"/>
            <rFont val="Tahoma"/>
            <family val="2"/>
          </rPr>
          <t xml:space="preserve">
Source: Forbes NBA Team Valuations (Oct 2022, 2022–23 season), https://www.forbes.com/sites/mikeozanian/2022/10/27/nba-team-values-2022-for-the-first-time-in-two-decades-the-top-spot-goes-to-a-franchise-thats-not-the-knicks-or-lakers/</t>
        </r>
      </text>
    </comment>
    <comment ref="I23" authorId="0" shapeId="0" xr:uid="{91B0C749-DA61-624C-B3D3-7897BCFC3B80}">
      <text>
        <r>
          <rPr>
            <b/>
            <sz val="10"/>
            <color rgb="FF000000"/>
            <rFont val="Tahoma"/>
            <family val="2"/>
          </rPr>
          <t>Keller, Zach:</t>
        </r>
        <r>
          <rPr>
            <sz val="10"/>
            <color rgb="FF000000"/>
            <rFont val="Tahoma"/>
            <family val="2"/>
          </rPr>
          <t xml:space="preserve">
Source: Forbes NBA Team Valuations (Oct 2023, 2023–24 season), https://www.forbes.com/sites/mikeozanian/2023/10/26/the-most-valuable-nba-teams-2023/</t>
        </r>
      </text>
    </comment>
    <comment ref="J23" authorId="0" shapeId="0" xr:uid="{5271D27F-B8A2-DA44-BF4B-761DE98E525E}">
      <text>
        <r>
          <rPr>
            <b/>
            <sz val="10"/>
            <color rgb="FF000000"/>
            <rFont val="Tahoma"/>
            <family val="2"/>
          </rPr>
          <t>Keller, Zach:</t>
        </r>
        <r>
          <rPr>
            <sz val="10"/>
            <color rgb="FF000000"/>
            <rFont val="Tahoma"/>
            <family val="2"/>
          </rPr>
          <t xml:space="preserve">
Source: Forbes NBA Team Valuations (Oct 2024, 2024–25 season), https://www.forbes.com/sites/justinteitelbaum/2024/10/24/the-most-valuable-nba-teams-2024/</t>
        </r>
      </text>
    </comment>
    <comment ref="K23" authorId="0" shapeId="0" xr:uid="{002296F5-E767-7D47-A215-927CDE6498FA}">
      <text>
        <r>
          <rPr>
            <b/>
            <sz val="10"/>
            <color rgb="FF000000"/>
            <rFont val="Tahoma"/>
            <family val="2"/>
          </rPr>
          <t>Keller, Zach:</t>
        </r>
        <r>
          <rPr>
            <sz val="10"/>
            <color rgb="FF000000"/>
            <rFont val="Tahoma"/>
            <family val="2"/>
          </rPr>
          <t xml:space="preserve">
Source: Forbes NBA Team Valuations (Oct 2025, 2025–26 season), https://www.forbes.com/sites/justinteitelbaum/2025/10/23/the-most-valuable-nba-teams-2025/</t>
        </r>
      </text>
    </comment>
    <comment ref="B24" authorId="0" shapeId="0" xr:uid="{F2E7C257-AE12-1241-824B-B9DCC6940E0C}">
      <text>
        <r>
          <rPr>
            <b/>
            <sz val="10"/>
            <color rgb="FF000000"/>
            <rFont val="Tahoma"/>
            <family val="2"/>
          </rPr>
          <t>Keller, Zach:</t>
        </r>
        <r>
          <rPr>
            <sz val="10"/>
            <color rgb="FF000000"/>
            <rFont val="Tahoma"/>
            <family val="2"/>
          </rPr>
          <t xml:space="preserve">
Source: Forbes team page, historical value for Forbes 2016 list (2016–17 season; Forbes rounds to nearest $0.1B on this page), https://www.forbes.com/teams/new-york-knicks/</t>
        </r>
      </text>
    </comment>
    <comment ref="C24" authorId="0" shapeId="0" xr:uid="{9A554E10-07E2-C049-9CE1-6F4EB8E38683}">
      <text>
        <r>
          <rPr>
            <b/>
            <sz val="10"/>
            <color rgb="FF000000"/>
            <rFont val="Tahoma"/>
            <family val="2"/>
          </rPr>
          <t>Keller, Zach:</t>
        </r>
        <r>
          <rPr>
            <sz val="10"/>
            <color rgb="FF000000"/>
            <rFont val="Tahoma"/>
            <family val="2"/>
          </rPr>
          <t xml:space="preserve">
</t>
        </r>
        <r>
          <rPr>
            <sz val="10"/>
            <color rgb="FF000000"/>
            <rFont val="Tahoma"/>
            <family val="2"/>
          </rPr>
          <t>Source: Forbes team page, historical value for Forbes 2017 list (2017–18 season; Forbes rounds to nearest $0.1B on this page), https://www.forbes.com/teams/new-york-knicks/</t>
        </r>
      </text>
    </comment>
    <comment ref="D24" authorId="0" shapeId="0" xr:uid="{11DE279E-B15E-7740-B255-91CB6EA00B94}">
      <text>
        <r>
          <rPr>
            <b/>
            <sz val="10"/>
            <color rgb="FF000000"/>
            <rFont val="Tahoma"/>
            <family val="2"/>
          </rPr>
          <t>Keller, Zach:</t>
        </r>
        <r>
          <rPr>
            <sz val="10"/>
            <color rgb="FF000000"/>
            <rFont val="Tahoma"/>
            <family val="2"/>
          </rPr>
          <t xml:space="preserve">
Source: Forbes team page, historical value for Forbes 2018 list (2018–19 season; Forbes rounds to nearest $0.1B on this page), https://www.forbes.com/teams/new-york-knicks/</t>
        </r>
      </text>
    </comment>
    <comment ref="E24" authorId="0" shapeId="0" xr:uid="{07BA9C6A-33D4-6F45-9D9A-107BF9655E3B}">
      <text>
        <r>
          <rPr>
            <b/>
            <sz val="10"/>
            <color rgb="FF000000"/>
            <rFont val="Tahoma"/>
            <family val="2"/>
          </rPr>
          <t>Keller, Zach:</t>
        </r>
        <r>
          <rPr>
            <sz val="10"/>
            <color rgb="FF000000"/>
            <rFont val="Tahoma"/>
            <family val="2"/>
          </rPr>
          <t xml:space="preserve">
Source: Forbes team page, historical value for Forbes 2019 list (2019–20 season; Forbes rounds to nearest $0.1B on this page), https://www.forbes.com/teams/new-york-knicks/</t>
        </r>
      </text>
    </comment>
    <comment ref="F24" authorId="0" shapeId="0" xr:uid="{C9369BD4-B9DB-F342-9F35-B5C3C202F198}">
      <text>
        <r>
          <rPr>
            <b/>
            <sz val="10"/>
            <color rgb="FF000000"/>
            <rFont val="Tahoma"/>
            <family val="2"/>
          </rPr>
          <t>Keller, Zach:</t>
        </r>
        <r>
          <rPr>
            <sz val="10"/>
            <color rgb="FF000000"/>
            <rFont val="Tahoma"/>
            <family val="2"/>
          </rPr>
          <t xml:space="preserve">
Source: Forbes NBA Team Valuations (Feb 2021, 2020–21 season), https://www.forbes.com/sites/kurtbadenhausen/2021/02/10/nba-team-values-2021-knicks-keep-top-spot-at-5-billion-warriors-bump-lakers-for-second-place/</t>
        </r>
      </text>
    </comment>
    <comment ref="G24" authorId="0" shapeId="0" xr:uid="{6A3D84D2-63A2-7C44-A304-CA0C9A77EB33}">
      <text>
        <r>
          <rPr>
            <b/>
            <sz val="10"/>
            <color rgb="FF000000"/>
            <rFont val="Tahoma"/>
            <family val="2"/>
          </rPr>
          <t>Keller, Zach:</t>
        </r>
        <r>
          <rPr>
            <sz val="10"/>
            <color rgb="FF000000"/>
            <rFont val="Tahoma"/>
            <family val="2"/>
          </rPr>
          <t xml:space="preserve">
Source: Forbes NBA Team Valuations (Oct 2021, 2021–22 season), https://www.forbes.com/sites/mikeozanian/2021/10/18/the-nbas-most-valuable-teams-2021-22-new-york-knicks-lead-a-trio-now-worth-over-5-billion-each/</t>
        </r>
      </text>
    </comment>
    <comment ref="H24" authorId="0" shapeId="0" xr:uid="{75E0FA15-F914-964A-94AA-C4AEA4592039}">
      <text>
        <r>
          <rPr>
            <b/>
            <sz val="10"/>
            <color rgb="FF000000"/>
            <rFont val="Tahoma"/>
            <family val="2"/>
          </rPr>
          <t>Keller, Zach:</t>
        </r>
        <r>
          <rPr>
            <sz val="10"/>
            <color rgb="FF000000"/>
            <rFont val="Tahoma"/>
            <family val="2"/>
          </rPr>
          <t xml:space="preserve">
Source: Forbes NBA Team Valuations (Oct 2022, 2022–23 season), https://www.forbes.com/sites/mikeozanian/2022/10/27/nba-team-values-2022-for-the-first-time-in-two-decades-the-top-spot-goes-to-a-franchise-thats-not-the-knicks-or-lakers/</t>
        </r>
      </text>
    </comment>
    <comment ref="I24" authorId="0" shapeId="0" xr:uid="{4FB59253-5811-7847-8935-CAD5184F5FE8}">
      <text>
        <r>
          <rPr>
            <b/>
            <sz val="10"/>
            <color rgb="FF000000"/>
            <rFont val="Tahoma"/>
            <family val="2"/>
          </rPr>
          <t>Keller, Zach:</t>
        </r>
        <r>
          <rPr>
            <sz val="10"/>
            <color rgb="FF000000"/>
            <rFont val="Tahoma"/>
            <family val="2"/>
          </rPr>
          <t xml:space="preserve">
Source: Forbes NBA Team Valuations (Oct 2023, 2023–24 season), https://www.forbes.com/sites/mikeozanian/2023/10/26/the-most-valuable-nba-teams-2023/</t>
        </r>
      </text>
    </comment>
    <comment ref="J24" authorId="0" shapeId="0" xr:uid="{BE54BE95-5EA7-3C48-8BD4-8527891C95B6}">
      <text>
        <r>
          <rPr>
            <b/>
            <sz val="10"/>
            <color rgb="FF000000"/>
            <rFont val="Tahoma"/>
            <family val="2"/>
          </rPr>
          <t>Keller, Zach:</t>
        </r>
        <r>
          <rPr>
            <sz val="10"/>
            <color rgb="FF000000"/>
            <rFont val="Tahoma"/>
            <family val="2"/>
          </rPr>
          <t xml:space="preserve">
Source: Forbes NBA Team Valuations (Oct 2024, 2024–25 season), https://www.forbes.com/sites/justinteitelbaum/2024/10/24/the-most-valuable-nba-teams-2024/</t>
        </r>
      </text>
    </comment>
    <comment ref="K24" authorId="0" shapeId="0" xr:uid="{37F26106-1286-C14D-8A78-B3E6CC8DD1B6}">
      <text>
        <r>
          <rPr>
            <b/>
            <sz val="10"/>
            <color rgb="FF000000"/>
            <rFont val="Tahoma"/>
            <family val="2"/>
          </rPr>
          <t>Keller, Zach:</t>
        </r>
        <r>
          <rPr>
            <sz val="10"/>
            <color rgb="FF000000"/>
            <rFont val="Tahoma"/>
            <family val="2"/>
          </rPr>
          <t xml:space="preserve">
Source: Forbes NBA Team Valuations (Oct 2025, 2025–26 season), https://www.forbes.com/sites/justinteitelbaum/2025/10/23/the-most-valuable-nba-teams-2025/</t>
        </r>
      </text>
    </comment>
    <comment ref="B25" authorId="0" shapeId="0" xr:uid="{2455B4D4-510E-2B45-8CF1-BD36366B0F82}">
      <text>
        <r>
          <rPr>
            <b/>
            <sz val="10"/>
            <color rgb="FF000000"/>
            <rFont val="Tahoma"/>
            <family val="2"/>
          </rPr>
          <t>Keller, Zach:</t>
        </r>
        <r>
          <rPr>
            <sz val="10"/>
            <color rgb="FF000000"/>
            <rFont val="Tahoma"/>
            <family val="2"/>
          </rPr>
          <t xml:space="preserve">
Source: Forbes team page, historical value for Forbes 2016 list (2016–17 season; Forbes rounds to nearest $0.1B on this page), https://www.forbes.com/teams/oklahoma-city-thunder/</t>
        </r>
      </text>
    </comment>
    <comment ref="C25" authorId="0" shapeId="0" xr:uid="{481A1A6E-CAED-F44E-B5F7-C4BB63C90C0C}">
      <text>
        <r>
          <rPr>
            <b/>
            <sz val="10"/>
            <color rgb="FF000000"/>
            <rFont val="Tahoma"/>
            <family val="2"/>
          </rPr>
          <t>Keller, Zach:</t>
        </r>
        <r>
          <rPr>
            <sz val="10"/>
            <color rgb="FF000000"/>
            <rFont val="Tahoma"/>
            <family val="2"/>
          </rPr>
          <t xml:space="preserve">
Source: Forbes team page, historical value for Forbes 2017 list (2017–18 season; Forbes rounds to nearest $0.1B on this page), https://www.forbes.com/teams/oklahoma-city-thunder/</t>
        </r>
      </text>
    </comment>
    <comment ref="D25" authorId="0" shapeId="0" xr:uid="{54543DBE-4C37-FF47-8916-0F594D54E22A}">
      <text>
        <r>
          <rPr>
            <b/>
            <sz val="10"/>
            <color rgb="FF000000"/>
            <rFont val="Tahoma"/>
            <family val="2"/>
          </rPr>
          <t>Keller, Zach:</t>
        </r>
        <r>
          <rPr>
            <sz val="10"/>
            <color rgb="FF000000"/>
            <rFont val="Tahoma"/>
            <family val="2"/>
          </rPr>
          <t xml:space="preserve">
Source: Forbes team page, historical value for Forbes 2018 list (2018–19 season; Forbes rounds to nearest $0.1B on this page), https://www.forbes.com/teams/oklahoma-city-thunder/</t>
        </r>
      </text>
    </comment>
    <comment ref="E25" authorId="0" shapeId="0" xr:uid="{13FC93B9-E6EF-3942-BE67-8E34BC9D334C}">
      <text>
        <r>
          <rPr>
            <b/>
            <sz val="10"/>
            <color rgb="FF000000"/>
            <rFont val="Tahoma"/>
            <family val="2"/>
          </rPr>
          <t>Keller, Zach:</t>
        </r>
        <r>
          <rPr>
            <sz val="10"/>
            <color rgb="FF000000"/>
            <rFont val="Tahoma"/>
            <family val="2"/>
          </rPr>
          <t xml:space="preserve">
Source: Forbes team page, historical value for Forbes 2019 list (2019–20 season; Forbes rounds to nearest $0.1B on this page), https://www.forbes.com/teams/oklahoma-city-thunder/</t>
        </r>
      </text>
    </comment>
    <comment ref="F25" authorId="0" shapeId="0" xr:uid="{BAAF090E-43FE-F344-99DD-0B3DCCC48CD2}">
      <text>
        <r>
          <rPr>
            <b/>
            <sz val="10"/>
            <color rgb="FF000000"/>
            <rFont val="Tahoma"/>
            <family val="2"/>
          </rPr>
          <t>Keller, Zach:</t>
        </r>
        <r>
          <rPr>
            <sz val="10"/>
            <color rgb="FF000000"/>
            <rFont val="Tahoma"/>
            <family val="2"/>
          </rPr>
          <t xml:space="preserve">
Source: Forbes NBA Team Valuations (Feb 2021, 2020–21 season), https://www.forbes.com/sites/kurtbadenhausen/2021/02/10/nba-team-values-2021-knicks-keep-top-spot-at-5-billion-warriors-bump-lakers-for-second-place/</t>
        </r>
      </text>
    </comment>
    <comment ref="G25" authorId="0" shapeId="0" xr:uid="{C60C10B8-1B0C-104A-A844-D625127CA774}">
      <text>
        <r>
          <rPr>
            <b/>
            <sz val="10"/>
            <color rgb="FF000000"/>
            <rFont val="Tahoma"/>
            <family val="2"/>
          </rPr>
          <t>Keller, Zach:</t>
        </r>
        <r>
          <rPr>
            <sz val="10"/>
            <color rgb="FF000000"/>
            <rFont val="Tahoma"/>
            <family val="2"/>
          </rPr>
          <t xml:space="preserve">
Source: Forbes NBA Team Valuations (Oct 2021, 2021–22 season), https://www.forbes.com/sites/mikeozanian/2021/10/18/the-nbas-most-valuable-teams-2021-22-new-york-knicks-lead-a-trio-now-worth-over-5-billion-each/</t>
        </r>
      </text>
    </comment>
    <comment ref="H25" authorId="0" shapeId="0" xr:uid="{DC7AC999-D789-4D4C-8ADD-96FB814CA097}">
      <text>
        <r>
          <rPr>
            <b/>
            <sz val="10"/>
            <color rgb="FF000000"/>
            <rFont val="Tahoma"/>
            <family val="2"/>
          </rPr>
          <t>Keller, Zach:</t>
        </r>
        <r>
          <rPr>
            <sz val="10"/>
            <color rgb="FF000000"/>
            <rFont val="Tahoma"/>
            <family val="2"/>
          </rPr>
          <t xml:space="preserve">
Source: Forbes NBA Team Valuations (Oct 2022, 2022–23 season), https://www.forbes.com/sites/mikeozanian/2022/10/27/nba-team-values-2022-for-the-first-time-in-two-decades-the-top-spot-goes-to-a-franchise-thats-not-the-knicks-or-lakers/</t>
        </r>
      </text>
    </comment>
    <comment ref="I25" authorId="0" shapeId="0" xr:uid="{F2DB8FC3-D0CA-DD49-82B9-04C1D912E4DE}">
      <text>
        <r>
          <rPr>
            <b/>
            <sz val="10"/>
            <color rgb="FF000000"/>
            <rFont val="Tahoma"/>
            <family val="2"/>
          </rPr>
          <t>Keller, Zach:</t>
        </r>
        <r>
          <rPr>
            <sz val="10"/>
            <color rgb="FF000000"/>
            <rFont val="Tahoma"/>
            <family val="2"/>
          </rPr>
          <t xml:space="preserve">
Source: Forbes NBA Team Valuations (Oct 2023, 2023–24 season), https://www.forbes.com/sites/mikeozanian/2023/10/26/the-most-valuable-nba-teams-2023/</t>
        </r>
      </text>
    </comment>
    <comment ref="J25" authorId="0" shapeId="0" xr:uid="{D725D2E2-0169-B144-A048-DEB7E38337F5}">
      <text>
        <r>
          <rPr>
            <b/>
            <sz val="10"/>
            <color rgb="FF000000"/>
            <rFont val="Tahoma"/>
            <family val="2"/>
          </rPr>
          <t>Keller, Zach:</t>
        </r>
        <r>
          <rPr>
            <sz val="10"/>
            <color rgb="FF000000"/>
            <rFont val="Tahoma"/>
            <family val="2"/>
          </rPr>
          <t xml:space="preserve">
Source: Forbes NBA Team Valuations (Oct 2024, 2024–25 season), https://www.forbes.com/sites/justinteitelbaum/2024/10/24/the-most-valuable-nba-teams-2024/</t>
        </r>
      </text>
    </comment>
    <comment ref="K25" authorId="0" shapeId="0" xr:uid="{AA2DA56A-7F0C-5C4F-89AD-7CD9916E95A3}">
      <text>
        <r>
          <rPr>
            <b/>
            <sz val="10"/>
            <color rgb="FF000000"/>
            <rFont val="Tahoma"/>
            <family val="2"/>
          </rPr>
          <t>Keller, Zach:</t>
        </r>
        <r>
          <rPr>
            <sz val="10"/>
            <color rgb="FF000000"/>
            <rFont val="Tahoma"/>
            <family val="2"/>
          </rPr>
          <t xml:space="preserve">
Source: Forbes NBA Team Valuations (Oct 2025, 2025–26 season), https://www.forbes.com/sites/justinteitelbaum/2025/10/23/the-most-valuable-nba-teams-2025/</t>
        </r>
      </text>
    </comment>
    <comment ref="B26" authorId="0" shapeId="0" xr:uid="{4FB5F648-6749-7A4D-8532-B4F82E08E991}">
      <text>
        <r>
          <rPr>
            <b/>
            <sz val="10"/>
            <color rgb="FF000000"/>
            <rFont val="Tahoma"/>
            <family val="2"/>
          </rPr>
          <t>Keller, Zach:</t>
        </r>
        <r>
          <rPr>
            <sz val="10"/>
            <color rgb="FF000000"/>
            <rFont val="Tahoma"/>
            <family val="2"/>
          </rPr>
          <t xml:space="preserve">
Source: Forbes team page, historical value for Forbes 2016 list (2016–17 season; Forbes rounds to nearest $0.1B on this page), https://www.forbes.com/teams/orlando-magic/</t>
        </r>
      </text>
    </comment>
    <comment ref="C26" authorId="0" shapeId="0" xr:uid="{80B7E59D-D51D-D54D-A542-F2E2F10032E2}">
      <text>
        <r>
          <rPr>
            <b/>
            <sz val="10"/>
            <color rgb="FF000000"/>
            <rFont val="Tahoma"/>
            <family val="2"/>
          </rPr>
          <t>Keller, Zach:</t>
        </r>
        <r>
          <rPr>
            <sz val="10"/>
            <color rgb="FF000000"/>
            <rFont val="Tahoma"/>
            <family val="2"/>
          </rPr>
          <t xml:space="preserve">
Source: Forbes team page, historical value for Forbes 2017 list (2017–18 season; Forbes rounds to nearest $0.1B on this page), https://www.forbes.com/teams/orlando-magic/</t>
        </r>
      </text>
    </comment>
    <comment ref="D26" authorId="0" shapeId="0" xr:uid="{6ED59889-6B9D-CD46-9B74-863401DB1FB1}">
      <text>
        <r>
          <rPr>
            <b/>
            <sz val="10"/>
            <color rgb="FF000000"/>
            <rFont val="Tahoma"/>
            <family val="2"/>
          </rPr>
          <t>Keller, Zach:</t>
        </r>
        <r>
          <rPr>
            <sz val="10"/>
            <color rgb="FF000000"/>
            <rFont val="Tahoma"/>
            <family val="2"/>
          </rPr>
          <t xml:space="preserve">
Source: Forbes team page, historical value for Forbes 2018 list (2018–19 season; Forbes rounds to nearest $0.1B on this page), https://www.forbes.com/teams/orlando-magic/</t>
        </r>
      </text>
    </comment>
    <comment ref="E26" authorId="0" shapeId="0" xr:uid="{3DA9A1DD-1FFD-1F45-A34D-7DBED8C1D9FE}">
      <text>
        <r>
          <rPr>
            <b/>
            <sz val="10"/>
            <color rgb="FF000000"/>
            <rFont val="Tahoma"/>
            <family val="2"/>
          </rPr>
          <t>Keller, Zach:</t>
        </r>
        <r>
          <rPr>
            <sz val="10"/>
            <color rgb="FF000000"/>
            <rFont val="Tahoma"/>
            <family val="2"/>
          </rPr>
          <t xml:space="preserve">
Source: Forbes team page, historical value for Forbes 2019 list (2019–20 season; Forbes rounds to nearest $0.1B on this page), https://www.forbes.com/teams/orlando-magic/</t>
        </r>
      </text>
    </comment>
    <comment ref="F26" authorId="0" shapeId="0" xr:uid="{6BD6FE24-388E-DE49-B9CC-6F90046FB453}">
      <text>
        <r>
          <rPr>
            <b/>
            <sz val="10"/>
            <color rgb="FF000000"/>
            <rFont val="Tahoma"/>
            <family val="2"/>
          </rPr>
          <t>Keller, Zach:</t>
        </r>
        <r>
          <rPr>
            <sz val="10"/>
            <color rgb="FF000000"/>
            <rFont val="Tahoma"/>
            <family val="2"/>
          </rPr>
          <t xml:space="preserve">
Source: Forbes NBA Team Valuations (Feb 2021, 2020–21 season), https://www.forbes.com/sites/kurtbadenhausen/2021/02/10/nba-team-values-2021-knicks-keep-top-spot-at-5-billion-warriors-bump-lakers-for-second-place/</t>
        </r>
      </text>
    </comment>
    <comment ref="G26" authorId="0" shapeId="0" xr:uid="{B54BFE45-8F41-B148-A17B-733BA5125A9B}">
      <text>
        <r>
          <rPr>
            <b/>
            <sz val="10"/>
            <color rgb="FF000000"/>
            <rFont val="Tahoma"/>
            <family val="2"/>
          </rPr>
          <t>Keller, Zach:</t>
        </r>
        <r>
          <rPr>
            <sz val="10"/>
            <color rgb="FF000000"/>
            <rFont val="Tahoma"/>
            <family val="2"/>
          </rPr>
          <t xml:space="preserve">
Source: Forbes NBA Team Valuations (Oct 2021, 2021–22 season), https://www.forbes.com/sites/mikeozanian/2021/10/18/the-nbas-most-valuable-teams-2021-22-new-york-knicks-lead-a-trio-now-worth-over-5-billion-each/</t>
        </r>
      </text>
    </comment>
    <comment ref="H26" authorId="0" shapeId="0" xr:uid="{48BDA973-505D-7143-9DB2-DDA347CB1E8A}">
      <text>
        <r>
          <rPr>
            <b/>
            <sz val="10"/>
            <color rgb="FF000000"/>
            <rFont val="Tahoma"/>
            <family val="2"/>
          </rPr>
          <t>Keller, Zach:</t>
        </r>
        <r>
          <rPr>
            <sz val="10"/>
            <color rgb="FF000000"/>
            <rFont val="Tahoma"/>
            <family val="2"/>
          </rPr>
          <t xml:space="preserve">
Source: Forbes NBA Team Valuations (Oct 2022, 2022–23 season), https://www.forbes.com/sites/mikeozanian/2022/10/27/nba-team-values-2022-for-the-first-time-in-two-decades-the-top-spot-goes-to-a-franchise-thats-not-the-knicks-or-lakers/</t>
        </r>
      </text>
    </comment>
    <comment ref="I26" authorId="0" shapeId="0" xr:uid="{020A375C-782E-124C-884B-3290302B8A97}">
      <text>
        <r>
          <rPr>
            <b/>
            <sz val="10"/>
            <color rgb="FF000000"/>
            <rFont val="Tahoma"/>
            <family val="2"/>
          </rPr>
          <t>Keller, Zach:</t>
        </r>
        <r>
          <rPr>
            <sz val="10"/>
            <color rgb="FF000000"/>
            <rFont val="Tahoma"/>
            <family val="2"/>
          </rPr>
          <t xml:space="preserve">
Source: Forbes NBA Team Valuations (Oct 2023, 2023–24 season), https://www.forbes.com/sites/mikeozanian/2023/10/26/the-most-valuable-nba-teams-2023/</t>
        </r>
      </text>
    </comment>
    <comment ref="J26" authorId="0" shapeId="0" xr:uid="{CF37EA91-7AA1-C744-8F0F-1D53E7E3D0C6}">
      <text>
        <r>
          <rPr>
            <b/>
            <sz val="10"/>
            <color rgb="FF000000"/>
            <rFont val="Tahoma"/>
            <family val="2"/>
          </rPr>
          <t>Keller, Zach:</t>
        </r>
        <r>
          <rPr>
            <sz val="10"/>
            <color rgb="FF000000"/>
            <rFont val="Tahoma"/>
            <family val="2"/>
          </rPr>
          <t xml:space="preserve">
Source: Forbes NBA Team Valuations (Oct 2024, 2024–25 season), https://www.forbes.com/sites/justinteitelbaum/2024/10/24/the-most-valuable-nba-teams-2024/</t>
        </r>
      </text>
    </comment>
    <comment ref="K26" authorId="0" shapeId="0" xr:uid="{F01C1ED3-BCD4-4A4B-93DB-1C3F5B965E89}">
      <text>
        <r>
          <rPr>
            <b/>
            <sz val="10"/>
            <color rgb="FF000000"/>
            <rFont val="Tahoma"/>
            <family val="2"/>
          </rPr>
          <t>Keller, Zach:</t>
        </r>
        <r>
          <rPr>
            <sz val="10"/>
            <color rgb="FF000000"/>
            <rFont val="Tahoma"/>
            <family val="2"/>
          </rPr>
          <t xml:space="preserve">
Source: Forbes NBA Team Valuations (Oct 2025, 2025–26 season), https://www.forbes.com/sites/justinteitelbaum/2025/10/23/the-most-valuable-nba-teams-2025/</t>
        </r>
      </text>
    </comment>
    <comment ref="B27" authorId="0" shapeId="0" xr:uid="{AB90F9DC-DA46-E445-92AA-5C4CF6E83B57}">
      <text>
        <r>
          <rPr>
            <b/>
            <sz val="10"/>
            <color rgb="FF000000"/>
            <rFont val="Tahoma"/>
            <family val="2"/>
          </rPr>
          <t>Keller, Zach:</t>
        </r>
        <r>
          <rPr>
            <sz val="10"/>
            <color rgb="FF000000"/>
            <rFont val="Tahoma"/>
            <family val="2"/>
          </rPr>
          <t xml:space="preserve">
Source: Forbes team page, historical value for Forbes 2016 list (2016–17 season; Forbes rounds to nearest $0.1B on this page), https://www.forbes.com/teams/philadelphia-76ers/</t>
        </r>
      </text>
    </comment>
    <comment ref="C27" authorId="0" shapeId="0" xr:uid="{D97C6FB8-B577-944E-BFFB-7A29425C8101}">
      <text>
        <r>
          <rPr>
            <b/>
            <sz val="10"/>
            <color rgb="FF000000"/>
            <rFont val="Tahoma"/>
            <family val="2"/>
          </rPr>
          <t>Keller, Zach:</t>
        </r>
        <r>
          <rPr>
            <sz val="10"/>
            <color rgb="FF000000"/>
            <rFont val="Tahoma"/>
            <family val="2"/>
          </rPr>
          <t xml:space="preserve">
Source: Forbes team page, historical value for Forbes 2017 list (2017–18 season; Forbes rounds to nearest $0.1B on this page), https://www.forbes.com/teams/philadelphia-76ers/</t>
        </r>
      </text>
    </comment>
    <comment ref="D27" authorId="0" shapeId="0" xr:uid="{0C4B36F1-0517-C34A-8B97-E0335B60DA37}">
      <text>
        <r>
          <rPr>
            <b/>
            <sz val="10"/>
            <color rgb="FF000000"/>
            <rFont val="Tahoma"/>
            <family val="2"/>
          </rPr>
          <t>Keller, Zach:</t>
        </r>
        <r>
          <rPr>
            <sz val="10"/>
            <color rgb="FF000000"/>
            <rFont val="Tahoma"/>
            <family val="2"/>
          </rPr>
          <t xml:space="preserve">
Source: Forbes team page, historical value for Forbes 2018 list (2018–19 season; Forbes rounds to nearest $0.1B on this page), https://www.forbes.com/teams/philadelphia-76ers/</t>
        </r>
      </text>
    </comment>
    <comment ref="E27" authorId="0" shapeId="0" xr:uid="{1359A8D5-0B5A-CA4A-8685-BA8358DCAE0B}">
      <text>
        <r>
          <rPr>
            <b/>
            <sz val="10"/>
            <color rgb="FF000000"/>
            <rFont val="Tahoma"/>
            <family val="2"/>
          </rPr>
          <t>Keller, Zach:</t>
        </r>
        <r>
          <rPr>
            <sz val="10"/>
            <color rgb="FF000000"/>
            <rFont val="Tahoma"/>
            <family val="2"/>
          </rPr>
          <t xml:space="preserve">
Source: Forbes team page, historical value for Forbes 2019 list (2019–20 season; Forbes rounds to nearest $0.1B on this page), https://www.forbes.com/teams/philadelphia-76ers/</t>
        </r>
      </text>
    </comment>
    <comment ref="F27" authorId="0" shapeId="0" xr:uid="{4F91E813-6114-2248-904E-F256993FA4DF}">
      <text>
        <r>
          <rPr>
            <b/>
            <sz val="10"/>
            <color rgb="FF000000"/>
            <rFont val="Tahoma"/>
            <family val="2"/>
          </rPr>
          <t>Keller, Zach:</t>
        </r>
        <r>
          <rPr>
            <sz val="10"/>
            <color rgb="FF000000"/>
            <rFont val="Tahoma"/>
            <family val="2"/>
          </rPr>
          <t xml:space="preserve">
Source: Forbes NBA Team Valuations (Feb 2021, 2020–21 season), https://www.forbes.com/sites/kurtbadenhausen/2021/02/10/nba-team-values-2021-knicks-keep-top-spot-at-5-billion-warriors-bump-lakers-for-second-place/</t>
        </r>
      </text>
    </comment>
    <comment ref="G27" authorId="0" shapeId="0" xr:uid="{294F9F11-0DF1-E545-8299-7A221C2AFF0B}">
      <text>
        <r>
          <rPr>
            <b/>
            <sz val="10"/>
            <color rgb="FF000000"/>
            <rFont val="Tahoma"/>
            <family val="2"/>
          </rPr>
          <t>Keller, Zach:</t>
        </r>
        <r>
          <rPr>
            <sz val="10"/>
            <color rgb="FF000000"/>
            <rFont val="Tahoma"/>
            <family val="2"/>
          </rPr>
          <t xml:space="preserve">
Source: Forbes NBA Team Valuations (Oct 2021, 2021–22 season), https://www.forbes.com/sites/mikeozanian/2021/10/18/the-nbas-most-valuable-teams-2021-22-new-york-knicks-lead-a-trio-now-worth-over-5-billion-each/</t>
        </r>
      </text>
    </comment>
    <comment ref="H27" authorId="0" shapeId="0" xr:uid="{7BF71325-CAD1-4E48-8ECD-707B088E045F}">
      <text>
        <r>
          <rPr>
            <b/>
            <sz val="10"/>
            <color rgb="FF000000"/>
            <rFont val="Tahoma"/>
            <family val="2"/>
          </rPr>
          <t>Keller, Zach:</t>
        </r>
        <r>
          <rPr>
            <sz val="10"/>
            <color rgb="FF000000"/>
            <rFont val="Tahoma"/>
            <family val="2"/>
          </rPr>
          <t xml:space="preserve">
Source: Forbes NBA Team Valuations (Oct 2022, 2022–23 season), https://www.forbes.com/sites/mikeozanian/2022/10/27/nba-team-values-2022-for-the-first-time-in-two-decades-the-top-spot-goes-to-a-franchise-thats-not-the-knicks-or-lakers/</t>
        </r>
      </text>
    </comment>
    <comment ref="I27" authorId="0" shapeId="0" xr:uid="{679AE366-AFE0-F84F-AD9D-410EB2D8F8CF}">
      <text>
        <r>
          <rPr>
            <b/>
            <sz val="10"/>
            <color rgb="FF000000"/>
            <rFont val="Tahoma"/>
            <family val="2"/>
          </rPr>
          <t>Keller, Zach:</t>
        </r>
        <r>
          <rPr>
            <sz val="10"/>
            <color rgb="FF000000"/>
            <rFont val="Tahoma"/>
            <family val="2"/>
          </rPr>
          <t xml:space="preserve">
Source: Forbes NBA Team Valuations (Oct 2023, 2023–24 season), https://www.forbes.com/sites/mikeozanian/2023/10/26/the-most-valuable-nba-teams-2023/</t>
        </r>
      </text>
    </comment>
    <comment ref="J27" authorId="0" shapeId="0" xr:uid="{F87A4640-F245-F246-9A58-86D411A7A055}">
      <text>
        <r>
          <rPr>
            <b/>
            <sz val="10"/>
            <color rgb="FF000000"/>
            <rFont val="Tahoma"/>
            <family val="2"/>
          </rPr>
          <t>Keller, Zach:</t>
        </r>
        <r>
          <rPr>
            <sz val="10"/>
            <color rgb="FF000000"/>
            <rFont val="Tahoma"/>
            <family val="2"/>
          </rPr>
          <t xml:space="preserve">
Source: Forbes NBA Team Valuations (Oct 2024, 2024–25 season), https://www.forbes.com/sites/justinteitelbaum/2024/10/24/the-most-valuable-nba-teams-2024/</t>
        </r>
      </text>
    </comment>
    <comment ref="K27" authorId="0" shapeId="0" xr:uid="{DC83C101-49AB-6D43-AF5E-F0258C5975E9}">
      <text>
        <r>
          <rPr>
            <b/>
            <sz val="10"/>
            <color rgb="FF000000"/>
            <rFont val="Tahoma"/>
            <family val="2"/>
          </rPr>
          <t>Keller, Zach:</t>
        </r>
        <r>
          <rPr>
            <sz val="10"/>
            <color rgb="FF000000"/>
            <rFont val="Tahoma"/>
            <family val="2"/>
          </rPr>
          <t xml:space="preserve">
Source: Forbes NBA Team Valuations (Oct 2025, 2025–26 season), https://www.forbes.com/sites/justinteitelbaum/2025/10/23/the-most-valuable-nba-teams-2025/</t>
        </r>
      </text>
    </comment>
    <comment ref="B28" authorId="0" shapeId="0" xr:uid="{CA00BA00-8987-8041-B98A-2AE8F1FF3A30}">
      <text>
        <r>
          <rPr>
            <b/>
            <sz val="10"/>
            <color rgb="FF000000"/>
            <rFont val="Tahoma"/>
            <family val="2"/>
          </rPr>
          <t>Keller, Zach:</t>
        </r>
        <r>
          <rPr>
            <sz val="10"/>
            <color rgb="FF000000"/>
            <rFont val="Tahoma"/>
            <family val="2"/>
          </rPr>
          <t xml:space="preserve">
Source: Forbes team page, historical value for Forbes 2016 list (2016–17 season; Forbes rounds to nearest $0.1B on this page), https://www.forbes.com/teams/phoenix-suns/</t>
        </r>
      </text>
    </comment>
    <comment ref="C28" authorId="0" shapeId="0" xr:uid="{76053720-076D-024B-8024-A954F4C6AF5C}">
      <text>
        <r>
          <rPr>
            <b/>
            <sz val="10"/>
            <color rgb="FF000000"/>
            <rFont val="Tahoma"/>
            <family val="2"/>
          </rPr>
          <t>Keller, Zach:</t>
        </r>
        <r>
          <rPr>
            <sz val="10"/>
            <color rgb="FF000000"/>
            <rFont val="Tahoma"/>
            <family val="2"/>
          </rPr>
          <t xml:space="preserve">
Source: Forbes team page, historical value for Forbes 2017 list (2017–18 season; Forbes rounds to nearest $0.1B on this page), https://www.forbes.com/teams/phoenix-suns/</t>
        </r>
      </text>
    </comment>
    <comment ref="D28" authorId="0" shapeId="0" xr:uid="{DE97FD0B-11AC-1D42-968C-76519CF46431}">
      <text>
        <r>
          <rPr>
            <b/>
            <sz val="10"/>
            <color rgb="FF000000"/>
            <rFont val="Tahoma"/>
            <family val="2"/>
          </rPr>
          <t>Keller, Zach:</t>
        </r>
        <r>
          <rPr>
            <sz val="10"/>
            <color rgb="FF000000"/>
            <rFont val="Tahoma"/>
            <family val="2"/>
          </rPr>
          <t xml:space="preserve">
Source: Forbes team page, historical value for Forbes 2018 list (2018–19 season; Forbes rounds to nearest $0.1B on this page), https://www.forbes.com/teams/phoenix-suns/</t>
        </r>
      </text>
    </comment>
    <comment ref="E28" authorId="0" shapeId="0" xr:uid="{D83D1BF0-2F28-2B41-972E-A8AD137480E8}">
      <text>
        <r>
          <rPr>
            <b/>
            <sz val="10"/>
            <color rgb="FF000000"/>
            <rFont val="Tahoma"/>
            <family val="2"/>
          </rPr>
          <t>Keller, Zach:</t>
        </r>
        <r>
          <rPr>
            <sz val="10"/>
            <color rgb="FF000000"/>
            <rFont val="Tahoma"/>
            <family val="2"/>
          </rPr>
          <t xml:space="preserve">
Source: Forbes team page, historical value for Forbes 2019 list (2019–20 season; Forbes rounds to nearest $0.1B on this page), https://www.forbes.com/teams/phoenix-suns/</t>
        </r>
      </text>
    </comment>
    <comment ref="F28" authorId="0" shapeId="0" xr:uid="{9DE99029-FF4D-E141-A65F-2CA8C2771998}">
      <text>
        <r>
          <rPr>
            <b/>
            <sz val="10"/>
            <color rgb="FF000000"/>
            <rFont val="Tahoma"/>
            <family val="2"/>
          </rPr>
          <t>Keller, Zach:</t>
        </r>
        <r>
          <rPr>
            <sz val="10"/>
            <color rgb="FF000000"/>
            <rFont val="Tahoma"/>
            <family val="2"/>
          </rPr>
          <t xml:space="preserve">
Source: Forbes NBA Team Valuations (Feb 2021, 2020–21 season), https://www.forbes.com/sites/kurtbadenhausen/2021/02/10/nba-team-values-2021-knicks-keep-top-spot-at-5-billion-warriors-bump-lakers-for-second-place/</t>
        </r>
      </text>
    </comment>
    <comment ref="G28" authorId="0" shapeId="0" xr:uid="{002DB144-955E-F746-B3FF-F3EFA573E54D}">
      <text>
        <r>
          <rPr>
            <b/>
            <sz val="10"/>
            <color rgb="FF000000"/>
            <rFont val="Tahoma"/>
            <family val="2"/>
          </rPr>
          <t>Keller, Zach:</t>
        </r>
        <r>
          <rPr>
            <sz val="10"/>
            <color rgb="FF000000"/>
            <rFont val="Tahoma"/>
            <family val="2"/>
          </rPr>
          <t xml:space="preserve">
Source: Forbes NBA Team Valuations (Oct 2021, 2021–22 season), https://www.forbes.com/sites/mikeozanian/2021/10/18/the-nbas-most-valuable-teams-2021-22-new-york-knicks-lead-a-trio-now-worth-over-5-billion-each/</t>
        </r>
      </text>
    </comment>
    <comment ref="H28" authorId="0" shapeId="0" xr:uid="{4F3936EC-9BC4-1C43-81FA-111C5A690077}">
      <text>
        <r>
          <rPr>
            <b/>
            <sz val="10"/>
            <color rgb="FF000000"/>
            <rFont val="Tahoma"/>
            <family val="2"/>
          </rPr>
          <t>Keller, Zach:</t>
        </r>
        <r>
          <rPr>
            <sz val="10"/>
            <color rgb="FF000000"/>
            <rFont val="Tahoma"/>
            <family val="2"/>
          </rPr>
          <t xml:space="preserve">
Source: Forbes NBA Team Valuations (Oct 2022, 2022–23 season), https://www.forbes.com/sites/mikeozanian/2022/10/27/nba-team-values-2022-for-the-first-time-in-two-decades-the-top-spot-goes-to-a-franchise-thats-not-the-knicks-or-lakers/</t>
        </r>
      </text>
    </comment>
    <comment ref="I28" authorId="0" shapeId="0" xr:uid="{2AFE4EC2-3A9A-5B4A-B87C-EA55F189D1CD}">
      <text>
        <r>
          <rPr>
            <b/>
            <sz val="10"/>
            <color rgb="FF000000"/>
            <rFont val="Tahoma"/>
            <family val="2"/>
          </rPr>
          <t>Keller, Zach:</t>
        </r>
        <r>
          <rPr>
            <sz val="10"/>
            <color rgb="FF000000"/>
            <rFont val="Tahoma"/>
            <family val="2"/>
          </rPr>
          <t xml:space="preserve">
Source: Forbes NBA Team Valuations (Oct 2023, 2023–24 season), https://www.forbes.com/sites/mikeozanian/2023/10/26/the-most-valuable-nba-teams-2023/</t>
        </r>
      </text>
    </comment>
    <comment ref="J28" authorId="0" shapeId="0" xr:uid="{3D0427A1-7D6C-D244-88E3-702F981432C3}">
      <text>
        <r>
          <rPr>
            <b/>
            <sz val="10"/>
            <color rgb="FF000000"/>
            <rFont val="Tahoma"/>
            <family val="2"/>
          </rPr>
          <t>Keller, Zach:</t>
        </r>
        <r>
          <rPr>
            <sz val="10"/>
            <color rgb="FF000000"/>
            <rFont val="Tahoma"/>
            <family val="2"/>
          </rPr>
          <t xml:space="preserve">
Source: Forbes NBA Team Valuations (Oct 2024, 2024–25 season), https://www.forbes.com/sites/justinteitelbaum/2024/10/24/the-most-valuable-nba-teams-2024/</t>
        </r>
      </text>
    </comment>
    <comment ref="K28" authorId="0" shapeId="0" xr:uid="{7CC0C046-821A-6846-A232-A7F40DB8AA75}">
      <text>
        <r>
          <rPr>
            <b/>
            <sz val="10"/>
            <color rgb="FF000000"/>
            <rFont val="Tahoma"/>
            <family val="2"/>
          </rPr>
          <t>Keller, Zach:</t>
        </r>
        <r>
          <rPr>
            <sz val="10"/>
            <color rgb="FF000000"/>
            <rFont val="Tahoma"/>
            <family val="2"/>
          </rPr>
          <t xml:space="preserve">
Source: Forbes NBA Team Valuations (Oct 2025, 2025–26 season), https://www.forbes.com/sites/justinteitelbaum/2025/10/23/the-most-valuable-nba-teams-2025/</t>
        </r>
      </text>
    </comment>
    <comment ref="B29" authorId="0" shapeId="0" xr:uid="{39C439D4-31FC-5248-8E2F-18280D613936}">
      <text>
        <r>
          <rPr>
            <b/>
            <sz val="10"/>
            <color rgb="FF000000"/>
            <rFont val="Tahoma"/>
            <family val="2"/>
          </rPr>
          <t>Keller, Zach:</t>
        </r>
        <r>
          <rPr>
            <sz val="10"/>
            <color rgb="FF000000"/>
            <rFont val="Tahoma"/>
            <family val="2"/>
          </rPr>
          <t xml:space="preserve">
Source: Forbes team page, historical value for Forbes 2016 list (2016–17 season; Forbes rounds to nearest $0.1B on this page), https://www.forbes.com/teams/portland-trail-blazers/</t>
        </r>
      </text>
    </comment>
    <comment ref="C29" authorId="0" shapeId="0" xr:uid="{E90EEB20-3AB4-8A48-83D4-42A10D64CA10}">
      <text>
        <r>
          <rPr>
            <b/>
            <sz val="10"/>
            <color rgb="FF000000"/>
            <rFont val="Tahoma"/>
            <family val="2"/>
          </rPr>
          <t>Keller, Zach:</t>
        </r>
        <r>
          <rPr>
            <sz val="10"/>
            <color rgb="FF000000"/>
            <rFont val="Tahoma"/>
            <family val="2"/>
          </rPr>
          <t xml:space="preserve">
Source: Forbes team page, historical value for Forbes 2017 list (2017–18 season; Forbes rounds to nearest $0.1B on this page), https://www.forbes.com/teams/portland-trail-blazers/</t>
        </r>
      </text>
    </comment>
    <comment ref="D29" authorId="0" shapeId="0" xr:uid="{BABD531F-6DF3-3241-9AB9-4968306306A8}">
      <text>
        <r>
          <rPr>
            <b/>
            <sz val="10"/>
            <color rgb="FF000000"/>
            <rFont val="Tahoma"/>
            <family val="2"/>
          </rPr>
          <t>Keller, Zach:</t>
        </r>
        <r>
          <rPr>
            <sz val="10"/>
            <color rgb="FF000000"/>
            <rFont val="Tahoma"/>
            <family val="2"/>
          </rPr>
          <t xml:space="preserve">
Source: Forbes team page, historical value for Forbes 2018 list (2018–19 season; Forbes rounds to nearest $0.1B on this page), https://www.forbes.com/teams/portland-trail-blazers/</t>
        </r>
      </text>
    </comment>
    <comment ref="E29" authorId="0" shapeId="0" xr:uid="{64D0F65D-BA3F-6940-835C-1E5FD2028EF5}">
      <text>
        <r>
          <rPr>
            <b/>
            <sz val="10"/>
            <color rgb="FF000000"/>
            <rFont val="Tahoma"/>
            <family val="2"/>
          </rPr>
          <t>Keller, Zach:</t>
        </r>
        <r>
          <rPr>
            <sz val="10"/>
            <color rgb="FF000000"/>
            <rFont val="Tahoma"/>
            <family val="2"/>
          </rPr>
          <t xml:space="preserve">
Source: Forbes team page, historical value for Forbes 2019 list (2019–20 season; Forbes rounds to nearest $0.1B on this page), https://www.forbes.com/teams/portland-trail-blazers/</t>
        </r>
      </text>
    </comment>
    <comment ref="F29" authorId="0" shapeId="0" xr:uid="{499B43BF-2321-6247-BD71-1EA8CE66694D}">
      <text>
        <r>
          <rPr>
            <b/>
            <sz val="10"/>
            <color rgb="FF000000"/>
            <rFont val="Tahoma"/>
            <family val="2"/>
          </rPr>
          <t>Keller, Zach:</t>
        </r>
        <r>
          <rPr>
            <sz val="10"/>
            <color rgb="FF000000"/>
            <rFont val="Tahoma"/>
            <family val="2"/>
          </rPr>
          <t xml:space="preserve">
Source: Forbes NBA Team Valuations (Feb 2021, 2020–21 season), https://www.forbes.com/sites/kurtbadenhausen/2021/02/10/nba-team-values-2021-knicks-keep-top-spot-at-5-billion-warriors-bump-lakers-for-second-place/</t>
        </r>
      </text>
    </comment>
    <comment ref="G29" authorId="0" shapeId="0" xr:uid="{B6E3C264-FA0A-6D45-909D-541589701AA6}">
      <text>
        <r>
          <rPr>
            <b/>
            <sz val="10"/>
            <color rgb="FF000000"/>
            <rFont val="Tahoma"/>
            <family val="2"/>
          </rPr>
          <t>Keller, Zach:</t>
        </r>
        <r>
          <rPr>
            <sz val="10"/>
            <color rgb="FF000000"/>
            <rFont val="Tahoma"/>
            <family val="2"/>
          </rPr>
          <t xml:space="preserve">
Source: Forbes NBA Team Valuations (Oct 2021, 2021–22 season), https://www.forbes.com/sites/mikeozanian/2021/10/18/the-nbas-most-valuable-teams-2021-22-new-york-knicks-lead-a-trio-now-worth-over-5-billion-each/</t>
        </r>
      </text>
    </comment>
    <comment ref="H29" authorId="0" shapeId="0" xr:uid="{8185024C-A2C7-0648-820F-019311C0DEDE}">
      <text>
        <r>
          <rPr>
            <b/>
            <sz val="10"/>
            <color rgb="FF000000"/>
            <rFont val="Tahoma"/>
            <family val="2"/>
          </rPr>
          <t>Keller, Zach:</t>
        </r>
        <r>
          <rPr>
            <sz val="10"/>
            <color rgb="FF000000"/>
            <rFont val="Tahoma"/>
            <family val="2"/>
          </rPr>
          <t xml:space="preserve">
Source: Forbes NBA Team Valuations (Oct 2022, 2022–23 season), https://www.forbes.com/sites/mikeozanian/2022/10/27/nba-team-values-2022-for-the-first-time-in-two-decades-the-top-spot-goes-to-a-franchise-thats-not-the-knicks-or-lakers/</t>
        </r>
      </text>
    </comment>
    <comment ref="I29" authorId="0" shapeId="0" xr:uid="{73996616-9E6E-6E4C-8AAD-55B023723B4F}">
      <text>
        <r>
          <rPr>
            <b/>
            <sz val="10"/>
            <color rgb="FF000000"/>
            <rFont val="Tahoma"/>
            <family val="2"/>
          </rPr>
          <t>Keller, Zach:</t>
        </r>
        <r>
          <rPr>
            <sz val="10"/>
            <color rgb="FF000000"/>
            <rFont val="Tahoma"/>
            <family val="2"/>
          </rPr>
          <t xml:space="preserve">
Source: Forbes NBA Team Valuations (Oct 2023, 2023–24 season), https://www.forbes.com/sites/mikeozanian/2023/10/26/the-most-valuable-nba-teams-2023/</t>
        </r>
      </text>
    </comment>
    <comment ref="J29" authorId="0" shapeId="0" xr:uid="{8D748064-E8AC-074F-9888-3C116DDF6A13}">
      <text>
        <r>
          <rPr>
            <b/>
            <sz val="10"/>
            <color rgb="FF000000"/>
            <rFont val="Tahoma"/>
            <family val="2"/>
          </rPr>
          <t>Keller, Zach:</t>
        </r>
        <r>
          <rPr>
            <sz val="10"/>
            <color rgb="FF000000"/>
            <rFont val="Tahoma"/>
            <family val="2"/>
          </rPr>
          <t xml:space="preserve">
Source: Forbes NBA Team Valuations (Oct 2024, 2024–25 season), https://www.forbes.com/sites/justinteitelbaum/2024/10/24/the-most-valuable-nba-teams-2024/</t>
        </r>
      </text>
    </comment>
    <comment ref="K29" authorId="0" shapeId="0" xr:uid="{2CCC644C-0C3C-B54B-AF4E-3991BBB3DBE8}">
      <text>
        <r>
          <rPr>
            <b/>
            <sz val="10"/>
            <color rgb="FF000000"/>
            <rFont val="Tahoma"/>
            <family val="2"/>
          </rPr>
          <t>Keller, Zach:</t>
        </r>
        <r>
          <rPr>
            <sz val="10"/>
            <color rgb="FF000000"/>
            <rFont val="Tahoma"/>
            <family val="2"/>
          </rPr>
          <t xml:space="preserve">
Source: Forbes NBA Team Valuations (Oct 2025, 2025–26 season), https://www.forbes.com/sites/justinteitelbaum/2025/10/23/the-most-valuable-nba-teams-2025/</t>
        </r>
      </text>
    </comment>
    <comment ref="B30" authorId="0" shapeId="0" xr:uid="{85CBB105-B604-1146-B981-7582B0CDA5E0}">
      <text>
        <r>
          <rPr>
            <b/>
            <sz val="10"/>
            <color rgb="FF000000"/>
            <rFont val="Tahoma"/>
            <family val="2"/>
          </rPr>
          <t>Keller, Zach:</t>
        </r>
        <r>
          <rPr>
            <sz val="10"/>
            <color rgb="FF000000"/>
            <rFont val="Tahoma"/>
            <family val="2"/>
          </rPr>
          <t xml:space="preserve">
Source: Forbes team page, historical value for Forbes 2016 list (2016–17 season; Forbes rounds to nearest $0.1B on this page), https://www.forbes.com/teams/sacramento-kings/</t>
        </r>
      </text>
    </comment>
    <comment ref="C30" authorId="0" shapeId="0" xr:uid="{A3B450EF-6168-054C-935A-8C55CB79A74D}">
      <text>
        <r>
          <rPr>
            <b/>
            <sz val="10"/>
            <color rgb="FF000000"/>
            <rFont val="Tahoma"/>
            <family val="2"/>
          </rPr>
          <t>Keller, Zach:</t>
        </r>
        <r>
          <rPr>
            <sz val="10"/>
            <color rgb="FF000000"/>
            <rFont val="Tahoma"/>
            <family val="2"/>
          </rPr>
          <t xml:space="preserve">
Source: Forbes team page, historical value for Forbes 2017 list (2017–18 season; Forbes rounds to nearest $0.1B on this page), https://www.forbes.com/teams/sacramento-kings/</t>
        </r>
      </text>
    </comment>
    <comment ref="D30" authorId="0" shapeId="0" xr:uid="{1759897E-D1D3-A548-912E-782FF2921C0B}">
      <text>
        <r>
          <rPr>
            <b/>
            <sz val="10"/>
            <color rgb="FF000000"/>
            <rFont val="Tahoma"/>
            <family val="2"/>
          </rPr>
          <t>Keller, Zach:</t>
        </r>
        <r>
          <rPr>
            <sz val="10"/>
            <color rgb="FF000000"/>
            <rFont val="Tahoma"/>
            <family val="2"/>
          </rPr>
          <t xml:space="preserve">
Source: Forbes team page, historical value for Forbes 2018 list (2018–19 season; Forbes rounds to nearest $0.1B on this page), https://www.forbes.com/teams/sacramento-kings/</t>
        </r>
      </text>
    </comment>
    <comment ref="E30" authorId="0" shapeId="0" xr:uid="{CDD5E8EA-E02D-404E-B0B4-2E4A0F425107}">
      <text>
        <r>
          <rPr>
            <b/>
            <sz val="10"/>
            <color rgb="FF000000"/>
            <rFont val="Tahoma"/>
            <family val="2"/>
          </rPr>
          <t>Keller, Zach:</t>
        </r>
        <r>
          <rPr>
            <sz val="10"/>
            <color rgb="FF000000"/>
            <rFont val="Tahoma"/>
            <family val="2"/>
          </rPr>
          <t xml:space="preserve">
Source: Forbes team page, historical value for Forbes 2019 list (2019–20 season; Forbes rounds to nearest $0.1B on this page), https://www.forbes.com/teams/sacramento-kings/</t>
        </r>
      </text>
    </comment>
    <comment ref="F30" authorId="0" shapeId="0" xr:uid="{97EAFFA2-64B5-C94B-B284-76CB06CC9FDC}">
      <text>
        <r>
          <rPr>
            <b/>
            <sz val="10"/>
            <color rgb="FF000000"/>
            <rFont val="Tahoma"/>
            <family val="2"/>
          </rPr>
          <t>Keller, Zach:</t>
        </r>
        <r>
          <rPr>
            <sz val="10"/>
            <color rgb="FF000000"/>
            <rFont val="Tahoma"/>
            <family val="2"/>
          </rPr>
          <t xml:space="preserve">
Source: Forbes NBA Team Valuations (Feb 2021, 2020–21 season), https://www.forbes.com/sites/kurtbadenhausen/2021/02/10/nba-team-values-2021-knicks-keep-top-spot-at-5-billion-warriors-bump-lakers-for-second-place/</t>
        </r>
      </text>
    </comment>
    <comment ref="G30" authorId="0" shapeId="0" xr:uid="{46869546-3A94-114C-AAC6-147E9BC4968C}">
      <text>
        <r>
          <rPr>
            <b/>
            <sz val="10"/>
            <color rgb="FF000000"/>
            <rFont val="Tahoma"/>
            <family val="2"/>
          </rPr>
          <t>Keller, Zach:</t>
        </r>
        <r>
          <rPr>
            <sz val="10"/>
            <color rgb="FF000000"/>
            <rFont val="Tahoma"/>
            <family val="2"/>
          </rPr>
          <t xml:space="preserve">
Source: Forbes NBA Team Valuations (Oct 2021, 2021–22 season), https://www.forbes.com/sites/mikeozanian/2021/10/18/the-nbas-most-valuable-teams-2021-22-new-york-knicks-lead-a-trio-now-worth-over-5-billion-each/</t>
        </r>
      </text>
    </comment>
    <comment ref="H30" authorId="0" shapeId="0" xr:uid="{AF149ED7-EFAC-A341-97D5-4E2D5C40050B}">
      <text>
        <r>
          <rPr>
            <b/>
            <sz val="10"/>
            <color rgb="FF000000"/>
            <rFont val="Tahoma"/>
            <family val="2"/>
          </rPr>
          <t>Keller, Zach:</t>
        </r>
        <r>
          <rPr>
            <sz val="10"/>
            <color rgb="FF000000"/>
            <rFont val="Tahoma"/>
            <family val="2"/>
          </rPr>
          <t xml:space="preserve">
Source: Forbes NBA Team Valuations (Oct 2022, 2022–23 season), https://www.forbes.com/sites/mikeozanian/2022/10/27/nba-team-values-2022-for-the-first-time-in-two-decades-the-top-spot-goes-to-a-franchise-thats-not-the-knicks-or-lakers/</t>
        </r>
      </text>
    </comment>
    <comment ref="I30" authorId="0" shapeId="0" xr:uid="{3736098B-9A59-DF42-8CD9-5272217CBC29}">
      <text>
        <r>
          <rPr>
            <b/>
            <sz val="10"/>
            <color rgb="FF000000"/>
            <rFont val="Tahoma"/>
            <family val="2"/>
          </rPr>
          <t>Keller, Zach:</t>
        </r>
        <r>
          <rPr>
            <sz val="10"/>
            <color rgb="FF000000"/>
            <rFont val="Tahoma"/>
            <family val="2"/>
          </rPr>
          <t xml:space="preserve">
Source: Forbes NBA Team Valuations (Oct 2023, 2023–24 season), https://www.forbes.com/sites/mikeozanian/2023/10/26/the-most-valuable-nba-teams-2023/</t>
        </r>
      </text>
    </comment>
    <comment ref="J30" authorId="0" shapeId="0" xr:uid="{D797CF60-EF05-2847-85F0-466324EC93BE}">
      <text>
        <r>
          <rPr>
            <b/>
            <sz val="10"/>
            <color rgb="FF000000"/>
            <rFont val="Tahoma"/>
            <family val="2"/>
          </rPr>
          <t>Keller, Zach:</t>
        </r>
        <r>
          <rPr>
            <sz val="10"/>
            <color rgb="FF000000"/>
            <rFont val="Tahoma"/>
            <family val="2"/>
          </rPr>
          <t xml:space="preserve">
Source: Forbes NBA Team Valuations (Oct 2024, 2024–25 season), https://www.forbes.com/sites/justinteitelbaum/2024/10/24/the-most-valuable-nba-teams-2024/</t>
        </r>
      </text>
    </comment>
    <comment ref="K30" authorId="0" shapeId="0" xr:uid="{D7D3F79B-21A5-AB48-9348-7A70524322B3}">
      <text>
        <r>
          <rPr>
            <b/>
            <sz val="10"/>
            <color rgb="FF000000"/>
            <rFont val="Tahoma"/>
            <family val="2"/>
          </rPr>
          <t>Keller, Zach:</t>
        </r>
        <r>
          <rPr>
            <sz val="10"/>
            <color rgb="FF000000"/>
            <rFont val="Tahoma"/>
            <family val="2"/>
          </rPr>
          <t xml:space="preserve">
Source: Forbes NBA Team Valuations (Oct 2025, 2025–26 season), https://www.forbes.com/sites/justinteitelbaum/2025/10/23/the-most-valuable-nba-teams-2025/</t>
        </r>
      </text>
    </comment>
    <comment ref="B31" authorId="0" shapeId="0" xr:uid="{2643C554-EACE-8040-B15A-FF442393737E}">
      <text>
        <r>
          <rPr>
            <b/>
            <sz val="10"/>
            <color rgb="FF000000"/>
            <rFont val="Tahoma"/>
            <family val="2"/>
          </rPr>
          <t>Keller, Zach:</t>
        </r>
        <r>
          <rPr>
            <sz val="10"/>
            <color rgb="FF000000"/>
            <rFont val="Tahoma"/>
            <family val="2"/>
          </rPr>
          <t xml:space="preserve">
Source: Forbes team page, historical value for Forbes 2016 list (2016–17 season; Forbes rounds to nearest $0.1B on this page), https://www.forbes.com/teams/san-antonio-spurs/</t>
        </r>
      </text>
    </comment>
    <comment ref="C31" authorId="0" shapeId="0" xr:uid="{FD15685A-DDBB-1B4B-BA0E-009A45D73E1E}">
      <text>
        <r>
          <rPr>
            <b/>
            <sz val="10"/>
            <color rgb="FF000000"/>
            <rFont val="Tahoma"/>
            <family val="2"/>
          </rPr>
          <t>Keller, Zach:</t>
        </r>
        <r>
          <rPr>
            <sz val="10"/>
            <color rgb="FF000000"/>
            <rFont val="Tahoma"/>
            <family val="2"/>
          </rPr>
          <t xml:space="preserve">
Source: Forbes team page, historical value for Forbes 2017 list (2017–18 season; Forbes rounds to nearest $0.1B on this page), https://www.forbes.com/teams/san-antonio-spurs/</t>
        </r>
      </text>
    </comment>
    <comment ref="D31" authorId="0" shapeId="0" xr:uid="{FED0905E-56CA-B242-BE55-C0D3F0379FD6}">
      <text>
        <r>
          <rPr>
            <b/>
            <sz val="10"/>
            <color rgb="FF000000"/>
            <rFont val="Tahoma"/>
            <family val="2"/>
          </rPr>
          <t>Keller, Zach:</t>
        </r>
        <r>
          <rPr>
            <sz val="10"/>
            <color rgb="FF000000"/>
            <rFont val="Tahoma"/>
            <family val="2"/>
          </rPr>
          <t xml:space="preserve">
Source: Forbes team page, historical value for Forbes 2018 list (2018–19 season; Forbes rounds to nearest $0.1B on this page), https://www.forbes.com/teams/san-antonio-spurs/</t>
        </r>
      </text>
    </comment>
    <comment ref="E31" authorId="0" shapeId="0" xr:uid="{0D7FF235-FEB6-DF40-8A5F-1C62F1224FF8}">
      <text>
        <r>
          <rPr>
            <b/>
            <sz val="10"/>
            <color rgb="FF000000"/>
            <rFont val="Tahoma"/>
            <family val="2"/>
          </rPr>
          <t>Keller, Zach:</t>
        </r>
        <r>
          <rPr>
            <sz val="10"/>
            <color rgb="FF000000"/>
            <rFont val="Tahoma"/>
            <family val="2"/>
          </rPr>
          <t xml:space="preserve">
Source: Forbes team page, historical value for Forbes 2019 list (2019–20 season; Forbes rounds to nearest $0.1B on this page), https://www.forbes.com/teams/san-antonio-spurs/</t>
        </r>
      </text>
    </comment>
    <comment ref="F31" authorId="0" shapeId="0" xr:uid="{CFFD7C74-5045-0143-8F4A-2729E395B038}">
      <text>
        <r>
          <rPr>
            <b/>
            <sz val="10"/>
            <color rgb="FF000000"/>
            <rFont val="Tahoma"/>
            <family val="2"/>
          </rPr>
          <t>Keller, Zach:</t>
        </r>
        <r>
          <rPr>
            <sz val="10"/>
            <color rgb="FF000000"/>
            <rFont val="Tahoma"/>
            <family val="2"/>
          </rPr>
          <t xml:space="preserve">
Source: Forbes NBA Team Valuations (Feb 2021, 2020–21 season), https://www.forbes.com/sites/kurtbadenhausen/2021/02/10/nba-team-values-2021-knicks-keep-top-spot-at-5-billion-warriors-bump-lakers-for-second-place/</t>
        </r>
      </text>
    </comment>
    <comment ref="G31" authorId="0" shapeId="0" xr:uid="{CA354245-4275-AB4C-9571-3EDF2479C4D7}">
      <text>
        <r>
          <rPr>
            <b/>
            <sz val="10"/>
            <color rgb="FF000000"/>
            <rFont val="Tahoma"/>
            <family val="2"/>
          </rPr>
          <t>Keller, Zach:</t>
        </r>
        <r>
          <rPr>
            <sz val="10"/>
            <color rgb="FF000000"/>
            <rFont val="Tahoma"/>
            <family val="2"/>
          </rPr>
          <t xml:space="preserve">
Source: Forbes NBA Team Valuations (Oct 2021, 2021–22 season), https://www.forbes.com/sites/mikeozanian/2021/10/18/the-nbas-most-valuable-teams-2021-22-new-york-knicks-lead-a-trio-now-worth-over-5-billion-each/</t>
        </r>
      </text>
    </comment>
    <comment ref="H31" authorId="0" shapeId="0" xr:uid="{0190BA29-2E78-5648-8C41-6812705920E6}">
      <text>
        <r>
          <rPr>
            <b/>
            <sz val="10"/>
            <color rgb="FF000000"/>
            <rFont val="Tahoma"/>
            <family val="2"/>
          </rPr>
          <t>Keller, Zach:</t>
        </r>
        <r>
          <rPr>
            <sz val="10"/>
            <color rgb="FF000000"/>
            <rFont val="Tahoma"/>
            <family val="2"/>
          </rPr>
          <t xml:space="preserve">
Source: Forbes NBA Team Valuations (Oct 2022, 2022–23 season), https://www.forbes.com/sites/mikeozanian/2022/10/27/nba-team-values-2022-for-the-first-time-in-two-decades-the-top-spot-goes-to-a-franchise-thats-not-the-knicks-or-lakers/</t>
        </r>
      </text>
    </comment>
    <comment ref="I31" authorId="0" shapeId="0" xr:uid="{E42B1626-0F93-8E48-9D4B-BC9EB447347E}">
      <text>
        <r>
          <rPr>
            <b/>
            <sz val="10"/>
            <color rgb="FF000000"/>
            <rFont val="Tahoma"/>
            <family val="2"/>
          </rPr>
          <t>Keller, Zach:</t>
        </r>
        <r>
          <rPr>
            <sz val="10"/>
            <color rgb="FF000000"/>
            <rFont val="Tahoma"/>
            <family val="2"/>
          </rPr>
          <t xml:space="preserve">
Source: Forbes NBA Team Valuations (Oct 2023, 2023–24 season), https://www.forbes.com/sites/mikeozanian/2023/10/26/the-most-valuable-nba-teams-2023/</t>
        </r>
      </text>
    </comment>
    <comment ref="J31" authorId="0" shapeId="0" xr:uid="{87D46E43-828B-CD41-B141-25FA8D9DF540}">
      <text>
        <r>
          <rPr>
            <b/>
            <sz val="10"/>
            <color rgb="FF000000"/>
            <rFont val="Tahoma"/>
            <family val="2"/>
          </rPr>
          <t>Keller, Zach:</t>
        </r>
        <r>
          <rPr>
            <sz val="10"/>
            <color rgb="FF000000"/>
            <rFont val="Tahoma"/>
            <family val="2"/>
          </rPr>
          <t xml:space="preserve">
Source: Forbes NBA Team Valuations (Oct 2024, 2024–25 season), https://www.forbes.com/sites/justinteitelbaum/2024/10/24/the-most-valuable-nba-teams-2024/</t>
        </r>
      </text>
    </comment>
    <comment ref="K31" authorId="0" shapeId="0" xr:uid="{106721F8-B0C6-6D44-BDD8-3175F53E5127}">
      <text>
        <r>
          <rPr>
            <b/>
            <sz val="10"/>
            <color rgb="FF000000"/>
            <rFont val="Tahoma"/>
            <family val="2"/>
          </rPr>
          <t>Keller, Zach:</t>
        </r>
        <r>
          <rPr>
            <sz val="10"/>
            <color rgb="FF000000"/>
            <rFont val="Tahoma"/>
            <family val="2"/>
          </rPr>
          <t xml:space="preserve">
Source: Forbes NBA Team Valuations (Oct 2025, 2025–26 season), https://www.forbes.com/sites/justinteitelbaum/2025/10/23/the-most-valuable-nba-teams-2025/</t>
        </r>
      </text>
    </comment>
    <comment ref="B32" authorId="0" shapeId="0" xr:uid="{1C9D41DF-5330-0C45-A7D2-26BBD3946F58}">
      <text>
        <r>
          <rPr>
            <b/>
            <sz val="10"/>
            <color rgb="FF000000"/>
            <rFont val="Tahoma"/>
            <family val="2"/>
          </rPr>
          <t>Keller, Zach:</t>
        </r>
        <r>
          <rPr>
            <sz val="10"/>
            <color rgb="FF000000"/>
            <rFont val="Tahoma"/>
            <family val="2"/>
          </rPr>
          <t xml:space="preserve">
Source: Forbes team page, historical value for Forbes 2016 list (2016–17 season; Forbes rounds to nearest $0.1B on this page), https://www.forbes.com/teams/toronto-raptors/</t>
        </r>
      </text>
    </comment>
    <comment ref="C32" authorId="0" shapeId="0" xr:uid="{A158701B-3B3B-9645-ABC3-BA5101C02F8E}">
      <text>
        <r>
          <rPr>
            <b/>
            <sz val="10"/>
            <color rgb="FF000000"/>
            <rFont val="Tahoma"/>
            <family val="2"/>
          </rPr>
          <t>Keller, Zach:</t>
        </r>
        <r>
          <rPr>
            <sz val="10"/>
            <color rgb="FF000000"/>
            <rFont val="Tahoma"/>
            <family val="2"/>
          </rPr>
          <t xml:space="preserve">
Source: Forbes team page, historical value for Forbes 2017 list (2017–18 season; Forbes rounds to nearest $0.1B on this page), https://www.forbes.com/teams/toronto-raptors/</t>
        </r>
      </text>
    </comment>
    <comment ref="D32" authorId="0" shapeId="0" xr:uid="{C5BCC258-D7FC-0A40-A242-B8821550CABE}">
      <text>
        <r>
          <rPr>
            <b/>
            <sz val="10"/>
            <color rgb="FF000000"/>
            <rFont val="Tahoma"/>
            <family val="2"/>
          </rPr>
          <t>Keller, Zach:</t>
        </r>
        <r>
          <rPr>
            <sz val="10"/>
            <color rgb="FF000000"/>
            <rFont val="Tahoma"/>
            <family val="2"/>
          </rPr>
          <t xml:space="preserve">
Source: Forbes team page, historical value for Forbes 2018 list (2018–19 season; Forbes rounds to nearest $0.1B on this page), https://www.forbes.com/teams/toronto-raptors/</t>
        </r>
      </text>
    </comment>
    <comment ref="E32" authorId="0" shapeId="0" xr:uid="{B8FFA02C-3F28-A14C-AD1E-950AB0CFB675}">
      <text>
        <r>
          <rPr>
            <b/>
            <sz val="10"/>
            <color rgb="FF000000"/>
            <rFont val="Tahoma"/>
            <family val="2"/>
          </rPr>
          <t>Keller, Zach:</t>
        </r>
        <r>
          <rPr>
            <sz val="10"/>
            <color rgb="FF000000"/>
            <rFont val="Tahoma"/>
            <family val="2"/>
          </rPr>
          <t xml:space="preserve">
Source: Forbes team page, historical value for Forbes 2019 list (2019–20 season; Forbes rounds to nearest $0.1B on this page), https://www.forbes.com/teams/toronto-raptors/</t>
        </r>
      </text>
    </comment>
    <comment ref="F32" authorId="0" shapeId="0" xr:uid="{CC782427-516E-064A-B7CC-F1EBA469AA59}">
      <text>
        <r>
          <rPr>
            <b/>
            <sz val="10"/>
            <color rgb="FF000000"/>
            <rFont val="Tahoma"/>
            <family val="2"/>
          </rPr>
          <t>Keller, Zach:</t>
        </r>
        <r>
          <rPr>
            <sz val="10"/>
            <color rgb="FF000000"/>
            <rFont val="Tahoma"/>
            <family val="2"/>
          </rPr>
          <t xml:space="preserve">
Source: Forbes NBA Team Valuations (Feb 2021, 2020–21 season), https://www.forbes.com/sites/kurtbadenhausen/2021/02/10/nba-team-values-2021-knicks-keep-top-spot-at-5-billion-warriors-bump-lakers-for-second-place/</t>
        </r>
      </text>
    </comment>
    <comment ref="G32" authorId="0" shapeId="0" xr:uid="{A8F63796-6F3F-6049-8D5E-8907D1FD3376}">
      <text>
        <r>
          <rPr>
            <b/>
            <sz val="10"/>
            <color rgb="FF000000"/>
            <rFont val="Tahoma"/>
            <family val="2"/>
          </rPr>
          <t>Keller, Zach:</t>
        </r>
        <r>
          <rPr>
            <sz val="10"/>
            <color rgb="FF000000"/>
            <rFont val="Tahoma"/>
            <family val="2"/>
          </rPr>
          <t xml:space="preserve">
Source: Forbes NBA Team Valuations (Oct 2021, 2021–22 season), https://www.forbes.com/sites/mikeozanian/2021/10/18/the-nbas-most-valuable-teams-2021-22-new-york-knicks-lead-a-trio-now-worth-over-5-billion-each/</t>
        </r>
      </text>
    </comment>
    <comment ref="H32" authorId="0" shapeId="0" xr:uid="{5DE0C6CA-8DC0-9041-BE1B-8B40BB5F6A0E}">
      <text>
        <r>
          <rPr>
            <b/>
            <sz val="10"/>
            <color rgb="FF000000"/>
            <rFont val="Tahoma"/>
            <family val="2"/>
          </rPr>
          <t>Keller, Zach:</t>
        </r>
        <r>
          <rPr>
            <sz val="10"/>
            <color rgb="FF000000"/>
            <rFont val="Tahoma"/>
            <family val="2"/>
          </rPr>
          <t xml:space="preserve">
Source: Forbes NBA Team Valuations (Oct 2022, 2022–23 season), https://www.forbes.com/sites/mikeozanian/2022/10/27/nba-team-values-2022-for-the-first-time-in-two-decades-the-top-spot-goes-to-a-franchise-thats-not-the-knicks-or-lakers/</t>
        </r>
      </text>
    </comment>
    <comment ref="I32" authorId="0" shapeId="0" xr:uid="{6EDC07E9-FD5C-9A4D-B43E-C259018E5A53}">
      <text>
        <r>
          <rPr>
            <b/>
            <sz val="10"/>
            <color rgb="FF000000"/>
            <rFont val="Tahoma"/>
            <family val="2"/>
          </rPr>
          <t>Keller, Zach:</t>
        </r>
        <r>
          <rPr>
            <sz val="10"/>
            <color rgb="FF000000"/>
            <rFont val="Tahoma"/>
            <family val="2"/>
          </rPr>
          <t xml:space="preserve">
Source: Forbes NBA Team Valuations (Oct 2023, 2023–24 season), https://www.forbes.com/sites/mikeozanian/2023/10/26/the-most-valuable-nba-teams-2023/</t>
        </r>
      </text>
    </comment>
    <comment ref="J32" authorId="0" shapeId="0" xr:uid="{BE0F7DC3-A627-CE40-9091-954FEC1553AD}">
      <text>
        <r>
          <rPr>
            <b/>
            <sz val="10"/>
            <color rgb="FF000000"/>
            <rFont val="Tahoma"/>
            <family val="2"/>
          </rPr>
          <t>Keller, Zach:</t>
        </r>
        <r>
          <rPr>
            <sz val="10"/>
            <color rgb="FF000000"/>
            <rFont val="Tahoma"/>
            <family val="2"/>
          </rPr>
          <t xml:space="preserve">
Source: Forbes NBA Team Valuations (Oct 2024, 2024–25 season), https://www.forbes.com/sites/justinteitelbaum/2024/10/24/the-most-valuable-nba-teams-2024/</t>
        </r>
      </text>
    </comment>
    <comment ref="K32" authorId="0" shapeId="0" xr:uid="{1E1FDA3B-A56B-E246-8C08-2F2A4C29597F}">
      <text>
        <r>
          <rPr>
            <b/>
            <sz val="10"/>
            <color rgb="FF000000"/>
            <rFont val="Tahoma"/>
            <family val="2"/>
          </rPr>
          <t>Keller, Zach:</t>
        </r>
        <r>
          <rPr>
            <sz val="10"/>
            <color rgb="FF000000"/>
            <rFont val="Tahoma"/>
            <family val="2"/>
          </rPr>
          <t xml:space="preserve">
Source: Forbes NBA Team Valuations (Oct 2025, 2025–26 season), https://www.forbes.com/sites/justinteitelbaum/2025/10/23/the-most-valuable-nba-teams-2025/</t>
        </r>
      </text>
    </comment>
    <comment ref="B33" authorId="0" shapeId="0" xr:uid="{F40A8FB4-B60F-DE4D-AB63-8D0B8F2F15A2}">
      <text>
        <r>
          <rPr>
            <b/>
            <sz val="10"/>
            <color rgb="FF000000"/>
            <rFont val="Tahoma"/>
            <family val="2"/>
          </rPr>
          <t>Keller, Zach:</t>
        </r>
        <r>
          <rPr>
            <sz val="10"/>
            <color rgb="FF000000"/>
            <rFont val="Tahoma"/>
            <family val="2"/>
          </rPr>
          <t xml:space="preserve">
Source: Forbes team page, historical value for Forbes 2016 list (2016–17 season; Forbes rounds to nearest $0.1B on this page), https://www.forbes.com/teams/utah-jazz/</t>
        </r>
      </text>
    </comment>
    <comment ref="C33" authorId="0" shapeId="0" xr:uid="{0A48F067-8076-1742-ADC2-2CE3E9DF2914}">
      <text>
        <r>
          <rPr>
            <b/>
            <sz val="10"/>
            <color rgb="FF000000"/>
            <rFont val="Tahoma"/>
            <family val="2"/>
          </rPr>
          <t>Keller, Zach:</t>
        </r>
        <r>
          <rPr>
            <sz val="10"/>
            <color rgb="FF000000"/>
            <rFont val="Tahoma"/>
            <family val="2"/>
          </rPr>
          <t xml:space="preserve">
Source: Forbes team page, historical value for Forbes 2017 list (2017–18 season; Forbes rounds to nearest $0.1B on this page), https://www.forbes.com/teams/utah-jazz/</t>
        </r>
      </text>
    </comment>
    <comment ref="D33" authorId="0" shapeId="0" xr:uid="{7A1279A2-A366-2E44-A46A-108184E62F40}">
      <text>
        <r>
          <rPr>
            <b/>
            <sz val="10"/>
            <color rgb="FF000000"/>
            <rFont val="Tahoma"/>
            <family val="2"/>
          </rPr>
          <t>Keller, Zach:</t>
        </r>
        <r>
          <rPr>
            <sz val="10"/>
            <color rgb="FF000000"/>
            <rFont val="Tahoma"/>
            <family val="2"/>
          </rPr>
          <t xml:space="preserve">
Source: Forbes team page, historical value for Forbes 2018 list (2018–19 season; Forbes rounds to nearest $0.1B on this page), https://www.forbes.com/teams/utah-jazz/</t>
        </r>
      </text>
    </comment>
    <comment ref="E33" authorId="0" shapeId="0" xr:uid="{E40F22CD-CA1B-6C4A-9EA4-5F939145AE28}">
      <text>
        <r>
          <rPr>
            <b/>
            <sz val="10"/>
            <color rgb="FF000000"/>
            <rFont val="Tahoma"/>
            <family val="2"/>
          </rPr>
          <t>Keller, Zach:</t>
        </r>
        <r>
          <rPr>
            <sz val="10"/>
            <color rgb="FF000000"/>
            <rFont val="Tahoma"/>
            <family val="2"/>
          </rPr>
          <t xml:space="preserve">
Source: Forbes team page, historical value for Forbes 2019 list (2019–20 season; Forbes rounds to nearest $0.1B on this page), https://www.forbes.com/teams/utah-jazz/</t>
        </r>
      </text>
    </comment>
    <comment ref="F33" authorId="0" shapeId="0" xr:uid="{0320FE18-D1FB-7D4E-B284-28E55DF0F258}">
      <text>
        <r>
          <rPr>
            <b/>
            <sz val="10"/>
            <color rgb="FF000000"/>
            <rFont val="Tahoma"/>
            <family val="2"/>
          </rPr>
          <t>Keller, Zach:</t>
        </r>
        <r>
          <rPr>
            <sz val="10"/>
            <color rgb="FF000000"/>
            <rFont val="Tahoma"/>
            <family val="2"/>
          </rPr>
          <t xml:space="preserve">
Source: Forbes NBA Team Valuations (Feb 2021, 2020–21 season), https://www.forbes.com/sites/kurtbadenhausen/2021/02/10/nba-team-values-2021-knicks-keep-top-spot-at-5-billion-warriors-bump-lakers-for-second-place/</t>
        </r>
      </text>
    </comment>
    <comment ref="G33" authorId="0" shapeId="0" xr:uid="{52EFFA6D-2460-1B41-B787-F15B44FE802B}">
      <text>
        <r>
          <rPr>
            <b/>
            <sz val="10"/>
            <color rgb="FF000000"/>
            <rFont val="Tahoma"/>
            <family val="2"/>
          </rPr>
          <t>Keller, Zach:</t>
        </r>
        <r>
          <rPr>
            <sz val="10"/>
            <color rgb="FF000000"/>
            <rFont val="Tahoma"/>
            <family val="2"/>
          </rPr>
          <t xml:space="preserve">
Source: Forbes NBA Team Valuations (Oct 2021, 2021–22 season), https://www.forbes.com/sites/mikeozanian/2021/10/18/the-nbas-most-valuable-teams-2021-22-new-york-knicks-lead-a-trio-now-worth-over-5-billion-each/</t>
        </r>
      </text>
    </comment>
    <comment ref="H33" authorId="0" shapeId="0" xr:uid="{2D67EE5B-BF79-974F-85AC-BA26A2DE1279}">
      <text>
        <r>
          <rPr>
            <b/>
            <sz val="10"/>
            <color rgb="FF000000"/>
            <rFont val="Tahoma"/>
            <family val="2"/>
          </rPr>
          <t>Keller, Zach:</t>
        </r>
        <r>
          <rPr>
            <sz val="10"/>
            <color rgb="FF000000"/>
            <rFont val="Tahoma"/>
            <family val="2"/>
          </rPr>
          <t xml:space="preserve">
Source: Forbes NBA Team Valuations (Oct 2022, 2022–23 season), https://www.forbes.com/sites/mikeozanian/2022/10/27/nba-team-values-2022-for-the-first-time-in-two-decades-the-top-spot-goes-to-a-franchise-thats-not-the-knicks-or-lakers/</t>
        </r>
      </text>
    </comment>
    <comment ref="I33" authorId="0" shapeId="0" xr:uid="{A015AB14-506A-2A4C-8B66-628C73D4E03E}">
      <text>
        <r>
          <rPr>
            <b/>
            <sz val="10"/>
            <color rgb="FF000000"/>
            <rFont val="Tahoma"/>
            <family val="2"/>
          </rPr>
          <t>Keller, Zach:</t>
        </r>
        <r>
          <rPr>
            <sz val="10"/>
            <color rgb="FF000000"/>
            <rFont val="Tahoma"/>
            <family val="2"/>
          </rPr>
          <t xml:space="preserve">
Source: Forbes NBA Team Valuations (Oct 2023, 2023–24 season), https://www.forbes.com/sites/mikeozanian/2023/10/26/the-most-valuable-nba-teams-2023/</t>
        </r>
      </text>
    </comment>
    <comment ref="J33" authorId="0" shapeId="0" xr:uid="{579B06C8-66C7-C447-8CF6-9FBECC40EDFE}">
      <text>
        <r>
          <rPr>
            <b/>
            <sz val="10"/>
            <color rgb="FF000000"/>
            <rFont val="Tahoma"/>
            <family val="2"/>
          </rPr>
          <t>Keller, Zach:</t>
        </r>
        <r>
          <rPr>
            <sz val="10"/>
            <color rgb="FF000000"/>
            <rFont val="Tahoma"/>
            <family val="2"/>
          </rPr>
          <t xml:space="preserve">
Source: Forbes NBA Team Valuations (Oct 2024, 2024–25 season), https://www.forbes.com/sites/justinteitelbaum/2024/10/24/the-most-valuable-nba-teams-2024/</t>
        </r>
      </text>
    </comment>
    <comment ref="K33" authorId="0" shapeId="0" xr:uid="{364C602A-41F9-BA46-8CE4-C1D9FF8B510B}">
      <text>
        <r>
          <rPr>
            <b/>
            <sz val="10"/>
            <color rgb="FF000000"/>
            <rFont val="Tahoma"/>
            <family val="2"/>
          </rPr>
          <t>Keller, Zach:</t>
        </r>
        <r>
          <rPr>
            <sz val="10"/>
            <color rgb="FF000000"/>
            <rFont val="Tahoma"/>
            <family val="2"/>
          </rPr>
          <t xml:space="preserve">
Source: Forbes NBA Team Valuations (Oct 2025, 2025–26 season), https://www.forbes.com/sites/justinteitelbaum/2025/10/23/the-most-valuable-nba-teams-2025/</t>
        </r>
      </text>
    </comment>
    <comment ref="B34" authorId="0" shapeId="0" xr:uid="{61311DD6-19D3-8648-9FF5-8A29D09FF59E}">
      <text>
        <r>
          <rPr>
            <b/>
            <sz val="10"/>
            <color rgb="FF000000"/>
            <rFont val="Tahoma"/>
            <family val="2"/>
          </rPr>
          <t>Keller, Zach:</t>
        </r>
        <r>
          <rPr>
            <sz val="10"/>
            <color rgb="FF000000"/>
            <rFont val="Tahoma"/>
            <family val="2"/>
          </rPr>
          <t xml:space="preserve">
Source: Forbes team page, historical value for Forbes 2016 list (2016–17 season; Forbes rounds to nearest $0.1B on this page), https://www.forbes.com/teams/washington-wizards/</t>
        </r>
      </text>
    </comment>
    <comment ref="C34" authorId="0" shapeId="0" xr:uid="{3F8BE46F-7FE0-7D47-8AF2-7040A09B32AF}">
      <text>
        <r>
          <rPr>
            <b/>
            <sz val="10"/>
            <color rgb="FF000000"/>
            <rFont val="Tahoma"/>
            <family val="2"/>
          </rPr>
          <t>Keller, Zach:</t>
        </r>
        <r>
          <rPr>
            <sz val="10"/>
            <color rgb="FF000000"/>
            <rFont val="Tahoma"/>
            <family val="2"/>
          </rPr>
          <t xml:space="preserve">
Source: Forbes team page, historical value for Forbes 2017 list (2017–18 season; Forbes rounds to nearest $0.1B on this page), https://www.forbes.com/teams/washington-wizards/</t>
        </r>
      </text>
    </comment>
    <comment ref="D34" authorId="0" shapeId="0" xr:uid="{10E4CB82-87B0-6844-9B83-89569B026365}">
      <text>
        <r>
          <rPr>
            <b/>
            <sz val="10"/>
            <color rgb="FF000000"/>
            <rFont val="Tahoma"/>
            <family val="2"/>
          </rPr>
          <t>Keller, Zach:</t>
        </r>
        <r>
          <rPr>
            <sz val="10"/>
            <color rgb="FF000000"/>
            <rFont val="Tahoma"/>
            <family val="2"/>
          </rPr>
          <t xml:space="preserve">
Source: Forbes team page, historical value for Forbes 2018 list (2018–19 season; Forbes rounds to nearest $0.1B on this page), https://www.forbes.com/teams/washington-wizards/</t>
        </r>
      </text>
    </comment>
    <comment ref="E34" authorId="0" shapeId="0" xr:uid="{6A2B5E5E-94B9-6646-83D7-F94F0D842274}">
      <text>
        <r>
          <rPr>
            <b/>
            <sz val="10"/>
            <color rgb="FF000000"/>
            <rFont val="Tahoma"/>
            <family val="2"/>
          </rPr>
          <t>Keller, Zach:</t>
        </r>
        <r>
          <rPr>
            <sz val="10"/>
            <color rgb="FF000000"/>
            <rFont val="Tahoma"/>
            <family val="2"/>
          </rPr>
          <t xml:space="preserve">
Source: Forbes team page, historical value for Forbes 2019 list (2019–20 season; Forbes rounds to nearest $0.1B on this page), https://www.forbes.com/teams/washington-wizards/</t>
        </r>
      </text>
    </comment>
    <comment ref="F34" authorId="0" shapeId="0" xr:uid="{148C10A3-EF7B-A642-AEBC-94A63FA2A920}">
      <text>
        <r>
          <rPr>
            <b/>
            <sz val="10"/>
            <color rgb="FF000000"/>
            <rFont val="Tahoma"/>
            <family val="2"/>
          </rPr>
          <t>Keller, Zach:</t>
        </r>
        <r>
          <rPr>
            <sz val="10"/>
            <color rgb="FF000000"/>
            <rFont val="Tahoma"/>
            <family val="2"/>
          </rPr>
          <t xml:space="preserve">
Source: Forbes NBA Team Valuations (Feb 2021, 2020–21 season), https://www.forbes.com/sites/kurtbadenhausen/2021/02/10/nba-team-values-2021-knicks-keep-top-spot-at-5-billion-warriors-bump-lakers-for-second-place/</t>
        </r>
      </text>
    </comment>
    <comment ref="G34" authorId="0" shapeId="0" xr:uid="{74B7F7FE-1321-A44B-864E-22425DBBE3CF}">
      <text>
        <r>
          <rPr>
            <b/>
            <sz val="10"/>
            <color rgb="FF000000"/>
            <rFont val="Tahoma"/>
            <family val="2"/>
          </rPr>
          <t>Keller, Zach:</t>
        </r>
        <r>
          <rPr>
            <sz val="10"/>
            <color rgb="FF000000"/>
            <rFont val="Tahoma"/>
            <family val="2"/>
          </rPr>
          <t xml:space="preserve">
Source: Forbes NBA Team Valuations (Oct 2021, 2021–22 season), https://www.forbes.com/sites/mikeozanian/2021/10/18/the-nbas-most-valuable-teams-2021-22-new-york-knicks-lead-a-trio-now-worth-over-5-billion-each/</t>
        </r>
      </text>
    </comment>
    <comment ref="H34" authorId="0" shapeId="0" xr:uid="{92EECB9B-D1BF-254D-B53C-13237EAD5892}">
      <text>
        <r>
          <rPr>
            <b/>
            <sz val="10"/>
            <color rgb="FF000000"/>
            <rFont val="Tahoma"/>
            <family val="2"/>
          </rPr>
          <t>Keller, Zach:</t>
        </r>
        <r>
          <rPr>
            <sz val="10"/>
            <color rgb="FF000000"/>
            <rFont val="Tahoma"/>
            <family val="2"/>
          </rPr>
          <t xml:space="preserve">
Source: Forbes NBA Team Valuations (Oct 2022, 2022–23 season), https://www.forbes.com/sites/mikeozanian/2022/10/27/nba-team-values-2022-for-the-first-time-in-two-decades-the-top-spot-goes-to-a-franchise-thats-not-the-knicks-or-lakers/</t>
        </r>
      </text>
    </comment>
    <comment ref="I34" authorId="0" shapeId="0" xr:uid="{C16B2A5B-1BAE-0D49-B1DF-6B2AFCAEE780}">
      <text>
        <r>
          <rPr>
            <b/>
            <sz val="10"/>
            <color rgb="FF000000"/>
            <rFont val="Tahoma"/>
            <family val="2"/>
          </rPr>
          <t>Keller, Zach:</t>
        </r>
        <r>
          <rPr>
            <sz val="10"/>
            <color rgb="FF000000"/>
            <rFont val="Tahoma"/>
            <family val="2"/>
          </rPr>
          <t xml:space="preserve">
Source: Forbes NBA Team Valuations (Oct 2023, 2023–24 season), https://www.forbes.com/sites/mikeozanian/2023/10/26/the-most-valuable-nba-teams-2023/</t>
        </r>
      </text>
    </comment>
    <comment ref="J34" authorId="0" shapeId="0" xr:uid="{6443BECB-3EE5-E94A-A0EF-F35DACE90A5E}">
      <text>
        <r>
          <rPr>
            <b/>
            <sz val="10"/>
            <color rgb="FF000000"/>
            <rFont val="Tahoma"/>
            <family val="2"/>
          </rPr>
          <t>Keller, Zach:</t>
        </r>
        <r>
          <rPr>
            <sz val="10"/>
            <color rgb="FF000000"/>
            <rFont val="Tahoma"/>
            <family val="2"/>
          </rPr>
          <t xml:space="preserve">
Source: Forbes NBA Team Valuations (Oct 2024, 2024–25 season), https://www.forbes.com/sites/justinteitelbaum/2024/10/24/the-most-valuable-nba-teams-2024/</t>
        </r>
      </text>
    </comment>
    <comment ref="K34" authorId="0" shapeId="0" xr:uid="{369D44DC-3BC3-4A4A-B14A-9F98ADB8677A}">
      <text>
        <r>
          <rPr>
            <b/>
            <sz val="10"/>
            <color rgb="FF000000"/>
            <rFont val="Tahoma"/>
            <family val="2"/>
          </rPr>
          <t>Keller, Zach:</t>
        </r>
        <r>
          <rPr>
            <sz val="10"/>
            <color rgb="FF000000"/>
            <rFont val="Tahoma"/>
            <family val="2"/>
          </rPr>
          <t xml:space="preserve">
Source: Forbes NBA Team Valuations (Oct 2025, 2025–26 season), https://www.forbes.com/sites/justinteitelbaum/2025/10/23/the-most-valuable-nba-teams-2025/</t>
        </r>
      </text>
    </comment>
    <comment ref="B50" authorId="0" shapeId="0" xr:uid="{F7D21EE8-9F6D-5043-A3A4-8B4D54842B0B}">
      <text>
        <r>
          <rPr>
            <b/>
            <sz val="10"/>
            <color rgb="FF000000"/>
            <rFont val="Tahoma"/>
            <family val="2"/>
          </rPr>
          <t>Keller, Zach:</t>
        </r>
        <r>
          <rPr>
            <sz val="10"/>
            <color rgb="FF000000"/>
            <rFont val="Tahoma"/>
            <family val="2"/>
          </rPr>
          <t xml:space="preserve">
Source: Boston Globe / Associated Press, https://www.bostonglobe.com/2023/02/06/sports/nba-approves-sale-phoenix-suns-mercury-mat-ishbia-4-billion/</t>
        </r>
      </text>
    </comment>
    <comment ref="C50" authorId="0" shapeId="0" xr:uid="{0B63D92A-D6AB-0744-B671-9E017B65FB93}">
      <text>
        <r>
          <rPr>
            <b/>
            <sz val="10"/>
            <color rgb="FF000000"/>
            <rFont val="Tahoma"/>
            <family val="2"/>
          </rPr>
          <t>Keller, Zach:</t>
        </r>
        <r>
          <rPr>
            <sz val="10"/>
            <color rgb="FF000000"/>
            <rFont val="Tahoma"/>
            <family val="2"/>
          </rPr>
          <t xml:space="preserve">
Source: Boston Globe / Associated Press, https://www.bostonglobe.com/2023/02/06/sports/nba-approves-sale-phoenix-suns-mercury-mat-ishbia-4-billion/
Valuation covers the Suns and the WNBA's Phoenix Mercury together.</t>
        </r>
      </text>
    </comment>
    <comment ref="B51" authorId="0" shapeId="0" xr:uid="{7FF6A70F-F6B0-204A-8E69-5B081BA1B73A}">
      <text>
        <r>
          <rPr>
            <b/>
            <sz val="10"/>
            <color rgb="FF000000"/>
            <rFont val="Tahoma"/>
            <family val="2"/>
          </rPr>
          <t>Keller, Zach:</t>
        </r>
        <r>
          <rPr>
            <sz val="10"/>
            <color rgb="FF000000"/>
            <rFont val="Tahoma"/>
            <family val="2"/>
          </rPr>
          <t xml:space="preserve">
Source: ESPN, https://www.espn.com/espn/print?id=35746705</t>
        </r>
      </text>
    </comment>
    <comment ref="C51" authorId="0" shapeId="0" xr:uid="{B70B6AEB-5342-F54D-80E6-80F9527F7ECA}">
      <text>
        <r>
          <rPr>
            <b/>
            <sz val="10"/>
            <color rgb="FF000000"/>
            <rFont val="Tahoma"/>
            <family val="2"/>
          </rPr>
          <t>Keller, Zach:</t>
        </r>
        <r>
          <rPr>
            <sz val="10"/>
            <color rgb="FF000000"/>
            <rFont val="Tahoma"/>
            <family val="2"/>
          </rPr>
          <t xml:space="preserve">
Source: ESPN, https://www.espn.com/espn/print?id=35746705
Not a control sale: Lasry's 25% co-owner stake; Wes Edens kept control. No Bucks control sale since 2023 was found.</t>
        </r>
      </text>
    </comment>
    <comment ref="B52" authorId="0" shapeId="0" xr:uid="{9D66F314-7CF4-8147-9E03-BDAE78DFE340}">
      <text>
        <r>
          <rPr>
            <b/>
            <sz val="10"/>
            <color rgb="FF000000"/>
            <rFont val="Tahoma"/>
            <family val="2"/>
          </rPr>
          <t>Keller, Zach:</t>
        </r>
        <r>
          <rPr>
            <sz val="10"/>
            <color rgb="FF000000"/>
            <rFont val="Tahoma"/>
            <family val="2"/>
          </rPr>
          <t xml:space="preserve">
Source: CBS News Chicago / CBS Sports, https://www.cbsnews.com/chicago/news/michael-jordan-sale-charlotte-hornets/</t>
        </r>
      </text>
    </comment>
    <comment ref="C52" authorId="0" shapeId="0" xr:uid="{FA99A5F3-7D46-894D-8909-A7A3BAA87D88}">
      <text>
        <r>
          <rPr>
            <b/>
            <sz val="10"/>
            <color rgb="FF000000"/>
            <rFont val="Tahoma"/>
            <family val="2"/>
          </rPr>
          <t>Keller, Zach:</t>
        </r>
        <r>
          <rPr>
            <sz val="10"/>
            <color rgb="FF000000"/>
            <rFont val="Tahoma"/>
            <family val="2"/>
          </rPr>
          <t xml:space="preserve">
Source: CBS News Chicago / CBS Sports, https://www.cbsnews.com/chicago/news/michael-jordan-sale-charlotte-hornets/
Reported as a valuation of approximately $3 billion. Jordan kept a minority stake.</t>
        </r>
      </text>
    </comment>
    <comment ref="B53" authorId="0" shapeId="0" xr:uid="{DA6F07B0-FA6B-F14F-9795-289B59FD3520}">
      <text>
        <r>
          <rPr>
            <b/>
            <sz val="10"/>
            <color rgb="FF000000"/>
            <rFont val="Tahoma"/>
            <family val="2"/>
          </rPr>
          <t>Keller, Zach:</t>
        </r>
        <r>
          <rPr>
            <sz val="10"/>
            <color rgb="FF000000"/>
            <rFont val="Tahoma"/>
            <family val="2"/>
          </rPr>
          <t xml:space="preserve">
Source: CBS News Texas / Associated Press, https://www.cbsnews.com/texas/news/nba-approves-sale-dallas-mavericks-las-vegas-sands-miriam-adelson/</t>
        </r>
      </text>
    </comment>
    <comment ref="C53" authorId="0" shapeId="0" xr:uid="{C477AC6A-65CE-3D4E-B13D-2D71662AC3FB}">
      <text>
        <r>
          <rPr>
            <b/>
            <sz val="10"/>
            <color rgb="FF000000"/>
            <rFont val="Tahoma"/>
            <family val="2"/>
          </rPr>
          <t>Keller, Zach:</t>
        </r>
        <r>
          <rPr>
            <sz val="10"/>
            <color rgb="FF000000"/>
            <rFont val="Tahoma"/>
            <family val="2"/>
          </rPr>
          <t xml:space="preserve">
Source: CBS News Texas / Associated Press, https://www.cbsnews.com/texas/news/nba-approves-sale-dallas-mavericks-las-vegas-sands-miriam-adelson/
Reported as 'in the valuation range of $3.5 billion'. Cuban kept a minority stake.</t>
        </r>
      </text>
    </comment>
    <comment ref="B54" authorId="0" shapeId="0" xr:uid="{BE375E09-AD15-2446-B0CE-E0A655E34D8F}">
      <text>
        <r>
          <rPr>
            <b/>
            <sz val="10"/>
            <color rgb="FF000000"/>
            <rFont val="Tahoma"/>
            <family val="2"/>
          </rPr>
          <t>Keller, Zach:</t>
        </r>
        <r>
          <rPr>
            <sz val="10"/>
            <color rgb="FF000000"/>
            <rFont val="Tahoma"/>
            <family val="2"/>
          </rPr>
          <t xml:space="preserve">
Source: ABC7, https://abc7.com/16783698/</t>
        </r>
      </text>
    </comment>
    <comment ref="C54" authorId="0" shapeId="0" xr:uid="{3F5F423F-7CA2-2542-A9FF-509472397177}">
      <text>
        <r>
          <rPr>
            <b/>
            <sz val="10"/>
            <color rgb="FF000000"/>
            <rFont val="Tahoma"/>
            <family val="2"/>
          </rPr>
          <t>Keller, Zach:</t>
        </r>
        <r>
          <rPr>
            <sz val="10"/>
            <color rgb="FF000000"/>
            <rFont val="Tahoma"/>
            <family val="2"/>
          </rPr>
          <t xml:space="preserve">
Source: ABC7, https://abc7.com/16783698/
Valuation provided by user; source per user.</t>
        </r>
      </text>
    </comment>
    <comment ref="B55" authorId="0" shapeId="0" xr:uid="{FF4D0CA8-ED39-1647-AD6E-496B8BB51854}">
      <text>
        <r>
          <rPr>
            <b/>
            <sz val="10"/>
            <color rgb="FF000000"/>
            <rFont val="Tahoma"/>
            <family val="2"/>
          </rPr>
          <t>Keller, Zach:</t>
        </r>
        <r>
          <rPr>
            <sz val="10"/>
            <color rgb="FF000000"/>
            <rFont val="Tahoma"/>
            <family val="2"/>
          </rPr>
          <t xml:space="preserve">
Agreement date: Glen Taylor and the Lore/Rodriguez group announced a formal agreement on May 14, 2021 (after an Apr 10, 2021 letter of intent), at $1.5 billion, structured as staged purchases. Source: CBS Sports, May 14 2021, https://www.cbssports.com/nba/news/alex-rodriguezs-ownership-group-reaches-agreement-to-buy-timberwolves-lynx-for-1-5-billion
Taylor tried to end the deal in March 2024; an arbitration panel ruled for Lore/Rodriguez in Feb 2025 and Taylor agreed not to appeal, at the same 2021 price. Source: ESPN, https://www.espn.com/nba/story/_/id/44504541/sources-rodriguez-lore-own-timberwolves-standoff
Final NBA Board of Governors approval: June 2025. Source: ESPN, https://www.espn.com/nba/story/_/id/45577217</t>
        </r>
      </text>
    </comment>
    <comment ref="C55" authorId="0" shapeId="0" xr:uid="{8109C680-5F85-794C-9144-01C3438D1F84}">
      <text>
        <r>
          <rPr>
            <b/>
            <sz val="10"/>
            <color rgb="FF000000"/>
            <rFont val="Tahoma"/>
            <family val="2"/>
          </rPr>
          <t>Keller, Zach:</t>
        </r>
        <r>
          <rPr>
            <sz val="10"/>
            <color rgb="FF000000"/>
            <rFont val="Tahoma"/>
            <family val="2"/>
          </rPr>
          <t xml:space="preserve">
$1.5 billion = valuation set in the May 2021 agreement and kept at the 2025 closing. Sources: CBS Sports, https://www.cbssports.com/nba/news/alex-rodriguezs-ownership-group-reaches-agreement-to-buy-timberwolves-lynx-for-1-5-billion ; ESPN, https://www.espn.com/nba/story/_/id/44504541/sources-rodriguez-lore-own-timberwolves-standoff . Note: this price predates the Oct 2023 Forbes re-valuation, so it is not comparable to the 2023–2025 sale prices above.</t>
        </r>
      </text>
    </comment>
    <comment ref="B56" authorId="0" shapeId="0" xr:uid="{34E028D7-3675-2A4E-8E25-C559E37FEBCD}">
      <text>
        <r>
          <rPr>
            <b/>
            <sz val="10"/>
            <color rgb="FF000000"/>
            <rFont val="Tahoma"/>
            <family val="2"/>
          </rPr>
          <t>Keller, Zach:</t>
        </r>
        <r>
          <rPr>
            <sz val="10"/>
            <color rgb="FF000000"/>
            <rFont val="Tahoma"/>
            <family val="2"/>
          </rPr>
          <t xml:space="preserve">
Source: ESPN, https://www.espn.com/nba/story/_/id/45969002/nba-approves-celtics-sale-record-61-billion-valuation</t>
        </r>
      </text>
    </comment>
    <comment ref="C56" authorId="0" shapeId="0" xr:uid="{9B18B937-E69A-7546-BE4E-F018E38922C2}">
      <text>
        <r>
          <rPr>
            <b/>
            <sz val="10"/>
            <color rgb="FF000000"/>
            <rFont val="Tahoma"/>
            <family val="2"/>
          </rPr>
          <t>Keller, Zach:</t>
        </r>
        <r>
          <rPr>
            <sz val="10"/>
            <color rgb="FF000000"/>
            <rFont val="Tahoma"/>
            <family val="2"/>
          </rPr>
          <t xml:space="preserve">
Source: ESPN, https://www.espn.com/nba/story/_/id/45969002/nba-approves-celtics-sale-record-61-billion-valuation
At least 51% at close, with full control by 2028 at a price that could take the total value to $7.3 billion.</t>
        </r>
      </text>
    </comment>
    <comment ref="B57" authorId="0" shapeId="0" xr:uid="{BD15B130-87D7-E14B-ACE2-ADFBCC5ED348}">
      <text>
        <r>
          <rPr>
            <b/>
            <sz val="10"/>
            <color rgb="FF000000"/>
            <rFont val="Tahoma"/>
            <family val="2"/>
          </rPr>
          <t>Keller, Zach:</t>
        </r>
        <r>
          <rPr>
            <sz val="10"/>
            <color rgb="FF000000"/>
            <rFont val="Tahoma"/>
            <family val="2"/>
          </rPr>
          <t xml:space="preserve">
Source: Reuters (via WTVB), https://wtvbam.com/2026/03/30/nba-approves-sale-of-trail-blazers-to-tom-dundon-led-group/</t>
        </r>
      </text>
    </comment>
    <comment ref="C57" authorId="0" shapeId="0" xr:uid="{09862B9D-B298-7A48-B29C-1F71357B1A0F}">
      <text>
        <r>
          <rPr>
            <b/>
            <sz val="10"/>
            <color rgb="FF000000"/>
            <rFont val="Tahoma"/>
            <family val="2"/>
          </rPr>
          <t>Keller, Zach:</t>
        </r>
        <r>
          <rPr>
            <sz val="10"/>
            <color rgb="FF000000"/>
            <rFont val="Tahoma"/>
            <family val="2"/>
          </rPr>
          <t xml:space="preserve">
Source: Reuters (via WTVB), https://wtvbam.com/2026/03/30/nba-approves-sale-of-trail-blazers-to-tom-dundon-led-group/
Approximately $4.25 billion blended: 80.1% bought by Mar 31, 2026; remaining 19.9% to close by Sept 1, 2028.</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Keller, Zach</author>
  </authors>
  <commentList>
    <comment ref="B5" authorId="0" shapeId="0" xr:uid="{3B6C4818-3AFA-8C4C-8B13-0ED5120A8422}">
      <text>
        <r>
          <rPr>
            <b/>
            <sz val="10"/>
            <color rgb="FF000000"/>
            <rFont val="Tahoma"/>
            <family val="2"/>
          </rPr>
          <t>Keller, Zach:</t>
        </r>
        <r>
          <rPr>
            <sz val="10"/>
            <color rgb="FF000000"/>
            <rFont val="Tahoma"/>
            <family val="2"/>
          </rPr>
          <t xml:space="preserve">
Source: Forbes team page, historical revenue for Forbes 2016 list (Feb 2017 list; 2015–16 season, net of revenue sharing and arena debt service), https://www.forbes.com/teams/atlanta-hawks/</t>
        </r>
      </text>
    </comment>
    <comment ref="C5" authorId="0" shapeId="0" xr:uid="{F6AC052E-AB30-724C-894D-2BC7CFC9030C}">
      <text>
        <r>
          <rPr>
            <b/>
            <sz val="10"/>
            <color rgb="FF000000"/>
            <rFont val="Tahoma"/>
            <family val="2"/>
          </rPr>
          <t>Keller, Zach:</t>
        </r>
        <r>
          <rPr>
            <sz val="10"/>
            <color rgb="FF000000"/>
            <rFont val="Tahoma"/>
            <family val="2"/>
          </rPr>
          <t xml:space="preserve">
Source: Forbes team page, historical revenue for Forbes 2017 list (Feb 2018 list; 2016–17 season, net of revenue sharing and arena debt service), https://www.forbes.com/teams/atlanta-hawks/</t>
        </r>
      </text>
    </comment>
    <comment ref="D5" authorId="0" shapeId="0" xr:uid="{13FDF1EE-B36B-2243-B992-76376DBA21F5}">
      <text>
        <r>
          <rPr>
            <b/>
            <sz val="10"/>
            <color rgb="FF000000"/>
            <rFont val="Tahoma"/>
            <family val="2"/>
          </rPr>
          <t>Keller, Zach:</t>
        </r>
        <r>
          <rPr>
            <sz val="10"/>
            <color rgb="FF000000"/>
            <rFont val="Tahoma"/>
            <family val="2"/>
          </rPr>
          <t xml:space="preserve">
Source: Forbes team page, historical revenue for Forbes 2018 list (Feb 2019 list; 2017–18 season, net of revenue sharing and arena debt service), https://www.forbes.com/teams/atlanta-hawks/</t>
        </r>
      </text>
    </comment>
    <comment ref="E5" authorId="0" shapeId="0" xr:uid="{CE5B3A67-AE7D-0C42-96B6-33354ACB50C4}">
      <text>
        <r>
          <rPr>
            <b/>
            <sz val="10"/>
            <color rgb="FF000000"/>
            <rFont val="Tahoma"/>
            <family val="2"/>
          </rPr>
          <t>Keller, Zach:</t>
        </r>
        <r>
          <rPr>
            <sz val="10"/>
            <color rgb="FF000000"/>
            <rFont val="Tahoma"/>
            <family val="2"/>
          </rPr>
          <t xml:space="preserve">
Source: Forbes team page, historical revenue for Forbes 2019 list (Feb 2020 list; 2018–19 season, net of revenue sharing and arena debt service), https://www.forbes.com/teams/atlanta-hawks/</t>
        </r>
      </text>
    </comment>
    <comment ref="F5" authorId="0" shapeId="0" xr:uid="{777502A2-BCD6-7F4D-9997-89ECF50BF19B}">
      <text>
        <r>
          <rPr>
            <b/>
            <sz val="10"/>
            <color rgb="FF000000"/>
            <rFont val="Tahoma"/>
            <family val="2"/>
          </rPr>
          <t>Keller, Zach:</t>
        </r>
        <r>
          <rPr>
            <sz val="10"/>
            <color rgb="FF000000"/>
            <rFont val="Tahoma"/>
            <family val="2"/>
          </rPr>
          <t xml:space="preserve">
Source: Forbes team page, historical revenue for Forbes 2020 list (Feb 2021 list; 2019–20 season, net of revenue sharing and arena debt service), https://www.forbes.com/teams/atlanta-hawks/</t>
        </r>
      </text>
    </comment>
    <comment ref="G5" authorId="0" shapeId="0" xr:uid="{0620B19B-0279-554F-AB8C-195185CDAB97}">
      <text>
        <r>
          <rPr>
            <b/>
            <sz val="10"/>
            <color rgb="FF000000"/>
            <rFont val="Tahoma"/>
            <family val="2"/>
          </rPr>
          <t>Keller, Zach:</t>
        </r>
        <r>
          <rPr>
            <sz val="10"/>
            <color rgb="FF000000"/>
            <rFont val="Tahoma"/>
            <family val="2"/>
          </rPr>
          <t xml:space="preserve">
Source: Forbes team page, historical revenue for Forbes 2021 list (Oct 2021 list; 2020–21 season, net of revenue sharing and arena debt service), https://www.forbes.com/teams/atlanta-hawks/</t>
        </r>
      </text>
    </comment>
    <comment ref="H5" authorId="0" shapeId="0" xr:uid="{88B2AFC5-1436-6743-A5EA-D8A1E1AC7218}">
      <text>
        <r>
          <rPr>
            <b/>
            <sz val="10"/>
            <color rgb="FF000000"/>
            <rFont val="Tahoma"/>
            <family val="2"/>
          </rPr>
          <t>Keller, Zach:</t>
        </r>
        <r>
          <rPr>
            <sz val="10"/>
            <color rgb="FF000000"/>
            <rFont val="Tahoma"/>
            <family val="2"/>
          </rPr>
          <t xml:space="preserve">
Source: Forbes team page, historical revenue for Forbes 2022 list (Oct 2022 list; 2021–22 season, net of revenue sharing and arena debt service), https://www.forbes.com/teams/atlanta-hawks/</t>
        </r>
      </text>
    </comment>
    <comment ref="I5" authorId="0" shapeId="0" xr:uid="{57DCAC4F-AE5A-DD47-9344-EE436D230612}">
      <text>
        <r>
          <rPr>
            <b/>
            <sz val="10"/>
            <color rgb="FF000000"/>
            <rFont val="Tahoma"/>
            <family val="2"/>
          </rPr>
          <t>Keller, Zach:</t>
        </r>
        <r>
          <rPr>
            <sz val="10"/>
            <color rgb="FF000000"/>
            <rFont val="Tahoma"/>
            <family val="2"/>
          </rPr>
          <t xml:space="preserve">
Source: Forbes team page, historical revenue for Forbes 2023 list (Oct 2023 list; 2022–23 season, net of revenue sharing and arena debt service), https://www.forbes.com/teams/atlanta-hawks/</t>
        </r>
      </text>
    </comment>
    <comment ref="J5" authorId="0" shapeId="0" xr:uid="{EFDAD540-C34A-A94D-9B83-800FF724908C}">
      <text>
        <r>
          <rPr>
            <b/>
            <sz val="10"/>
            <color rgb="FF000000"/>
            <rFont val="Tahoma"/>
            <family val="2"/>
          </rPr>
          <t>Keller, Zach:</t>
        </r>
        <r>
          <rPr>
            <sz val="10"/>
            <color rgb="FF000000"/>
            <rFont val="Tahoma"/>
            <family val="2"/>
          </rPr>
          <t xml:space="preserve">
Source: Forbes team page, historical revenue for Forbes 2024 list (Oct 2024 list; 2023–24 season, net of revenue sharing and arena debt service), https://www.forbes.com/teams/atlanta-hawks/</t>
        </r>
      </text>
    </comment>
    <comment ref="K5" authorId="0" shapeId="0" xr:uid="{6E195C42-2632-1D48-B53B-50851B26888A}">
      <text>
        <r>
          <rPr>
            <b/>
            <sz val="10"/>
            <color rgb="FF000000"/>
            <rFont val="Tahoma"/>
            <family val="2"/>
          </rPr>
          <t>Keller, Zach:</t>
        </r>
        <r>
          <rPr>
            <sz val="10"/>
            <color rgb="FF000000"/>
            <rFont val="Tahoma"/>
            <family val="2"/>
          </rPr>
          <t xml:space="preserve">
Source: Forbes, The Most Valuable NBA Teams 2025 list article (Oct 2025; 2024–25 revenue, net of revenue sharing and arena debt service), https://www.forbes.com/sites/justinteitelbaum/2025/10/23/the-most-valuable-nba-teams-2025/</t>
        </r>
      </text>
    </comment>
    <comment ref="B6" authorId="0" shapeId="0" xr:uid="{4BA70F28-893D-A54C-B4C2-9BD74E287A99}">
      <text>
        <r>
          <rPr>
            <b/>
            <sz val="10"/>
            <color rgb="FF000000"/>
            <rFont val="Tahoma"/>
            <family val="2"/>
          </rPr>
          <t>Keller, Zach:</t>
        </r>
        <r>
          <rPr>
            <sz val="10"/>
            <color rgb="FF000000"/>
            <rFont val="Tahoma"/>
            <family val="2"/>
          </rPr>
          <t xml:space="preserve">
Source: Forbes team page, historical revenue for Forbes 2016 list (Feb 2017 list; 2015–16 season, net of revenue sharing and arena debt service), https://www.forbes.com/teams/boston-celtics/</t>
        </r>
      </text>
    </comment>
    <comment ref="C6" authorId="0" shapeId="0" xr:uid="{93848D53-93F6-FB41-88DD-2C6841C379E8}">
      <text>
        <r>
          <rPr>
            <b/>
            <sz val="10"/>
            <color rgb="FF000000"/>
            <rFont val="Tahoma"/>
            <family val="2"/>
          </rPr>
          <t>Keller, Zach:</t>
        </r>
        <r>
          <rPr>
            <sz val="10"/>
            <color rgb="FF000000"/>
            <rFont val="Tahoma"/>
            <family val="2"/>
          </rPr>
          <t xml:space="preserve">
Source: Forbes team page, historical revenue for Forbes 2017 list (Feb 2018 list; 2016–17 season, net of revenue sharing and arena debt service), https://www.forbes.com/teams/boston-celtics/</t>
        </r>
      </text>
    </comment>
    <comment ref="D6" authorId="0" shapeId="0" xr:uid="{943DED94-5024-9B4E-933E-4D99DF36CF32}">
      <text>
        <r>
          <rPr>
            <b/>
            <sz val="10"/>
            <color rgb="FF000000"/>
            <rFont val="Tahoma"/>
            <family val="2"/>
          </rPr>
          <t>Keller, Zach:</t>
        </r>
        <r>
          <rPr>
            <sz val="10"/>
            <color rgb="FF000000"/>
            <rFont val="Tahoma"/>
            <family val="2"/>
          </rPr>
          <t xml:space="preserve">
Source: Forbes team page, historical revenue for Forbes 2018 list (Feb 2019 list; 2017–18 season, net of revenue sharing and arena debt service), https://www.forbes.com/teams/boston-celtics/</t>
        </r>
      </text>
    </comment>
    <comment ref="E6" authorId="0" shapeId="0" xr:uid="{2C4158F3-2899-3B4B-83BD-8F9CFB3F79F2}">
      <text>
        <r>
          <rPr>
            <b/>
            <sz val="10"/>
            <color rgb="FF000000"/>
            <rFont val="Tahoma"/>
            <family val="2"/>
          </rPr>
          <t>Keller, Zach:</t>
        </r>
        <r>
          <rPr>
            <sz val="10"/>
            <color rgb="FF000000"/>
            <rFont val="Tahoma"/>
            <family val="2"/>
          </rPr>
          <t xml:space="preserve">
Source: Forbes team page, historical revenue for Forbes 2019 list (Feb 2020 list; 2018–19 season, net of revenue sharing and arena debt service), https://www.forbes.com/teams/boston-celtics/</t>
        </r>
      </text>
    </comment>
    <comment ref="F6" authorId="0" shapeId="0" xr:uid="{3703CF0C-95A9-B644-9783-C428FEB6AED5}">
      <text>
        <r>
          <rPr>
            <b/>
            <sz val="10"/>
            <color rgb="FF000000"/>
            <rFont val="Tahoma"/>
            <family val="2"/>
          </rPr>
          <t>Keller, Zach:</t>
        </r>
        <r>
          <rPr>
            <sz val="10"/>
            <color rgb="FF000000"/>
            <rFont val="Tahoma"/>
            <family val="2"/>
          </rPr>
          <t xml:space="preserve">
Source: Forbes team page, historical revenue for Forbes 2020 list (Feb 2021 list; 2019–20 season, net of revenue sharing and arena debt service), https://www.forbes.com/teams/boston-celtics/</t>
        </r>
      </text>
    </comment>
    <comment ref="G6" authorId="0" shapeId="0" xr:uid="{B6FB97B4-A800-A142-935A-697F607AD005}">
      <text>
        <r>
          <rPr>
            <b/>
            <sz val="10"/>
            <color rgb="FF000000"/>
            <rFont val="Tahoma"/>
            <family val="2"/>
          </rPr>
          <t>Keller, Zach:</t>
        </r>
        <r>
          <rPr>
            <sz val="10"/>
            <color rgb="FF000000"/>
            <rFont val="Tahoma"/>
            <family val="2"/>
          </rPr>
          <t xml:space="preserve">
Source: Forbes team page, historical revenue for Forbes 2021 list (Oct 2021 list; 2020–21 season, net of revenue sharing and arena debt service), https://www.forbes.com/teams/boston-celtics/</t>
        </r>
      </text>
    </comment>
    <comment ref="H6" authorId="0" shapeId="0" xr:uid="{6B5672D2-067E-3B4D-B160-83995373039A}">
      <text>
        <r>
          <rPr>
            <b/>
            <sz val="10"/>
            <color rgb="FF000000"/>
            <rFont val="Tahoma"/>
            <family val="2"/>
          </rPr>
          <t>Keller, Zach:</t>
        </r>
        <r>
          <rPr>
            <sz val="10"/>
            <color rgb="FF000000"/>
            <rFont val="Tahoma"/>
            <family val="2"/>
          </rPr>
          <t xml:space="preserve">
Source: Forbes team page, historical revenue for Forbes 2022 list (Oct 2022 list; 2021–22 season, net of revenue sharing and arena debt service), https://www.forbes.com/teams/boston-celtics/</t>
        </r>
      </text>
    </comment>
    <comment ref="I6" authorId="0" shapeId="0" xr:uid="{15D3BA4C-0460-7341-A40C-B1AB331CE55A}">
      <text>
        <r>
          <rPr>
            <b/>
            <sz val="10"/>
            <color rgb="FF000000"/>
            <rFont val="Tahoma"/>
            <family val="2"/>
          </rPr>
          <t>Keller, Zach:</t>
        </r>
        <r>
          <rPr>
            <sz val="10"/>
            <color rgb="FF000000"/>
            <rFont val="Tahoma"/>
            <family val="2"/>
          </rPr>
          <t xml:space="preserve">
Source: Forbes team page, historical revenue for Forbes 2023 list (Oct 2023 list; 2022–23 season, net of revenue sharing and arena debt service), https://www.forbes.com/teams/boston-celtics/</t>
        </r>
      </text>
    </comment>
    <comment ref="J6" authorId="0" shapeId="0" xr:uid="{A4378F7E-3873-1D4F-BD97-AC34FDE9C577}">
      <text>
        <r>
          <rPr>
            <b/>
            <sz val="10"/>
            <color rgb="FF000000"/>
            <rFont val="Tahoma"/>
            <family val="2"/>
          </rPr>
          <t>Keller, Zach:</t>
        </r>
        <r>
          <rPr>
            <sz val="10"/>
            <color rgb="FF000000"/>
            <rFont val="Tahoma"/>
            <family val="2"/>
          </rPr>
          <t xml:space="preserve">
Source: Forbes team page, historical revenue for Forbes 2024 list (Oct 2024 list; 2023–24 season, net of revenue sharing and arena debt service), https://www.forbes.com/teams/boston-celtics/</t>
        </r>
      </text>
    </comment>
    <comment ref="K6" authorId="0" shapeId="0" xr:uid="{52BE26D4-B296-DD42-A3A9-DB735B6E58F3}">
      <text>
        <r>
          <rPr>
            <b/>
            <sz val="10"/>
            <color rgb="FF000000"/>
            <rFont val="Tahoma"/>
            <family val="2"/>
          </rPr>
          <t>Keller, Zach:</t>
        </r>
        <r>
          <rPr>
            <sz val="10"/>
            <color rgb="FF000000"/>
            <rFont val="Tahoma"/>
            <family val="2"/>
          </rPr>
          <t xml:space="preserve">
Source: Forbes, The Most Valuable NBA Teams 2025 list article (Oct 2025; 2024–25 revenue, net of revenue sharing and arena debt service), https://www.forbes.com/sites/justinteitelbaum/2025/10/23/the-most-valuable-nba-teams-2025/</t>
        </r>
      </text>
    </comment>
    <comment ref="B7" authorId="0" shapeId="0" xr:uid="{11E2019F-FE51-0A4E-BD81-46A3F008D739}">
      <text>
        <r>
          <rPr>
            <b/>
            <sz val="10"/>
            <color rgb="FF000000"/>
            <rFont val="Tahoma"/>
            <family val="2"/>
          </rPr>
          <t>Keller, Zach:</t>
        </r>
        <r>
          <rPr>
            <sz val="10"/>
            <color rgb="FF000000"/>
            <rFont val="Tahoma"/>
            <family val="2"/>
          </rPr>
          <t xml:space="preserve">
Source: Forbes team page, historical revenue for Forbes 2016 list (Feb 2017 list; 2015–16 season, net of revenue sharing and arena debt service), https://www.forbes.com/teams/brooklyn-nets/</t>
        </r>
      </text>
    </comment>
    <comment ref="C7" authorId="0" shapeId="0" xr:uid="{AB54B934-AFA5-2D42-9F13-3080178A78D9}">
      <text>
        <r>
          <rPr>
            <b/>
            <sz val="10"/>
            <color rgb="FF000000"/>
            <rFont val="Tahoma"/>
            <family val="2"/>
          </rPr>
          <t>Keller, Zach:</t>
        </r>
        <r>
          <rPr>
            <sz val="10"/>
            <color rgb="FF000000"/>
            <rFont val="Tahoma"/>
            <family val="2"/>
          </rPr>
          <t xml:space="preserve">
Source: Forbes team page, historical revenue for Forbes 2017 list (Feb 2018 list; 2016–17 season, net of revenue sharing and arena debt service), https://www.forbes.com/teams/brooklyn-nets/</t>
        </r>
      </text>
    </comment>
    <comment ref="D7" authorId="0" shapeId="0" xr:uid="{EB99A2A8-6414-2C4E-A10E-E1682BB11BF3}">
      <text>
        <r>
          <rPr>
            <b/>
            <sz val="10"/>
            <color rgb="FF000000"/>
            <rFont val="Tahoma"/>
            <family val="2"/>
          </rPr>
          <t>Keller, Zach:</t>
        </r>
        <r>
          <rPr>
            <sz val="10"/>
            <color rgb="FF000000"/>
            <rFont val="Tahoma"/>
            <family val="2"/>
          </rPr>
          <t xml:space="preserve">
Source: Forbes team page, historical revenue for Forbes 2018 list (Feb 2019 list; 2017–18 season, net of revenue sharing and arena debt service), https://www.forbes.com/teams/brooklyn-nets/</t>
        </r>
      </text>
    </comment>
    <comment ref="E7" authorId="0" shapeId="0" xr:uid="{133E9E8A-2792-8E40-A351-8F12CD564AFB}">
      <text>
        <r>
          <rPr>
            <b/>
            <sz val="10"/>
            <color rgb="FF000000"/>
            <rFont val="Tahoma"/>
            <family val="2"/>
          </rPr>
          <t>Keller, Zach:</t>
        </r>
        <r>
          <rPr>
            <sz val="10"/>
            <color rgb="FF000000"/>
            <rFont val="Tahoma"/>
            <family val="2"/>
          </rPr>
          <t xml:space="preserve">
Source: Forbes team page, historical revenue for Forbes 2019 list (Feb 2020 list; 2018–19 season, net of revenue sharing and arena debt service), https://www.forbes.com/teams/brooklyn-nets/</t>
        </r>
      </text>
    </comment>
    <comment ref="F7" authorId="0" shapeId="0" xr:uid="{AAA9C2A6-1C8E-1F44-8194-B3FC7C2F5EBD}">
      <text>
        <r>
          <rPr>
            <b/>
            <sz val="10"/>
            <color rgb="FF000000"/>
            <rFont val="Tahoma"/>
            <family val="2"/>
          </rPr>
          <t>Keller, Zach:</t>
        </r>
        <r>
          <rPr>
            <sz val="10"/>
            <color rgb="FF000000"/>
            <rFont val="Tahoma"/>
            <family val="2"/>
          </rPr>
          <t xml:space="preserve">
Source: Forbes team page, historical revenue for Forbes 2020 list (Feb 2021 list; 2019–20 season, net of revenue sharing and arena debt service), https://www.forbes.com/teams/brooklyn-nets/</t>
        </r>
      </text>
    </comment>
    <comment ref="G7" authorId="0" shapeId="0" xr:uid="{EA7CEC97-AA5D-D342-9CAA-D2824616F489}">
      <text>
        <r>
          <rPr>
            <b/>
            <sz val="10"/>
            <color rgb="FF000000"/>
            <rFont val="Tahoma"/>
            <family val="2"/>
          </rPr>
          <t>Keller, Zach:</t>
        </r>
        <r>
          <rPr>
            <sz val="10"/>
            <color rgb="FF000000"/>
            <rFont val="Tahoma"/>
            <family val="2"/>
          </rPr>
          <t xml:space="preserve">
Source: Forbes team page, historical revenue for Forbes 2021 list (Oct 2021 list; 2020–21 season, net of revenue sharing and arena debt service), https://www.forbes.com/teams/brooklyn-nets/</t>
        </r>
      </text>
    </comment>
    <comment ref="H7" authorId="0" shapeId="0" xr:uid="{E1079F36-049E-2D41-950E-12D218E0BA77}">
      <text>
        <r>
          <rPr>
            <b/>
            <sz val="10"/>
            <color rgb="FF000000"/>
            <rFont val="Tahoma"/>
            <family val="2"/>
          </rPr>
          <t>Keller, Zach:</t>
        </r>
        <r>
          <rPr>
            <sz val="10"/>
            <color rgb="FF000000"/>
            <rFont val="Tahoma"/>
            <family val="2"/>
          </rPr>
          <t xml:space="preserve">
Source: Forbes team page, historical revenue for Forbes 2022 list (Oct 2022 list; 2021–22 season, net of revenue sharing and arena debt service), https://www.forbes.com/teams/brooklyn-nets/</t>
        </r>
      </text>
    </comment>
    <comment ref="I7" authorId="0" shapeId="0" xr:uid="{67252047-B315-B74E-9D4A-B8FBAB78AAE2}">
      <text>
        <r>
          <rPr>
            <b/>
            <sz val="10"/>
            <color rgb="FF000000"/>
            <rFont val="Tahoma"/>
            <family val="2"/>
          </rPr>
          <t>Keller, Zach:</t>
        </r>
        <r>
          <rPr>
            <sz val="10"/>
            <color rgb="FF000000"/>
            <rFont val="Tahoma"/>
            <family val="2"/>
          </rPr>
          <t xml:space="preserve">
Source: Forbes team page, historical revenue for Forbes 2023 list (Oct 2023 list; 2022–23 season, net of revenue sharing and arena debt service), https://www.forbes.com/teams/brooklyn-nets/</t>
        </r>
      </text>
    </comment>
    <comment ref="J7" authorId="0" shapeId="0" xr:uid="{EC25468E-F633-C742-BE90-4C654788FBA4}">
      <text>
        <r>
          <rPr>
            <b/>
            <sz val="10"/>
            <color rgb="FF000000"/>
            <rFont val="Tahoma"/>
            <family val="2"/>
          </rPr>
          <t>Keller, Zach:</t>
        </r>
        <r>
          <rPr>
            <sz val="10"/>
            <color rgb="FF000000"/>
            <rFont val="Tahoma"/>
            <family val="2"/>
          </rPr>
          <t xml:space="preserve">
Source: Forbes team page, historical revenue for Forbes 2024 list (Oct 2024 list; 2023–24 season, net of revenue sharing and arena debt service), https://www.forbes.com/teams/brooklyn-nets/</t>
        </r>
      </text>
    </comment>
    <comment ref="K7" authorId="0" shapeId="0" xr:uid="{77B36825-545B-6A44-9C99-1BE851D2F52A}">
      <text>
        <r>
          <rPr>
            <b/>
            <sz val="10"/>
            <color rgb="FF000000"/>
            <rFont val="Tahoma"/>
            <family val="2"/>
          </rPr>
          <t>Keller, Zach:</t>
        </r>
        <r>
          <rPr>
            <sz val="10"/>
            <color rgb="FF000000"/>
            <rFont val="Tahoma"/>
            <family val="2"/>
          </rPr>
          <t xml:space="preserve">
Source: Forbes, The Most Valuable NBA Teams 2025 list article (Oct 2025; 2024–25 revenue, net of revenue sharing and arena debt service), https://www.forbes.com/sites/justinteitelbaum/2025/10/23/the-most-valuable-nba-teams-2025/</t>
        </r>
      </text>
    </comment>
    <comment ref="B8" authorId="0" shapeId="0" xr:uid="{0D87C795-D160-F84C-B987-C08B9A1F03F2}">
      <text>
        <r>
          <rPr>
            <b/>
            <sz val="10"/>
            <color rgb="FF000000"/>
            <rFont val="Tahoma"/>
            <family val="2"/>
          </rPr>
          <t>Keller, Zach:</t>
        </r>
        <r>
          <rPr>
            <sz val="10"/>
            <color rgb="FF000000"/>
            <rFont val="Tahoma"/>
            <family val="2"/>
          </rPr>
          <t xml:space="preserve">
Source: Forbes team page, historical revenue for Forbes 2016 list (Feb 2017 list; 2015–16 season, net of revenue sharing and arena debt service), https://www.forbes.com/teams/charlotte-hornets/</t>
        </r>
      </text>
    </comment>
    <comment ref="C8" authorId="0" shapeId="0" xr:uid="{6EED9E5A-13C8-C946-8979-909D742B2FC6}">
      <text>
        <r>
          <rPr>
            <b/>
            <sz val="10"/>
            <color rgb="FF000000"/>
            <rFont val="Tahoma"/>
            <family val="2"/>
          </rPr>
          <t>Keller, Zach:</t>
        </r>
        <r>
          <rPr>
            <sz val="10"/>
            <color rgb="FF000000"/>
            <rFont val="Tahoma"/>
            <family val="2"/>
          </rPr>
          <t xml:space="preserve">
Source: Forbes team page, historical revenue for Forbes 2017 list (Feb 2018 list; 2016–17 season, net of revenue sharing and arena debt service), https://www.forbes.com/teams/charlotte-hornets/</t>
        </r>
      </text>
    </comment>
    <comment ref="D8" authorId="0" shapeId="0" xr:uid="{4AF58510-5DC5-4541-A8A1-D8161137EBAE}">
      <text>
        <r>
          <rPr>
            <b/>
            <sz val="10"/>
            <color rgb="FF000000"/>
            <rFont val="Tahoma"/>
            <family val="2"/>
          </rPr>
          <t>Keller, Zach:</t>
        </r>
        <r>
          <rPr>
            <sz val="10"/>
            <color rgb="FF000000"/>
            <rFont val="Tahoma"/>
            <family val="2"/>
          </rPr>
          <t xml:space="preserve">
Source: Forbes team page, historical revenue for Forbes 2018 list (Feb 2019 list; 2017–18 season, net of revenue sharing and arena debt service), https://www.forbes.com/teams/charlotte-hornets/</t>
        </r>
      </text>
    </comment>
    <comment ref="E8" authorId="0" shapeId="0" xr:uid="{36B33753-83CD-8140-9DD4-42273D6765F3}">
      <text>
        <r>
          <rPr>
            <b/>
            <sz val="10"/>
            <color rgb="FF000000"/>
            <rFont val="Tahoma"/>
            <family val="2"/>
          </rPr>
          <t>Keller, Zach:</t>
        </r>
        <r>
          <rPr>
            <sz val="10"/>
            <color rgb="FF000000"/>
            <rFont val="Tahoma"/>
            <family val="2"/>
          </rPr>
          <t xml:space="preserve">
Source: Forbes team page, historical revenue for Forbes 2019 list (Feb 2020 list; 2018–19 season, net of revenue sharing and arena debt service), https://www.forbes.com/teams/charlotte-hornets/</t>
        </r>
      </text>
    </comment>
    <comment ref="F8" authorId="0" shapeId="0" xr:uid="{3621F0C9-B911-274E-9BF4-2C2E7AB174AC}">
      <text>
        <r>
          <rPr>
            <b/>
            <sz val="10"/>
            <color rgb="FF000000"/>
            <rFont val="Tahoma"/>
            <family val="2"/>
          </rPr>
          <t>Keller, Zach:</t>
        </r>
        <r>
          <rPr>
            <sz val="10"/>
            <color rgb="FF000000"/>
            <rFont val="Tahoma"/>
            <family val="2"/>
          </rPr>
          <t xml:space="preserve">
Source: Forbes team page, historical revenue for Forbes 2020 list (Feb 2021 list; 2019–20 season, net of revenue sharing and arena debt service), https://www.forbes.com/teams/charlotte-hornets/</t>
        </r>
      </text>
    </comment>
    <comment ref="G8" authorId="0" shapeId="0" xr:uid="{133F2FA1-6A7C-2E4B-A7CA-3F593DF37E3B}">
      <text>
        <r>
          <rPr>
            <b/>
            <sz val="10"/>
            <color rgb="FF000000"/>
            <rFont val="Tahoma"/>
            <family val="2"/>
          </rPr>
          <t>Keller, Zach:</t>
        </r>
        <r>
          <rPr>
            <sz val="10"/>
            <color rgb="FF000000"/>
            <rFont val="Tahoma"/>
            <family val="2"/>
          </rPr>
          <t xml:space="preserve">
Source: Forbes team page, historical revenue for Forbes 2021 list (Oct 2021 list; 2020–21 season, net of revenue sharing and arena debt service), https://www.forbes.com/teams/charlotte-hornets/</t>
        </r>
      </text>
    </comment>
    <comment ref="H8" authorId="0" shapeId="0" xr:uid="{A383B865-7CD9-E342-B028-7EE01B74234E}">
      <text>
        <r>
          <rPr>
            <b/>
            <sz val="10"/>
            <color rgb="FF000000"/>
            <rFont val="Tahoma"/>
            <family val="2"/>
          </rPr>
          <t>Keller, Zach:</t>
        </r>
        <r>
          <rPr>
            <sz val="10"/>
            <color rgb="FF000000"/>
            <rFont val="Tahoma"/>
            <family val="2"/>
          </rPr>
          <t xml:space="preserve">
Source: Forbes team page, historical revenue for Forbes 2022 list (Oct 2022 list; 2021–22 season, net of revenue sharing and arena debt service), https://www.forbes.com/teams/charlotte-hornets/</t>
        </r>
      </text>
    </comment>
    <comment ref="I8" authorId="0" shapeId="0" xr:uid="{985F6932-2684-6B49-8A60-1D39385D3812}">
      <text>
        <r>
          <rPr>
            <b/>
            <sz val="10"/>
            <color rgb="FF000000"/>
            <rFont val="Tahoma"/>
            <family val="2"/>
          </rPr>
          <t>Keller, Zach:</t>
        </r>
        <r>
          <rPr>
            <sz val="10"/>
            <color rgb="FF000000"/>
            <rFont val="Tahoma"/>
            <family val="2"/>
          </rPr>
          <t xml:space="preserve">
Source: Forbes team page, historical revenue for Forbes 2023 list (Oct 2023 list; 2022–23 season, net of revenue sharing and arena debt service), https://www.forbes.com/teams/charlotte-hornets/</t>
        </r>
      </text>
    </comment>
    <comment ref="J8" authorId="0" shapeId="0" xr:uid="{61658DA2-0327-874C-A617-D5967F4471A3}">
      <text>
        <r>
          <rPr>
            <b/>
            <sz val="10"/>
            <color rgb="FF000000"/>
            <rFont val="Tahoma"/>
            <family val="2"/>
          </rPr>
          <t>Keller, Zach:</t>
        </r>
        <r>
          <rPr>
            <sz val="10"/>
            <color rgb="FF000000"/>
            <rFont val="Tahoma"/>
            <family val="2"/>
          </rPr>
          <t xml:space="preserve">
Source: Forbes team page, historical revenue for Forbes 2024 list (Oct 2024 list; 2023–24 season, net of revenue sharing and arena debt service), https://www.forbes.com/teams/charlotte-hornets/</t>
        </r>
      </text>
    </comment>
    <comment ref="K8" authorId="0" shapeId="0" xr:uid="{84438601-C178-D742-BC44-13466E608152}">
      <text>
        <r>
          <rPr>
            <b/>
            <sz val="10"/>
            <color rgb="FF000000"/>
            <rFont val="Tahoma"/>
            <family val="2"/>
          </rPr>
          <t>Keller, Zach:</t>
        </r>
        <r>
          <rPr>
            <sz val="10"/>
            <color rgb="FF000000"/>
            <rFont val="Tahoma"/>
            <family val="2"/>
          </rPr>
          <t xml:space="preserve">
Source: Forbes, The Most Valuable NBA Teams 2025 list article (Oct 2025; 2024–25 revenue, net of revenue sharing and arena debt service), https://www.forbes.com/sites/justinteitelbaum/2025/10/23/the-most-valuable-nba-teams-2025/</t>
        </r>
      </text>
    </comment>
    <comment ref="B9" authorId="0" shapeId="0" xr:uid="{8E2AF1EC-533B-E245-9D09-0E410B597445}">
      <text>
        <r>
          <rPr>
            <b/>
            <sz val="10"/>
            <color rgb="FF000000"/>
            <rFont val="Tahoma"/>
            <family val="2"/>
          </rPr>
          <t>Keller, Zach:</t>
        </r>
        <r>
          <rPr>
            <sz val="10"/>
            <color rgb="FF000000"/>
            <rFont val="Tahoma"/>
            <family val="2"/>
          </rPr>
          <t xml:space="preserve">
Source: Forbes team page, historical revenue for Forbes 2016 list (Feb 2017 list; 2015–16 season, net of revenue sharing and arena debt service), https://www.forbes.com/teams/chicago-bulls/</t>
        </r>
      </text>
    </comment>
    <comment ref="C9" authorId="0" shapeId="0" xr:uid="{40CA1724-11B9-B04E-886F-9F987B7B0819}">
      <text>
        <r>
          <rPr>
            <b/>
            <sz val="10"/>
            <color rgb="FF000000"/>
            <rFont val="Tahoma"/>
            <family val="2"/>
          </rPr>
          <t>Keller, Zach:</t>
        </r>
        <r>
          <rPr>
            <sz val="10"/>
            <color rgb="FF000000"/>
            <rFont val="Tahoma"/>
            <family val="2"/>
          </rPr>
          <t xml:space="preserve">
Source: Forbes team page, historical revenue for Forbes 2017 list (Feb 2018 list; 2016–17 season, net of revenue sharing and arena debt service), https://www.forbes.com/teams/chicago-bulls/</t>
        </r>
      </text>
    </comment>
    <comment ref="D9" authorId="0" shapeId="0" xr:uid="{878FB538-B488-3D4E-BE72-7C75B6341891}">
      <text>
        <r>
          <rPr>
            <b/>
            <sz val="10"/>
            <color rgb="FF000000"/>
            <rFont val="Tahoma"/>
            <family val="2"/>
          </rPr>
          <t>Keller, Zach:</t>
        </r>
        <r>
          <rPr>
            <sz val="10"/>
            <color rgb="FF000000"/>
            <rFont val="Tahoma"/>
            <family val="2"/>
          </rPr>
          <t xml:space="preserve">
Source: Forbes team page, historical revenue for Forbes 2018 list (Feb 2019 list; 2017–18 season, net of revenue sharing and arena debt service), https://www.forbes.com/teams/chicago-bulls/</t>
        </r>
      </text>
    </comment>
    <comment ref="E9" authorId="0" shapeId="0" xr:uid="{1C2181A2-0CE2-3A47-B60A-03389AE30C6D}">
      <text>
        <r>
          <rPr>
            <b/>
            <sz val="10"/>
            <color rgb="FF000000"/>
            <rFont val="Tahoma"/>
            <family val="2"/>
          </rPr>
          <t>Keller, Zach:</t>
        </r>
        <r>
          <rPr>
            <sz val="10"/>
            <color rgb="FF000000"/>
            <rFont val="Tahoma"/>
            <family val="2"/>
          </rPr>
          <t xml:space="preserve">
Source: Forbes team page, historical revenue for Forbes 2019 list (Feb 2020 list; 2018–19 season, net of revenue sharing and arena debt service), https://www.forbes.com/teams/chicago-bulls/</t>
        </r>
      </text>
    </comment>
    <comment ref="F9" authorId="0" shapeId="0" xr:uid="{93533138-E218-9C49-B48F-4C0C6A4C6F25}">
      <text>
        <r>
          <rPr>
            <b/>
            <sz val="10"/>
            <color rgb="FF000000"/>
            <rFont val="Tahoma"/>
            <family val="2"/>
          </rPr>
          <t>Keller, Zach:</t>
        </r>
        <r>
          <rPr>
            <sz val="10"/>
            <color rgb="FF000000"/>
            <rFont val="Tahoma"/>
            <family val="2"/>
          </rPr>
          <t xml:space="preserve">
Source: Forbes team page, historical revenue for Forbes 2020 list (Feb 2021 list; 2019–20 season, net of revenue sharing and arena debt service), https://www.forbes.com/teams/chicago-bulls/</t>
        </r>
      </text>
    </comment>
    <comment ref="G9" authorId="0" shapeId="0" xr:uid="{96994E2B-0A94-4745-9607-8ABF538A2190}">
      <text>
        <r>
          <rPr>
            <b/>
            <sz val="10"/>
            <color rgb="FF000000"/>
            <rFont val="Tahoma"/>
            <family val="2"/>
          </rPr>
          <t>Keller, Zach:</t>
        </r>
        <r>
          <rPr>
            <sz val="10"/>
            <color rgb="FF000000"/>
            <rFont val="Tahoma"/>
            <family val="2"/>
          </rPr>
          <t xml:space="preserve">
Source: Forbes team page, historical revenue for Forbes 2021 list (Oct 2021 list; 2020–21 season, net of revenue sharing and arena debt service), https://www.forbes.com/teams/chicago-bulls/</t>
        </r>
      </text>
    </comment>
    <comment ref="H9" authorId="0" shapeId="0" xr:uid="{7CDE8F66-3A17-D446-B77C-C6BC3D2967F3}">
      <text>
        <r>
          <rPr>
            <b/>
            <sz val="10"/>
            <color rgb="FF000000"/>
            <rFont val="Tahoma"/>
            <family val="2"/>
          </rPr>
          <t>Keller, Zach:</t>
        </r>
        <r>
          <rPr>
            <sz val="10"/>
            <color rgb="FF000000"/>
            <rFont val="Tahoma"/>
            <family val="2"/>
          </rPr>
          <t xml:space="preserve">
Source: Forbes team page, historical revenue for Forbes 2022 list (Oct 2022 list; 2021–22 season, net of revenue sharing and arena debt service), https://www.forbes.com/teams/chicago-bulls/</t>
        </r>
      </text>
    </comment>
    <comment ref="I9" authorId="0" shapeId="0" xr:uid="{309245E3-BB34-AF46-ABAF-446573D2CE1F}">
      <text>
        <r>
          <rPr>
            <b/>
            <sz val="10"/>
            <color rgb="FF000000"/>
            <rFont val="Tahoma"/>
            <family val="2"/>
          </rPr>
          <t>Keller, Zach:</t>
        </r>
        <r>
          <rPr>
            <sz val="10"/>
            <color rgb="FF000000"/>
            <rFont val="Tahoma"/>
            <family val="2"/>
          </rPr>
          <t xml:space="preserve">
Source: Forbes team page, historical revenue for Forbes 2023 list (Oct 2023 list; 2022–23 season, net of revenue sharing and arena debt service), https://www.forbes.com/teams/chicago-bulls/</t>
        </r>
      </text>
    </comment>
    <comment ref="J9" authorId="0" shapeId="0" xr:uid="{469C12CB-0C47-7441-8E86-14AA4822C9FA}">
      <text>
        <r>
          <rPr>
            <b/>
            <sz val="10"/>
            <color rgb="FF000000"/>
            <rFont val="Tahoma"/>
            <family val="2"/>
          </rPr>
          <t>Keller, Zach:</t>
        </r>
        <r>
          <rPr>
            <sz val="10"/>
            <color rgb="FF000000"/>
            <rFont val="Tahoma"/>
            <family val="2"/>
          </rPr>
          <t xml:space="preserve">
Source: Forbes team page, historical revenue for Forbes 2024 list (Oct 2024 list; 2023–24 season, net of revenue sharing and arena debt service), https://www.forbes.com/teams/chicago-bulls/</t>
        </r>
      </text>
    </comment>
    <comment ref="K9" authorId="0" shapeId="0" xr:uid="{6B9F79F0-75BA-8A46-A952-882827458F19}">
      <text>
        <r>
          <rPr>
            <b/>
            <sz val="10"/>
            <color rgb="FF000000"/>
            <rFont val="Tahoma"/>
            <family val="2"/>
          </rPr>
          <t>Keller, Zach:</t>
        </r>
        <r>
          <rPr>
            <sz val="10"/>
            <color rgb="FF000000"/>
            <rFont val="Tahoma"/>
            <family val="2"/>
          </rPr>
          <t xml:space="preserve">
Source: Forbes, The Most Valuable NBA Teams 2025 list article (Oct 2025; 2024–25 revenue, net of revenue sharing and arena debt service), https://www.forbes.com/sites/justinteitelbaum/2025/10/23/the-most-valuable-nba-teams-2025/</t>
        </r>
      </text>
    </comment>
    <comment ref="B10" authorId="0" shapeId="0" xr:uid="{9210E20F-2487-5942-94B3-0A5B76C3D9BB}">
      <text>
        <r>
          <rPr>
            <b/>
            <sz val="10"/>
            <color rgb="FF000000"/>
            <rFont val="Tahoma"/>
            <family val="2"/>
          </rPr>
          <t>Keller, Zach:</t>
        </r>
        <r>
          <rPr>
            <sz val="10"/>
            <color rgb="FF000000"/>
            <rFont val="Tahoma"/>
            <family val="2"/>
          </rPr>
          <t xml:space="preserve">
Source: Forbes team page, historical revenue for Forbes 2016 list (Feb 2017 list; 2015–16 season, net of revenue sharing and arena debt service), https://www.forbes.com/teams/cleveland-cavaliers/</t>
        </r>
      </text>
    </comment>
    <comment ref="C10" authorId="0" shapeId="0" xr:uid="{AB501620-549F-AB43-8E6A-867F36B334EE}">
      <text>
        <r>
          <rPr>
            <b/>
            <sz val="10"/>
            <color rgb="FF000000"/>
            <rFont val="Tahoma"/>
            <family val="2"/>
          </rPr>
          <t>Keller, Zach:</t>
        </r>
        <r>
          <rPr>
            <sz val="10"/>
            <color rgb="FF000000"/>
            <rFont val="Tahoma"/>
            <family val="2"/>
          </rPr>
          <t xml:space="preserve">
Source: Forbes team page, historical revenue for Forbes 2017 list (Feb 2018 list; 2016–17 season, net of revenue sharing and arena debt service), https://www.forbes.com/teams/cleveland-cavaliers/</t>
        </r>
      </text>
    </comment>
    <comment ref="D10" authorId="0" shapeId="0" xr:uid="{F0CA2F98-19DF-2842-9BC9-FFBD7671A0BE}">
      <text>
        <r>
          <rPr>
            <b/>
            <sz val="10"/>
            <color rgb="FF000000"/>
            <rFont val="Tahoma"/>
            <family val="2"/>
          </rPr>
          <t>Keller, Zach:</t>
        </r>
        <r>
          <rPr>
            <sz val="10"/>
            <color rgb="FF000000"/>
            <rFont val="Tahoma"/>
            <family val="2"/>
          </rPr>
          <t xml:space="preserve">
Source: Forbes team page, historical revenue for Forbes 2018 list (Feb 2019 list; 2017–18 season, net of revenue sharing and arena debt service), https://www.forbes.com/teams/cleveland-cavaliers/</t>
        </r>
      </text>
    </comment>
    <comment ref="E10" authorId="0" shapeId="0" xr:uid="{CD193BB0-1E2E-0344-8D46-9C7B6C0E46C2}">
      <text>
        <r>
          <rPr>
            <b/>
            <sz val="10"/>
            <color rgb="FF000000"/>
            <rFont val="Tahoma"/>
            <family val="2"/>
          </rPr>
          <t>Keller, Zach:</t>
        </r>
        <r>
          <rPr>
            <sz val="10"/>
            <color rgb="FF000000"/>
            <rFont val="Tahoma"/>
            <family val="2"/>
          </rPr>
          <t xml:space="preserve">
Source: Forbes team page, historical revenue for Forbes 2019 list (Feb 2020 list; 2018–19 season, net of revenue sharing and arena debt service), https://www.forbes.com/teams/cleveland-cavaliers/</t>
        </r>
      </text>
    </comment>
    <comment ref="F10" authorId="0" shapeId="0" xr:uid="{BD8DFB0A-FDA7-1B4F-9443-0FD4DD1F3680}">
      <text>
        <r>
          <rPr>
            <b/>
            <sz val="10"/>
            <color rgb="FF000000"/>
            <rFont val="Tahoma"/>
            <family val="2"/>
          </rPr>
          <t>Keller, Zach:</t>
        </r>
        <r>
          <rPr>
            <sz val="10"/>
            <color rgb="FF000000"/>
            <rFont val="Tahoma"/>
            <family val="2"/>
          </rPr>
          <t xml:space="preserve">
Source: Forbes team page, historical revenue for Forbes 2020 list (Feb 2021 list; 2019–20 season, net of revenue sharing and arena debt service), https://www.forbes.com/teams/cleveland-cavaliers/</t>
        </r>
      </text>
    </comment>
    <comment ref="G10" authorId="0" shapeId="0" xr:uid="{DD97BE09-FC90-0F4D-9658-7C558AD926F4}">
      <text>
        <r>
          <rPr>
            <b/>
            <sz val="10"/>
            <color rgb="FF000000"/>
            <rFont val="Tahoma"/>
            <family val="2"/>
          </rPr>
          <t>Keller, Zach:</t>
        </r>
        <r>
          <rPr>
            <sz val="10"/>
            <color rgb="FF000000"/>
            <rFont val="Tahoma"/>
            <family val="2"/>
          </rPr>
          <t xml:space="preserve">
Source: Forbes team page, historical revenue for Forbes 2021 list (Oct 2021 list; 2020–21 season, net of revenue sharing and arena debt service), https://www.forbes.com/teams/cleveland-cavaliers/</t>
        </r>
      </text>
    </comment>
    <comment ref="H10" authorId="0" shapeId="0" xr:uid="{36FE8B44-9677-BF4D-A01A-D93ACE3CCEE1}">
      <text>
        <r>
          <rPr>
            <b/>
            <sz val="10"/>
            <color rgb="FF000000"/>
            <rFont val="Tahoma"/>
            <family val="2"/>
          </rPr>
          <t>Keller, Zach:</t>
        </r>
        <r>
          <rPr>
            <sz val="10"/>
            <color rgb="FF000000"/>
            <rFont val="Tahoma"/>
            <family val="2"/>
          </rPr>
          <t xml:space="preserve">
Source: Forbes team page, historical revenue for Forbes 2022 list (Oct 2022 list; 2021–22 season, net of revenue sharing and arena debt service), https://www.forbes.com/teams/cleveland-cavaliers/</t>
        </r>
      </text>
    </comment>
    <comment ref="I10" authorId="0" shapeId="0" xr:uid="{AF0A0BBF-64E6-334D-99A1-DE1099E40666}">
      <text>
        <r>
          <rPr>
            <b/>
            <sz val="10"/>
            <color rgb="FF000000"/>
            <rFont val="Tahoma"/>
            <family val="2"/>
          </rPr>
          <t>Keller, Zach:</t>
        </r>
        <r>
          <rPr>
            <sz val="10"/>
            <color rgb="FF000000"/>
            <rFont val="Tahoma"/>
            <family val="2"/>
          </rPr>
          <t xml:space="preserve">
Source: Forbes team page, historical revenue for Forbes 2023 list (Oct 2023 list; 2022–23 season, net of revenue sharing and arena debt service), https://www.forbes.com/teams/cleveland-cavaliers/</t>
        </r>
      </text>
    </comment>
    <comment ref="J10" authorId="0" shapeId="0" xr:uid="{22E138D0-993D-BE49-B206-EAEB6EE04A8C}">
      <text>
        <r>
          <rPr>
            <b/>
            <sz val="10"/>
            <color rgb="FF000000"/>
            <rFont val="Tahoma"/>
            <family val="2"/>
          </rPr>
          <t>Keller, Zach:</t>
        </r>
        <r>
          <rPr>
            <sz val="10"/>
            <color rgb="FF000000"/>
            <rFont val="Tahoma"/>
            <family val="2"/>
          </rPr>
          <t xml:space="preserve">
Source: Forbes team page, historical revenue for Forbes 2024 list (Oct 2024 list; 2023–24 season, net of revenue sharing and arena debt service), https://www.forbes.com/teams/cleveland-cavaliers/</t>
        </r>
      </text>
    </comment>
    <comment ref="K10" authorId="0" shapeId="0" xr:uid="{A8FAE123-A248-114F-A3F3-82AADA399CA7}">
      <text>
        <r>
          <rPr>
            <b/>
            <sz val="10"/>
            <color rgb="FF000000"/>
            <rFont val="Tahoma"/>
            <family val="2"/>
          </rPr>
          <t>Keller, Zach:</t>
        </r>
        <r>
          <rPr>
            <sz val="10"/>
            <color rgb="FF000000"/>
            <rFont val="Tahoma"/>
            <family val="2"/>
          </rPr>
          <t xml:space="preserve">
Source: Forbes, The Most Valuable NBA Teams 2025 list article (Oct 2025; 2024–25 revenue, net of revenue sharing and arena debt service), https://www.forbes.com/sites/justinteitelbaum/2025/10/23/the-most-valuable-nba-teams-2025/</t>
        </r>
      </text>
    </comment>
    <comment ref="B11" authorId="0" shapeId="0" xr:uid="{DCDEEB13-237C-1745-B3FF-D431F6B6B983}">
      <text>
        <r>
          <rPr>
            <b/>
            <sz val="10"/>
            <color rgb="FF000000"/>
            <rFont val="Tahoma"/>
            <family val="2"/>
          </rPr>
          <t>Keller, Zach:</t>
        </r>
        <r>
          <rPr>
            <sz val="10"/>
            <color rgb="FF000000"/>
            <rFont val="Tahoma"/>
            <family val="2"/>
          </rPr>
          <t xml:space="preserve">
Source: Forbes team page, historical revenue for Forbes 2016 list (Feb 2017 list; 2015–16 season, net of revenue sharing and arena debt service), https://www.forbes.com/teams/dallas-mavericks/</t>
        </r>
      </text>
    </comment>
    <comment ref="C11" authorId="0" shapeId="0" xr:uid="{0174D417-EA80-0A41-BEED-90A6E76A0958}">
      <text>
        <r>
          <rPr>
            <b/>
            <sz val="10"/>
            <color rgb="FF000000"/>
            <rFont val="Tahoma"/>
            <family val="2"/>
          </rPr>
          <t>Keller, Zach:</t>
        </r>
        <r>
          <rPr>
            <sz val="10"/>
            <color rgb="FF000000"/>
            <rFont val="Tahoma"/>
            <family val="2"/>
          </rPr>
          <t xml:space="preserve">
Source: Forbes team page, historical revenue for Forbes 2017 list (Feb 2018 list; 2016–17 season, net of revenue sharing and arena debt service), https://www.forbes.com/teams/dallas-mavericks/</t>
        </r>
      </text>
    </comment>
    <comment ref="D11" authorId="0" shapeId="0" xr:uid="{500EE17D-D369-A743-A79E-320A9EC8D896}">
      <text>
        <r>
          <rPr>
            <b/>
            <sz val="10"/>
            <color rgb="FF000000"/>
            <rFont val="Tahoma"/>
            <family val="2"/>
          </rPr>
          <t>Keller, Zach:</t>
        </r>
        <r>
          <rPr>
            <sz val="10"/>
            <color rgb="FF000000"/>
            <rFont val="Tahoma"/>
            <family val="2"/>
          </rPr>
          <t xml:space="preserve">
Source: Forbes team page, historical revenue for Forbes 2018 list (Feb 2019 list; 2017–18 season, net of revenue sharing and arena debt service), https://www.forbes.com/teams/dallas-mavericks/</t>
        </r>
      </text>
    </comment>
    <comment ref="E11" authorId="0" shapeId="0" xr:uid="{77063931-176C-124A-9122-4E6BDBB212AE}">
      <text>
        <r>
          <rPr>
            <b/>
            <sz val="10"/>
            <color rgb="FF000000"/>
            <rFont val="Tahoma"/>
            <family val="2"/>
          </rPr>
          <t>Keller, Zach:</t>
        </r>
        <r>
          <rPr>
            <sz val="10"/>
            <color rgb="FF000000"/>
            <rFont val="Tahoma"/>
            <family val="2"/>
          </rPr>
          <t xml:space="preserve">
Source: Forbes team page, historical revenue for Forbes 2019 list (Feb 2020 list; 2018–19 season, net of revenue sharing and arena debt service), https://www.forbes.com/teams/dallas-mavericks/</t>
        </r>
      </text>
    </comment>
    <comment ref="F11" authorId="0" shapeId="0" xr:uid="{4438AD95-4A20-814D-BC59-E0692B4F9067}">
      <text>
        <r>
          <rPr>
            <b/>
            <sz val="10"/>
            <color rgb="FF000000"/>
            <rFont val="Tahoma"/>
            <family val="2"/>
          </rPr>
          <t>Keller, Zach:</t>
        </r>
        <r>
          <rPr>
            <sz val="10"/>
            <color rgb="FF000000"/>
            <rFont val="Tahoma"/>
            <family val="2"/>
          </rPr>
          <t xml:space="preserve">
Source: Forbes team page, historical revenue for Forbes 2020 list (Feb 2021 list; 2019–20 season, net of revenue sharing and arena debt service), https://www.forbes.com/teams/dallas-mavericks/</t>
        </r>
      </text>
    </comment>
    <comment ref="G11" authorId="0" shapeId="0" xr:uid="{DF0C8A4B-AB7F-714C-8450-F7BABA61FBD1}">
      <text>
        <r>
          <rPr>
            <b/>
            <sz val="10"/>
            <color rgb="FF000000"/>
            <rFont val="Tahoma"/>
            <family val="2"/>
          </rPr>
          <t>Keller, Zach:</t>
        </r>
        <r>
          <rPr>
            <sz val="10"/>
            <color rgb="FF000000"/>
            <rFont val="Tahoma"/>
            <family val="2"/>
          </rPr>
          <t xml:space="preserve">
Source: Forbes team page, historical revenue for Forbes 2021 list (Oct 2021 list; 2020–21 season, net of revenue sharing and arena debt service), https://www.forbes.com/teams/dallas-mavericks/</t>
        </r>
      </text>
    </comment>
    <comment ref="H11" authorId="0" shapeId="0" xr:uid="{9703110F-D1E3-E445-BABB-2B6A62E9BE3A}">
      <text>
        <r>
          <rPr>
            <b/>
            <sz val="10"/>
            <color rgb="FF000000"/>
            <rFont val="Tahoma"/>
            <family val="2"/>
          </rPr>
          <t>Keller, Zach:</t>
        </r>
        <r>
          <rPr>
            <sz val="10"/>
            <color rgb="FF000000"/>
            <rFont val="Tahoma"/>
            <family val="2"/>
          </rPr>
          <t xml:space="preserve">
Source: Forbes team page, historical revenue for Forbes 2022 list (Oct 2022 list; 2021–22 season, net of revenue sharing and arena debt service), https://www.forbes.com/teams/dallas-mavericks/</t>
        </r>
      </text>
    </comment>
    <comment ref="I11" authorId="0" shapeId="0" xr:uid="{BC433316-3C89-CD46-9CCF-0CE5398DEFEA}">
      <text>
        <r>
          <rPr>
            <b/>
            <sz val="10"/>
            <color rgb="FF000000"/>
            <rFont val="Tahoma"/>
            <family val="2"/>
          </rPr>
          <t>Keller, Zach:</t>
        </r>
        <r>
          <rPr>
            <sz val="10"/>
            <color rgb="FF000000"/>
            <rFont val="Tahoma"/>
            <family val="2"/>
          </rPr>
          <t xml:space="preserve">
Source: Forbes team page, historical revenue for Forbes 2023 list (Oct 2023 list; 2022–23 season, net of revenue sharing and arena debt service), https://www.forbes.com/teams/dallas-mavericks/</t>
        </r>
      </text>
    </comment>
    <comment ref="J11" authorId="0" shapeId="0" xr:uid="{04EC6AFB-60D5-5F4C-A8EE-AA4844DAAFC9}">
      <text>
        <r>
          <rPr>
            <b/>
            <sz val="10"/>
            <color rgb="FF000000"/>
            <rFont val="Tahoma"/>
            <family val="2"/>
          </rPr>
          <t>Keller, Zach:</t>
        </r>
        <r>
          <rPr>
            <sz val="10"/>
            <color rgb="FF000000"/>
            <rFont val="Tahoma"/>
            <family val="2"/>
          </rPr>
          <t xml:space="preserve">
Source: Forbes team page, historical revenue for Forbes 2024 list (Oct 2024 list; 2023–24 season, net of revenue sharing and arena debt service), https://www.forbes.com/teams/dallas-mavericks/</t>
        </r>
      </text>
    </comment>
    <comment ref="K11" authorId="0" shapeId="0" xr:uid="{37FE201D-A44C-DC4D-92EB-193D15F0526A}">
      <text>
        <r>
          <rPr>
            <b/>
            <sz val="10"/>
            <color rgb="FF000000"/>
            <rFont val="Tahoma"/>
            <family val="2"/>
          </rPr>
          <t>Keller, Zach:</t>
        </r>
        <r>
          <rPr>
            <sz val="10"/>
            <color rgb="FF000000"/>
            <rFont val="Tahoma"/>
            <family val="2"/>
          </rPr>
          <t xml:space="preserve">
Source: Forbes, The Most Valuable NBA Teams 2025 list article (Oct 2025; 2024–25 revenue, net of revenue sharing and arena debt service), https://www.forbes.com/sites/justinteitelbaum/2025/10/23/the-most-valuable-nba-teams-2025/</t>
        </r>
      </text>
    </comment>
    <comment ref="B12" authorId="0" shapeId="0" xr:uid="{D31F16DA-663E-854A-B3CE-4303763779B0}">
      <text>
        <r>
          <rPr>
            <b/>
            <sz val="10"/>
            <color rgb="FF000000"/>
            <rFont val="Tahoma"/>
            <family val="2"/>
          </rPr>
          <t>Keller, Zach:</t>
        </r>
        <r>
          <rPr>
            <sz val="10"/>
            <color rgb="FF000000"/>
            <rFont val="Tahoma"/>
            <family val="2"/>
          </rPr>
          <t xml:space="preserve">
Source: Forbes team page, historical revenue for Forbes 2016 list (Feb 2017 list; 2015–16 season, net of revenue sharing and arena debt service), https://www.forbes.com/teams/denver-nuggets/</t>
        </r>
      </text>
    </comment>
    <comment ref="C12" authorId="0" shapeId="0" xr:uid="{304B1F6D-FD91-9148-9701-D35A87D8EF09}">
      <text>
        <r>
          <rPr>
            <b/>
            <sz val="10"/>
            <color rgb="FF000000"/>
            <rFont val="Tahoma"/>
            <family val="2"/>
          </rPr>
          <t>Keller, Zach:</t>
        </r>
        <r>
          <rPr>
            <sz val="10"/>
            <color rgb="FF000000"/>
            <rFont val="Tahoma"/>
            <family val="2"/>
          </rPr>
          <t xml:space="preserve">
Source: Forbes team page, historical revenue for Forbes 2017 list (Feb 2018 list; 2016–17 season, net of revenue sharing and arena debt service), https://www.forbes.com/teams/denver-nuggets/</t>
        </r>
      </text>
    </comment>
    <comment ref="D12" authorId="0" shapeId="0" xr:uid="{D75A1095-26FD-8343-BA09-C2413EAC510E}">
      <text>
        <r>
          <rPr>
            <b/>
            <sz val="10"/>
            <color rgb="FF000000"/>
            <rFont val="Tahoma"/>
            <family val="2"/>
          </rPr>
          <t>Keller, Zach:</t>
        </r>
        <r>
          <rPr>
            <sz val="10"/>
            <color rgb="FF000000"/>
            <rFont val="Tahoma"/>
            <family val="2"/>
          </rPr>
          <t xml:space="preserve">
Source: Forbes team page, historical revenue for Forbes 2018 list (Feb 2019 list; 2017–18 season, net of revenue sharing and arena debt service), https://www.forbes.com/teams/denver-nuggets/</t>
        </r>
      </text>
    </comment>
    <comment ref="E12" authorId="0" shapeId="0" xr:uid="{3FA09CB5-7FAF-3F44-BD6D-0D2D8DF8B512}">
      <text>
        <r>
          <rPr>
            <b/>
            <sz val="10"/>
            <color rgb="FF000000"/>
            <rFont val="Tahoma"/>
            <family val="2"/>
          </rPr>
          <t>Keller, Zach:</t>
        </r>
        <r>
          <rPr>
            <sz val="10"/>
            <color rgb="FF000000"/>
            <rFont val="Tahoma"/>
            <family val="2"/>
          </rPr>
          <t xml:space="preserve">
Source: Forbes team page, historical revenue for Forbes 2019 list (Feb 2020 list; 2018–19 season, net of revenue sharing and arena debt service), https://www.forbes.com/teams/denver-nuggets/</t>
        </r>
      </text>
    </comment>
    <comment ref="F12" authorId="0" shapeId="0" xr:uid="{490CC8B9-E36A-BC4D-AC4D-02D041CA429F}">
      <text>
        <r>
          <rPr>
            <b/>
            <sz val="10"/>
            <color rgb="FF000000"/>
            <rFont val="Tahoma"/>
            <family val="2"/>
          </rPr>
          <t>Keller, Zach:</t>
        </r>
        <r>
          <rPr>
            <sz val="10"/>
            <color rgb="FF000000"/>
            <rFont val="Tahoma"/>
            <family val="2"/>
          </rPr>
          <t xml:space="preserve">
Source: Forbes team page, historical revenue for Forbes 2020 list (Feb 2021 list; 2019–20 season, net of revenue sharing and arena debt service), https://www.forbes.com/teams/denver-nuggets/</t>
        </r>
      </text>
    </comment>
    <comment ref="G12" authorId="0" shapeId="0" xr:uid="{D3DCBE51-CF91-7345-A21A-B199E2FBECCF}">
      <text>
        <r>
          <rPr>
            <b/>
            <sz val="10"/>
            <color rgb="FF000000"/>
            <rFont val="Tahoma"/>
            <family val="2"/>
          </rPr>
          <t>Keller, Zach:</t>
        </r>
        <r>
          <rPr>
            <sz val="10"/>
            <color rgb="FF000000"/>
            <rFont val="Tahoma"/>
            <family val="2"/>
          </rPr>
          <t xml:space="preserve">
Source: Forbes team page, historical revenue for Forbes 2021 list (Oct 2021 list; 2020–21 season, net of revenue sharing and arena debt service), https://www.forbes.com/teams/denver-nuggets/</t>
        </r>
      </text>
    </comment>
    <comment ref="H12" authorId="0" shapeId="0" xr:uid="{3D3D17E7-8A96-4645-AB0F-935A5156EFD1}">
      <text>
        <r>
          <rPr>
            <b/>
            <sz val="10"/>
            <color rgb="FF000000"/>
            <rFont val="Tahoma"/>
            <family val="2"/>
          </rPr>
          <t>Keller, Zach:</t>
        </r>
        <r>
          <rPr>
            <sz val="10"/>
            <color rgb="FF000000"/>
            <rFont val="Tahoma"/>
            <family val="2"/>
          </rPr>
          <t xml:space="preserve">
Source: Forbes team page, historical revenue for Forbes 2022 list (Oct 2022 list; 2021–22 season, net of revenue sharing and arena debt service), https://www.forbes.com/teams/denver-nuggets/</t>
        </r>
      </text>
    </comment>
    <comment ref="I12" authorId="0" shapeId="0" xr:uid="{32FDC413-8273-0C42-B14E-6F6AB58EEB84}">
      <text>
        <r>
          <rPr>
            <b/>
            <sz val="10"/>
            <color rgb="FF000000"/>
            <rFont val="Tahoma"/>
            <family val="2"/>
          </rPr>
          <t>Keller, Zach:</t>
        </r>
        <r>
          <rPr>
            <sz val="10"/>
            <color rgb="FF000000"/>
            <rFont val="Tahoma"/>
            <family val="2"/>
          </rPr>
          <t xml:space="preserve">
Source: Forbes team page, historical revenue for Forbes 2023 list (Oct 2023 list; 2022–23 season, net of revenue sharing and arena debt service), https://www.forbes.com/teams/denver-nuggets/</t>
        </r>
      </text>
    </comment>
    <comment ref="J12" authorId="0" shapeId="0" xr:uid="{38DE82AA-0DC2-304C-973E-1AE692519735}">
      <text>
        <r>
          <rPr>
            <b/>
            <sz val="10"/>
            <color rgb="FF000000"/>
            <rFont val="Tahoma"/>
            <family val="2"/>
          </rPr>
          <t>Keller, Zach:</t>
        </r>
        <r>
          <rPr>
            <sz val="10"/>
            <color rgb="FF000000"/>
            <rFont val="Tahoma"/>
            <family val="2"/>
          </rPr>
          <t xml:space="preserve">
Source: Forbes team page, historical revenue for Forbes 2024 list (Oct 2024 list; 2023–24 season, net of revenue sharing and arena debt service), https://www.forbes.com/teams/denver-nuggets/</t>
        </r>
      </text>
    </comment>
    <comment ref="K12" authorId="0" shapeId="0" xr:uid="{3D6FBADB-3985-4342-964A-510ABA1838E8}">
      <text>
        <r>
          <rPr>
            <b/>
            <sz val="10"/>
            <color rgb="FF000000"/>
            <rFont val="Tahoma"/>
            <family val="2"/>
          </rPr>
          <t>Keller, Zach:</t>
        </r>
        <r>
          <rPr>
            <sz val="10"/>
            <color rgb="FF000000"/>
            <rFont val="Tahoma"/>
            <family val="2"/>
          </rPr>
          <t xml:space="preserve">
Source: Forbes, The Most Valuable NBA Teams 2025 list article (Oct 2025; 2024–25 revenue, net of revenue sharing and arena debt service), https://www.forbes.com/sites/justinteitelbaum/2025/10/23/the-most-valuable-nba-teams-2025/</t>
        </r>
      </text>
    </comment>
    <comment ref="B13" authorId="0" shapeId="0" xr:uid="{CB76D7CA-0EA6-7B40-AB85-AF7910EE85CF}">
      <text>
        <r>
          <rPr>
            <b/>
            <sz val="10"/>
            <color rgb="FF000000"/>
            <rFont val="Tahoma"/>
            <family val="2"/>
          </rPr>
          <t>Keller, Zach:</t>
        </r>
        <r>
          <rPr>
            <sz val="10"/>
            <color rgb="FF000000"/>
            <rFont val="Tahoma"/>
            <family val="2"/>
          </rPr>
          <t xml:space="preserve">
Source: Forbes team page, historical revenue for Forbes 2016 list (Feb 2017 list; 2015–16 season, net of revenue sharing and arena debt service), https://www.forbes.com/teams/detroit-pistons/</t>
        </r>
      </text>
    </comment>
    <comment ref="C13" authorId="0" shapeId="0" xr:uid="{79148146-9070-AB4F-8B7F-53EB8AC4AA4C}">
      <text>
        <r>
          <rPr>
            <b/>
            <sz val="10"/>
            <color rgb="FF000000"/>
            <rFont val="Tahoma"/>
            <family val="2"/>
          </rPr>
          <t>Keller, Zach:</t>
        </r>
        <r>
          <rPr>
            <sz val="10"/>
            <color rgb="FF000000"/>
            <rFont val="Tahoma"/>
            <family val="2"/>
          </rPr>
          <t xml:space="preserve">
Source: Forbes team page, historical revenue for Forbes 2017 list (Feb 2018 list; 2016–17 season, net of revenue sharing and arena debt service), https://www.forbes.com/teams/detroit-pistons/</t>
        </r>
      </text>
    </comment>
    <comment ref="D13" authorId="0" shapeId="0" xr:uid="{48FF9B07-DE84-174D-8AAB-909714FBCA57}">
      <text>
        <r>
          <rPr>
            <b/>
            <sz val="10"/>
            <color rgb="FF000000"/>
            <rFont val="Tahoma"/>
            <family val="2"/>
          </rPr>
          <t>Keller, Zach:</t>
        </r>
        <r>
          <rPr>
            <sz val="10"/>
            <color rgb="FF000000"/>
            <rFont val="Tahoma"/>
            <family val="2"/>
          </rPr>
          <t xml:space="preserve">
Source: Forbes team page, historical revenue for Forbes 2018 list (Feb 2019 list; 2017–18 season, net of revenue sharing and arena debt service), https://www.forbes.com/teams/detroit-pistons/</t>
        </r>
      </text>
    </comment>
    <comment ref="E13" authorId="0" shapeId="0" xr:uid="{1F6FD0F5-E127-FD4E-B384-2DB78B155945}">
      <text>
        <r>
          <rPr>
            <b/>
            <sz val="10"/>
            <color rgb="FF000000"/>
            <rFont val="Tahoma"/>
            <family val="2"/>
          </rPr>
          <t>Keller, Zach:</t>
        </r>
        <r>
          <rPr>
            <sz val="10"/>
            <color rgb="FF000000"/>
            <rFont val="Tahoma"/>
            <family val="2"/>
          </rPr>
          <t xml:space="preserve">
Source: Forbes team page, historical revenue for Forbes 2019 list (Feb 2020 list; 2018–19 season, net of revenue sharing and arena debt service), https://www.forbes.com/teams/detroit-pistons/</t>
        </r>
      </text>
    </comment>
    <comment ref="F13" authorId="0" shapeId="0" xr:uid="{8FAA9198-8B71-2B40-9FCE-279DBE363A12}">
      <text>
        <r>
          <rPr>
            <b/>
            <sz val="10"/>
            <color rgb="FF000000"/>
            <rFont val="Tahoma"/>
            <family val="2"/>
          </rPr>
          <t>Keller, Zach:</t>
        </r>
        <r>
          <rPr>
            <sz val="10"/>
            <color rgb="FF000000"/>
            <rFont val="Tahoma"/>
            <family val="2"/>
          </rPr>
          <t xml:space="preserve">
Source: Forbes team page, historical revenue for Forbes 2020 list (Feb 2021 list; 2019–20 season, net of revenue sharing and arena debt service), https://www.forbes.com/teams/detroit-pistons/</t>
        </r>
      </text>
    </comment>
    <comment ref="G13" authorId="0" shapeId="0" xr:uid="{E6513258-5CFF-8D47-8F9A-DDA8AA125744}">
      <text>
        <r>
          <rPr>
            <b/>
            <sz val="10"/>
            <color rgb="FF000000"/>
            <rFont val="Tahoma"/>
            <family val="2"/>
          </rPr>
          <t>Keller, Zach:</t>
        </r>
        <r>
          <rPr>
            <sz val="10"/>
            <color rgb="FF000000"/>
            <rFont val="Tahoma"/>
            <family val="2"/>
          </rPr>
          <t xml:space="preserve">
Source: Forbes team page, historical revenue for Forbes 2021 list (Oct 2021 list; 2020–21 season, net of revenue sharing and arena debt service), https://www.forbes.com/teams/detroit-pistons/</t>
        </r>
      </text>
    </comment>
    <comment ref="H13" authorId="0" shapeId="0" xr:uid="{79DAEF25-6DD0-2940-A530-1213CC4A9E4C}">
      <text>
        <r>
          <rPr>
            <b/>
            <sz val="10"/>
            <color rgb="FF000000"/>
            <rFont val="Tahoma"/>
            <family val="2"/>
          </rPr>
          <t>Keller, Zach:</t>
        </r>
        <r>
          <rPr>
            <sz val="10"/>
            <color rgb="FF000000"/>
            <rFont val="Tahoma"/>
            <family val="2"/>
          </rPr>
          <t xml:space="preserve">
Source: Forbes team page, historical revenue for Forbes 2022 list (Oct 2022 list; 2021–22 season, net of revenue sharing and arena debt service), https://www.forbes.com/teams/detroit-pistons/</t>
        </r>
      </text>
    </comment>
    <comment ref="I13" authorId="0" shapeId="0" xr:uid="{4879CE65-DA41-BC41-8598-F57B7782D75D}">
      <text>
        <r>
          <rPr>
            <b/>
            <sz val="10"/>
            <color rgb="FF000000"/>
            <rFont val="Tahoma"/>
            <family val="2"/>
          </rPr>
          <t>Keller, Zach:</t>
        </r>
        <r>
          <rPr>
            <sz val="10"/>
            <color rgb="FF000000"/>
            <rFont val="Tahoma"/>
            <family val="2"/>
          </rPr>
          <t xml:space="preserve">
Source: Forbes team page, historical revenue for Forbes 2023 list (Oct 2023 list; 2022–23 season, net of revenue sharing and arena debt service), https://www.forbes.com/teams/detroit-pistons/</t>
        </r>
      </text>
    </comment>
    <comment ref="J13" authorId="0" shapeId="0" xr:uid="{3D69DC11-3AD2-004C-AEA4-A95F5368C365}">
      <text>
        <r>
          <rPr>
            <b/>
            <sz val="10"/>
            <color rgb="FF000000"/>
            <rFont val="Tahoma"/>
            <family val="2"/>
          </rPr>
          <t>Keller, Zach:</t>
        </r>
        <r>
          <rPr>
            <sz val="10"/>
            <color rgb="FF000000"/>
            <rFont val="Tahoma"/>
            <family val="2"/>
          </rPr>
          <t xml:space="preserve">
Source: Forbes team page, historical revenue for Forbes 2024 list (Oct 2024 list; 2023–24 season, net of revenue sharing and arena debt service), https://www.forbes.com/teams/detroit-pistons/</t>
        </r>
      </text>
    </comment>
    <comment ref="K13" authorId="0" shapeId="0" xr:uid="{16DB97ED-DCCF-D342-ABF3-00894673B58B}">
      <text>
        <r>
          <rPr>
            <b/>
            <sz val="10"/>
            <color rgb="FF000000"/>
            <rFont val="Tahoma"/>
            <family val="2"/>
          </rPr>
          <t>Keller, Zach:</t>
        </r>
        <r>
          <rPr>
            <sz val="10"/>
            <color rgb="FF000000"/>
            <rFont val="Tahoma"/>
            <family val="2"/>
          </rPr>
          <t xml:space="preserve">
Source: Forbes, The Most Valuable NBA Teams 2025 list article (Oct 2025; 2024–25 revenue, net of revenue sharing and arena debt service), https://www.forbes.com/sites/justinteitelbaum/2025/10/23/the-most-valuable-nba-teams-2025/</t>
        </r>
      </text>
    </comment>
    <comment ref="B14" authorId="0" shapeId="0" xr:uid="{07AABFAE-2AED-084F-89D7-69430BA6C82C}">
      <text>
        <r>
          <rPr>
            <b/>
            <sz val="10"/>
            <color rgb="FF000000"/>
            <rFont val="Tahoma"/>
            <family val="2"/>
          </rPr>
          <t>Keller, Zach:</t>
        </r>
        <r>
          <rPr>
            <sz val="10"/>
            <color rgb="FF000000"/>
            <rFont val="Tahoma"/>
            <family val="2"/>
          </rPr>
          <t xml:space="preserve">
Source: Forbes team page, historical revenue for Forbes 2016 list (Feb 2017 list; 2015–16 season, net of revenue sharing and arena debt service), https://www.forbes.com/teams/golden-state-warriors/</t>
        </r>
      </text>
    </comment>
    <comment ref="C14" authorId="0" shapeId="0" xr:uid="{574A48B5-9752-C243-8AC5-6C8344667FF3}">
      <text>
        <r>
          <rPr>
            <b/>
            <sz val="10"/>
            <color rgb="FF000000"/>
            <rFont val="Tahoma"/>
            <family val="2"/>
          </rPr>
          <t>Keller, Zach:</t>
        </r>
        <r>
          <rPr>
            <sz val="10"/>
            <color rgb="FF000000"/>
            <rFont val="Tahoma"/>
            <family val="2"/>
          </rPr>
          <t xml:space="preserve">
Source: Forbes team page, historical revenue for Forbes 2017 list (Feb 2018 list; 2016–17 season, net of revenue sharing and arena debt service), https://www.forbes.com/teams/golden-state-warriors/</t>
        </r>
      </text>
    </comment>
    <comment ref="D14" authorId="0" shapeId="0" xr:uid="{6D1288C2-8A5B-DD4C-AAB0-7A84866EF301}">
      <text>
        <r>
          <rPr>
            <b/>
            <sz val="10"/>
            <color rgb="FF000000"/>
            <rFont val="Tahoma"/>
            <family val="2"/>
          </rPr>
          <t>Keller, Zach:</t>
        </r>
        <r>
          <rPr>
            <sz val="10"/>
            <color rgb="FF000000"/>
            <rFont val="Tahoma"/>
            <family val="2"/>
          </rPr>
          <t xml:space="preserve">
Source: Forbes team page, historical revenue for Forbes 2018 list (Feb 2019 list; 2017–18 season, net of revenue sharing and arena debt service), https://www.forbes.com/teams/golden-state-warriors/</t>
        </r>
      </text>
    </comment>
    <comment ref="E14" authorId="0" shapeId="0" xr:uid="{9DE71201-ED61-2F4A-8562-F7A4EFB685FE}">
      <text>
        <r>
          <rPr>
            <b/>
            <sz val="10"/>
            <color rgb="FF000000"/>
            <rFont val="Tahoma"/>
            <family val="2"/>
          </rPr>
          <t>Keller, Zach:</t>
        </r>
        <r>
          <rPr>
            <sz val="10"/>
            <color rgb="FF000000"/>
            <rFont val="Tahoma"/>
            <family val="2"/>
          </rPr>
          <t xml:space="preserve">
Source: Forbes team page, historical revenue for Forbes 2019 list (Feb 2020 list; 2018–19 season, net of revenue sharing and arena debt service), https://www.forbes.com/teams/golden-state-warriors/</t>
        </r>
      </text>
    </comment>
    <comment ref="F14" authorId="0" shapeId="0" xr:uid="{DB1334A2-CC5C-E64D-9E8F-335CC800F8AF}">
      <text>
        <r>
          <rPr>
            <b/>
            <sz val="10"/>
            <color rgb="FF000000"/>
            <rFont val="Tahoma"/>
            <family val="2"/>
          </rPr>
          <t>Keller, Zach:</t>
        </r>
        <r>
          <rPr>
            <sz val="10"/>
            <color rgb="FF000000"/>
            <rFont val="Tahoma"/>
            <family val="2"/>
          </rPr>
          <t xml:space="preserve">
Source: Forbes team page, historical revenue for Forbes 2020 list (Feb 2021 list; 2019–20 season, net of revenue sharing and arena debt service), https://www.forbes.com/teams/golden-state-warriors/</t>
        </r>
      </text>
    </comment>
    <comment ref="G14" authorId="0" shapeId="0" xr:uid="{99EDE59C-D9AC-BD4A-B91C-10A935BF1A28}">
      <text>
        <r>
          <rPr>
            <b/>
            <sz val="10"/>
            <color rgb="FF000000"/>
            <rFont val="Tahoma"/>
            <family val="2"/>
          </rPr>
          <t>Keller, Zach:</t>
        </r>
        <r>
          <rPr>
            <sz val="10"/>
            <color rgb="FF000000"/>
            <rFont val="Tahoma"/>
            <family val="2"/>
          </rPr>
          <t xml:space="preserve">
Source: Forbes team page, historical revenue for Forbes 2021 list (Oct 2021 list; 2020–21 season, net of revenue sharing and arena debt service), https://www.forbes.com/teams/golden-state-warriors/</t>
        </r>
      </text>
    </comment>
    <comment ref="H14" authorId="0" shapeId="0" xr:uid="{98A40497-8813-C144-AE2E-07E515348FB7}">
      <text>
        <r>
          <rPr>
            <b/>
            <sz val="10"/>
            <color rgb="FF000000"/>
            <rFont val="Tahoma"/>
            <family val="2"/>
          </rPr>
          <t>Keller, Zach:</t>
        </r>
        <r>
          <rPr>
            <sz val="10"/>
            <color rgb="FF000000"/>
            <rFont val="Tahoma"/>
            <family val="2"/>
          </rPr>
          <t xml:space="preserve">
Source: Forbes team page, historical revenue for Forbes 2022 list (Oct 2022 list; 2021–22 season, net of revenue sharing and arena debt service), https://www.forbes.com/teams/golden-state-warriors/</t>
        </r>
      </text>
    </comment>
    <comment ref="I14" authorId="0" shapeId="0" xr:uid="{28A666D2-2CF4-8E4F-B6A0-BF0A70318DA4}">
      <text>
        <r>
          <rPr>
            <b/>
            <sz val="10"/>
            <color rgb="FF000000"/>
            <rFont val="Tahoma"/>
            <family val="2"/>
          </rPr>
          <t>Keller, Zach:</t>
        </r>
        <r>
          <rPr>
            <sz val="10"/>
            <color rgb="FF000000"/>
            <rFont val="Tahoma"/>
            <family val="2"/>
          </rPr>
          <t xml:space="preserve">
Source: Forbes team page, historical revenue for Forbes 2023 list (Oct 2023 list; 2022–23 season, net of revenue sharing and arena debt service), https://www.forbes.com/teams/golden-state-warriors/</t>
        </r>
      </text>
    </comment>
    <comment ref="J14" authorId="0" shapeId="0" xr:uid="{C4C35F0D-C1E9-454F-AAB9-CFED10368E05}">
      <text>
        <r>
          <rPr>
            <b/>
            <sz val="10"/>
            <color rgb="FF000000"/>
            <rFont val="Tahoma"/>
            <family val="2"/>
          </rPr>
          <t>Keller, Zach:</t>
        </r>
        <r>
          <rPr>
            <sz val="10"/>
            <color rgb="FF000000"/>
            <rFont val="Tahoma"/>
            <family val="2"/>
          </rPr>
          <t xml:space="preserve">
Source: Forbes team page, historical revenue for Forbes 2024 list (Oct 2024 list; 2023–24 season, net of revenue sharing and arena debt service), https://www.forbes.com/teams/golden-state-warriors/</t>
        </r>
      </text>
    </comment>
    <comment ref="K14" authorId="0" shapeId="0" xr:uid="{280CDA92-9313-A34D-A291-D386CBFC93A3}">
      <text>
        <r>
          <rPr>
            <b/>
            <sz val="10"/>
            <color rgb="FF000000"/>
            <rFont val="Tahoma"/>
            <family val="2"/>
          </rPr>
          <t>Keller, Zach:</t>
        </r>
        <r>
          <rPr>
            <sz val="10"/>
            <color rgb="FF000000"/>
            <rFont val="Tahoma"/>
            <family val="2"/>
          </rPr>
          <t xml:space="preserve">
Source: Forbes, The Most Valuable NBA Teams 2025 list article (Oct 2025; 2024–25 revenue, net of revenue sharing and arena debt service), https://www.forbes.com/sites/justinteitelbaum/2025/10/23/the-most-valuable-nba-teams-2025/</t>
        </r>
      </text>
    </comment>
    <comment ref="B15" authorId="0" shapeId="0" xr:uid="{68A5AD34-7320-7043-80ED-C29A3A867E09}">
      <text>
        <r>
          <rPr>
            <b/>
            <sz val="10"/>
            <color rgb="FF000000"/>
            <rFont val="Tahoma"/>
            <family val="2"/>
          </rPr>
          <t>Keller, Zach:</t>
        </r>
        <r>
          <rPr>
            <sz val="10"/>
            <color rgb="FF000000"/>
            <rFont val="Tahoma"/>
            <family val="2"/>
          </rPr>
          <t xml:space="preserve">
Source: Forbes team page, historical revenue for Forbes 2016 list (Feb 2017 list; 2015–16 season, net of revenue sharing and arena debt service), https://www.forbes.com/teams/houston-rockets/</t>
        </r>
      </text>
    </comment>
    <comment ref="C15" authorId="0" shapeId="0" xr:uid="{30FAB2C2-6FC6-074C-AE37-0589D2438D22}">
      <text>
        <r>
          <rPr>
            <b/>
            <sz val="10"/>
            <color rgb="FF000000"/>
            <rFont val="Tahoma"/>
            <family val="2"/>
          </rPr>
          <t>Keller, Zach:</t>
        </r>
        <r>
          <rPr>
            <sz val="10"/>
            <color rgb="FF000000"/>
            <rFont val="Tahoma"/>
            <family val="2"/>
          </rPr>
          <t xml:space="preserve">
Source: Forbes team page, historical revenue for Forbes 2017 list (Feb 2018 list; 2016–17 season, net of revenue sharing and arena debt service), https://www.forbes.com/teams/houston-rockets/</t>
        </r>
      </text>
    </comment>
    <comment ref="D15" authorId="0" shapeId="0" xr:uid="{BB62B4F8-B560-054D-B53F-8B397D3E8345}">
      <text>
        <r>
          <rPr>
            <b/>
            <sz val="10"/>
            <color rgb="FF000000"/>
            <rFont val="Tahoma"/>
            <family val="2"/>
          </rPr>
          <t>Keller, Zach:</t>
        </r>
        <r>
          <rPr>
            <sz val="10"/>
            <color rgb="FF000000"/>
            <rFont val="Tahoma"/>
            <family val="2"/>
          </rPr>
          <t xml:space="preserve">
Source: Forbes team page, historical revenue for Forbes 2018 list (Feb 2019 list; 2017–18 season, net of revenue sharing and arena debt service), https://www.forbes.com/teams/houston-rockets/</t>
        </r>
      </text>
    </comment>
    <comment ref="E15" authorId="0" shapeId="0" xr:uid="{3F4855F1-49CC-0E42-B395-CFDC7C9A0DBE}">
      <text>
        <r>
          <rPr>
            <b/>
            <sz val="10"/>
            <color rgb="FF000000"/>
            <rFont val="Tahoma"/>
            <family val="2"/>
          </rPr>
          <t>Keller, Zach:</t>
        </r>
        <r>
          <rPr>
            <sz val="10"/>
            <color rgb="FF000000"/>
            <rFont val="Tahoma"/>
            <family val="2"/>
          </rPr>
          <t xml:space="preserve">
Source: Forbes team page, historical revenue for Forbes 2019 list (Feb 2020 list; 2018–19 season, net of revenue sharing and arena debt service), https://www.forbes.com/teams/houston-rockets/</t>
        </r>
      </text>
    </comment>
    <comment ref="F15" authorId="0" shapeId="0" xr:uid="{424BB06B-495D-FB40-BE70-CD741754A148}">
      <text>
        <r>
          <rPr>
            <b/>
            <sz val="10"/>
            <color rgb="FF000000"/>
            <rFont val="Tahoma"/>
            <family val="2"/>
          </rPr>
          <t>Keller, Zach:</t>
        </r>
        <r>
          <rPr>
            <sz val="10"/>
            <color rgb="FF000000"/>
            <rFont val="Tahoma"/>
            <family val="2"/>
          </rPr>
          <t xml:space="preserve">
Source: Forbes team page, historical revenue for Forbes 2020 list (Feb 2021 list; 2019–20 season, net of revenue sharing and arena debt service), https://www.forbes.com/teams/houston-rockets/</t>
        </r>
      </text>
    </comment>
    <comment ref="G15" authorId="0" shapeId="0" xr:uid="{59C459BB-E8D5-1C45-A09B-90DED87326B9}">
      <text>
        <r>
          <rPr>
            <b/>
            <sz val="10"/>
            <color rgb="FF000000"/>
            <rFont val="Tahoma"/>
            <family val="2"/>
          </rPr>
          <t>Keller, Zach:</t>
        </r>
        <r>
          <rPr>
            <sz val="10"/>
            <color rgb="FF000000"/>
            <rFont val="Tahoma"/>
            <family val="2"/>
          </rPr>
          <t xml:space="preserve">
Source: Forbes team page, historical revenue for Forbes 2021 list (Oct 2021 list; 2020–21 season, net of revenue sharing and arena debt service), https://www.forbes.com/teams/houston-rockets/</t>
        </r>
      </text>
    </comment>
    <comment ref="H15" authorId="0" shapeId="0" xr:uid="{E6238B0B-212A-2C41-B68F-9D78D6BD887C}">
      <text>
        <r>
          <rPr>
            <b/>
            <sz val="10"/>
            <color rgb="FF000000"/>
            <rFont val="Tahoma"/>
            <family val="2"/>
          </rPr>
          <t>Keller, Zach:</t>
        </r>
        <r>
          <rPr>
            <sz val="10"/>
            <color rgb="FF000000"/>
            <rFont val="Tahoma"/>
            <family val="2"/>
          </rPr>
          <t xml:space="preserve">
Source: Forbes team page, historical revenue for Forbes 2022 list (Oct 2022 list; 2021–22 season, net of revenue sharing and arena debt service), https://www.forbes.com/teams/houston-rockets/</t>
        </r>
      </text>
    </comment>
    <comment ref="I15" authorId="0" shapeId="0" xr:uid="{A180ECF0-813A-3949-850A-991E0780E97B}">
      <text>
        <r>
          <rPr>
            <b/>
            <sz val="10"/>
            <color rgb="FF000000"/>
            <rFont val="Tahoma"/>
            <family val="2"/>
          </rPr>
          <t>Keller, Zach:</t>
        </r>
        <r>
          <rPr>
            <sz val="10"/>
            <color rgb="FF000000"/>
            <rFont val="Tahoma"/>
            <family val="2"/>
          </rPr>
          <t xml:space="preserve">
Source: Forbes team page, historical revenue for Forbes 2023 list (Oct 2023 list; 2022–23 season, net of revenue sharing and arena debt service), https://www.forbes.com/teams/houston-rockets/</t>
        </r>
      </text>
    </comment>
    <comment ref="J15" authorId="0" shapeId="0" xr:uid="{AA68CFAA-0D44-A14D-99F3-EBE4AE0B1DB0}">
      <text>
        <r>
          <rPr>
            <b/>
            <sz val="10"/>
            <color rgb="FF000000"/>
            <rFont val="Tahoma"/>
            <family val="2"/>
          </rPr>
          <t>Keller, Zach:</t>
        </r>
        <r>
          <rPr>
            <sz val="10"/>
            <color rgb="FF000000"/>
            <rFont val="Tahoma"/>
            <family val="2"/>
          </rPr>
          <t xml:space="preserve">
Source: Forbes team page, historical revenue for Forbes 2024 list (Oct 2024 list; 2023–24 season, net of revenue sharing and arena debt service), https://www.forbes.com/teams/houston-rockets/</t>
        </r>
      </text>
    </comment>
    <comment ref="K15" authorId="0" shapeId="0" xr:uid="{F46C9243-0483-B24F-BC2D-56C354E19213}">
      <text>
        <r>
          <rPr>
            <b/>
            <sz val="10"/>
            <color rgb="FF000000"/>
            <rFont val="Tahoma"/>
            <family val="2"/>
          </rPr>
          <t>Keller, Zach:</t>
        </r>
        <r>
          <rPr>
            <sz val="10"/>
            <color rgb="FF000000"/>
            <rFont val="Tahoma"/>
            <family val="2"/>
          </rPr>
          <t xml:space="preserve">
Source: Forbes, The Most Valuable NBA Teams 2025 list article (Oct 2025; 2024–25 revenue, net of revenue sharing and arena debt service), https://www.forbes.com/sites/justinteitelbaum/2025/10/23/the-most-valuable-nba-teams-2025/</t>
        </r>
      </text>
    </comment>
    <comment ref="B16" authorId="0" shapeId="0" xr:uid="{DBBF1DDE-F37A-E54E-9CD0-0907BBD122CB}">
      <text>
        <r>
          <rPr>
            <b/>
            <sz val="10"/>
            <color rgb="FF000000"/>
            <rFont val="Tahoma"/>
            <family val="2"/>
          </rPr>
          <t>Keller, Zach:</t>
        </r>
        <r>
          <rPr>
            <sz val="10"/>
            <color rgb="FF000000"/>
            <rFont val="Tahoma"/>
            <family val="2"/>
          </rPr>
          <t xml:space="preserve">
Source: Forbes team page, historical revenue for Forbes 2016 list (Feb 2017 list; 2015–16 season, net of revenue sharing and arena debt service), https://www.forbes.com/teams/indiana-pacers/</t>
        </r>
      </text>
    </comment>
    <comment ref="C16" authorId="0" shapeId="0" xr:uid="{ADBDEF6E-1C86-2E42-A2A9-4E233CF58024}">
      <text>
        <r>
          <rPr>
            <b/>
            <sz val="10"/>
            <color rgb="FF000000"/>
            <rFont val="Tahoma"/>
            <family val="2"/>
          </rPr>
          <t>Keller, Zach:</t>
        </r>
        <r>
          <rPr>
            <sz val="10"/>
            <color rgb="FF000000"/>
            <rFont val="Tahoma"/>
            <family val="2"/>
          </rPr>
          <t xml:space="preserve">
Source: Forbes team page, historical revenue for Forbes 2017 list (Feb 2018 list; 2016–17 season, net of revenue sharing and arena debt service), https://www.forbes.com/teams/indiana-pacers/</t>
        </r>
      </text>
    </comment>
    <comment ref="D16" authorId="0" shapeId="0" xr:uid="{F4911726-D5ED-8E4A-8E1E-20C7E90A6D22}">
      <text>
        <r>
          <rPr>
            <b/>
            <sz val="10"/>
            <color rgb="FF000000"/>
            <rFont val="Tahoma"/>
            <family val="2"/>
          </rPr>
          <t>Keller, Zach:</t>
        </r>
        <r>
          <rPr>
            <sz val="10"/>
            <color rgb="FF000000"/>
            <rFont val="Tahoma"/>
            <family val="2"/>
          </rPr>
          <t xml:space="preserve">
Source: Forbes team page, historical revenue for Forbes 2018 list (Feb 2019 list; 2017–18 season, net of revenue sharing and arena debt service), https://www.forbes.com/teams/indiana-pacers/</t>
        </r>
      </text>
    </comment>
    <comment ref="E16" authorId="0" shapeId="0" xr:uid="{8D5526DE-7A02-9945-B030-0D101FC86B2C}">
      <text>
        <r>
          <rPr>
            <b/>
            <sz val="10"/>
            <color rgb="FF000000"/>
            <rFont val="Tahoma"/>
            <family val="2"/>
          </rPr>
          <t>Keller, Zach:</t>
        </r>
        <r>
          <rPr>
            <sz val="10"/>
            <color rgb="FF000000"/>
            <rFont val="Tahoma"/>
            <family val="2"/>
          </rPr>
          <t xml:space="preserve">
Source: Forbes team page, historical revenue for Forbes 2019 list (Feb 2020 list; 2018–19 season, net of revenue sharing and arena debt service), https://www.forbes.com/teams/indiana-pacers/</t>
        </r>
      </text>
    </comment>
    <comment ref="F16" authorId="0" shapeId="0" xr:uid="{2C6AD7A6-4D36-FD46-B63A-F5447D872380}">
      <text>
        <r>
          <rPr>
            <b/>
            <sz val="10"/>
            <color rgb="FF000000"/>
            <rFont val="Tahoma"/>
            <family val="2"/>
          </rPr>
          <t>Keller, Zach:</t>
        </r>
        <r>
          <rPr>
            <sz val="10"/>
            <color rgb="FF000000"/>
            <rFont val="Tahoma"/>
            <family val="2"/>
          </rPr>
          <t xml:space="preserve">
Source: Forbes team page, historical revenue for Forbes 2020 list (Feb 2021 list; 2019–20 season, net of revenue sharing and arena debt service), https://www.forbes.com/teams/indiana-pacers/</t>
        </r>
      </text>
    </comment>
    <comment ref="G16" authorId="0" shapeId="0" xr:uid="{3851108F-B73F-D74B-9349-0E8912D66DD8}">
      <text>
        <r>
          <rPr>
            <b/>
            <sz val="10"/>
            <color rgb="FF000000"/>
            <rFont val="Tahoma"/>
            <family val="2"/>
          </rPr>
          <t>Keller, Zach:</t>
        </r>
        <r>
          <rPr>
            <sz val="10"/>
            <color rgb="FF000000"/>
            <rFont val="Tahoma"/>
            <family val="2"/>
          </rPr>
          <t xml:space="preserve">
Source: Forbes team page, historical revenue for Forbes 2021 list (Oct 2021 list; 2020–21 season, net of revenue sharing and arena debt service), https://www.forbes.com/teams/indiana-pacers/</t>
        </r>
      </text>
    </comment>
    <comment ref="H16" authorId="0" shapeId="0" xr:uid="{3DE32F09-1044-4942-8F18-5BDA84CEFE1C}">
      <text>
        <r>
          <rPr>
            <b/>
            <sz val="10"/>
            <color rgb="FF000000"/>
            <rFont val="Tahoma"/>
            <family val="2"/>
          </rPr>
          <t>Keller, Zach:</t>
        </r>
        <r>
          <rPr>
            <sz val="10"/>
            <color rgb="FF000000"/>
            <rFont val="Tahoma"/>
            <family val="2"/>
          </rPr>
          <t xml:space="preserve">
Source: Forbes team page, historical revenue for Forbes 2022 list (Oct 2022 list; 2021–22 season, net of revenue sharing and arena debt service), https://www.forbes.com/teams/indiana-pacers/</t>
        </r>
      </text>
    </comment>
    <comment ref="I16" authorId="0" shapeId="0" xr:uid="{04D691C7-2C9A-E04E-93EE-19533DA07FD0}">
      <text>
        <r>
          <rPr>
            <b/>
            <sz val="10"/>
            <color rgb="FF000000"/>
            <rFont val="Tahoma"/>
            <family val="2"/>
          </rPr>
          <t>Keller, Zach:</t>
        </r>
        <r>
          <rPr>
            <sz val="10"/>
            <color rgb="FF000000"/>
            <rFont val="Tahoma"/>
            <family val="2"/>
          </rPr>
          <t xml:space="preserve">
Source: Forbes team page, historical revenue for Forbes 2023 list (Oct 2023 list; 2022–23 season, net of revenue sharing and arena debt service), https://www.forbes.com/teams/indiana-pacers/</t>
        </r>
      </text>
    </comment>
    <comment ref="J16" authorId="0" shapeId="0" xr:uid="{FA129D7F-8E8B-5147-A78A-23BF28769BC4}">
      <text>
        <r>
          <rPr>
            <b/>
            <sz val="10"/>
            <color rgb="FF000000"/>
            <rFont val="Tahoma"/>
            <family val="2"/>
          </rPr>
          <t>Keller, Zach:</t>
        </r>
        <r>
          <rPr>
            <sz val="10"/>
            <color rgb="FF000000"/>
            <rFont val="Tahoma"/>
            <family val="2"/>
          </rPr>
          <t xml:space="preserve">
Source: Forbes team page, historical revenue for Forbes 2024 list (Oct 2024 list; 2023–24 season, net of revenue sharing and arena debt service), https://www.forbes.com/teams/indiana-pacers/</t>
        </r>
      </text>
    </comment>
    <comment ref="K16" authorId="0" shapeId="0" xr:uid="{9468E275-869D-734B-98FB-3BA87CD5D7CD}">
      <text>
        <r>
          <rPr>
            <b/>
            <sz val="10"/>
            <color rgb="FF000000"/>
            <rFont val="Tahoma"/>
            <family val="2"/>
          </rPr>
          <t>Keller, Zach:</t>
        </r>
        <r>
          <rPr>
            <sz val="10"/>
            <color rgb="FF000000"/>
            <rFont val="Tahoma"/>
            <family val="2"/>
          </rPr>
          <t xml:space="preserve">
Source: Forbes, The Most Valuable NBA Teams 2025 list article (Oct 2025; 2024–25 revenue, net of revenue sharing and arena debt service), https://www.forbes.com/sites/justinteitelbaum/2025/10/23/the-most-valuable-nba-teams-2025/</t>
        </r>
      </text>
    </comment>
    <comment ref="B17" authorId="0" shapeId="0" xr:uid="{C6F18CFB-7EF0-724D-8B23-A725844E9FC0}">
      <text>
        <r>
          <rPr>
            <b/>
            <sz val="10"/>
            <color rgb="FF000000"/>
            <rFont val="Tahoma"/>
            <family val="2"/>
          </rPr>
          <t>Keller, Zach:</t>
        </r>
        <r>
          <rPr>
            <sz val="10"/>
            <color rgb="FF000000"/>
            <rFont val="Tahoma"/>
            <family val="2"/>
          </rPr>
          <t xml:space="preserve">
Source: Forbes team page, historical revenue for Forbes 2016 list (Feb 2017 list; 2015–16 season, net of revenue sharing and arena debt service), https://www.forbes.com/teams/los-angeles-clippers/</t>
        </r>
      </text>
    </comment>
    <comment ref="C17" authorId="0" shapeId="0" xr:uid="{C169028D-C98E-CD43-8388-85D8C30BF0A8}">
      <text>
        <r>
          <rPr>
            <b/>
            <sz val="10"/>
            <color rgb="FF000000"/>
            <rFont val="Tahoma"/>
            <family val="2"/>
          </rPr>
          <t>Keller, Zach:</t>
        </r>
        <r>
          <rPr>
            <sz val="10"/>
            <color rgb="FF000000"/>
            <rFont val="Tahoma"/>
            <family val="2"/>
          </rPr>
          <t xml:space="preserve">
Source: Forbes team page, historical revenue for Forbes 2017 list (Feb 2018 list; 2016–17 season, net of revenue sharing and arena debt service), https://www.forbes.com/teams/los-angeles-clippers/</t>
        </r>
      </text>
    </comment>
    <comment ref="D17" authorId="0" shapeId="0" xr:uid="{319C6404-9209-9D47-9FA8-084775672143}">
      <text>
        <r>
          <rPr>
            <b/>
            <sz val="10"/>
            <color rgb="FF000000"/>
            <rFont val="Tahoma"/>
            <family val="2"/>
          </rPr>
          <t>Keller, Zach:</t>
        </r>
        <r>
          <rPr>
            <sz val="10"/>
            <color rgb="FF000000"/>
            <rFont val="Tahoma"/>
            <family val="2"/>
          </rPr>
          <t xml:space="preserve">
Source: Forbes team page, historical revenue for Forbes 2018 list (Feb 2019 list; 2017–18 season, net of revenue sharing and arena debt service), https://www.forbes.com/teams/los-angeles-clippers/</t>
        </r>
      </text>
    </comment>
    <comment ref="E17" authorId="0" shapeId="0" xr:uid="{280FAC7E-121B-0B48-B716-8A44ED5C2F99}">
      <text>
        <r>
          <rPr>
            <b/>
            <sz val="10"/>
            <color rgb="FF000000"/>
            <rFont val="Tahoma"/>
            <family val="2"/>
          </rPr>
          <t>Keller, Zach:</t>
        </r>
        <r>
          <rPr>
            <sz val="10"/>
            <color rgb="FF000000"/>
            <rFont val="Tahoma"/>
            <family val="2"/>
          </rPr>
          <t xml:space="preserve">
Source: Forbes team page, historical revenue for Forbes 2019 list (Feb 2020 list; 2018–19 season, net of revenue sharing and arena debt service), https://www.forbes.com/teams/los-angeles-clippers/</t>
        </r>
      </text>
    </comment>
    <comment ref="F17" authorId="0" shapeId="0" xr:uid="{51C87B87-0842-B44A-B32B-892CAE9AE7A0}">
      <text>
        <r>
          <rPr>
            <b/>
            <sz val="10"/>
            <color rgb="FF000000"/>
            <rFont val="Tahoma"/>
            <family val="2"/>
          </rPr>
          <t>Keller, Zach:</t>
        </r>
        <r>
          <rPr>
            <sz val="10"/>
            <color rgb="FF000000"/>
            <rFont val="Tahoma"/>
            <family val="2"/>
          </rPr>
          <t xml:space="preserve">
Source: Forbes team page, historical revenue for Forbes 2020 list (Feb 2021 list; 2019–20 season, net of revenue sharing and arena debt service), https://www.forbes.com/teams/los-angeles-clippers/</t>
        </r>
      </text>
    </comment>
    <comment ref="G17" authorId="0" shapeId="0" xr:uid="{A0ADE89B-BAF1-6E47-9C21-8868C64CBD9E}">
      <text>
        <r>
          <rPr>
            <b/>
            <sz val="10"/>
            <color rgb="FF000000"/>
            <rFont val="Tahoma"/>
            <family val="2"/>
          </rPr>
          <t>Keller, Zach:</t>
        </r>
        <r>
          <rPr>
            <sz val="10"/>
            <color rgb="FF000000"/>
            <rFont val="Tahoma"/>
            <family val="2"/>
          </rPr>
          <t xml:space="preserve">
Source: Forbes team page, historical revenue for Forbes 2021 list (Oct 2021 list; 2020–21 season, net of revenue sharing and arena debt service), https://www.forbes.com/teams/los-angeles-clippers/</t>
        </r>
      </text>
    </comment>
    <comment ref="H17" authorId="0" shapeId="0" xr:uid="{42D6F908-AC8D-924B-AB33-3E75171B63A7}">
      <text>
        <r>
          <rPr>
            <b/>
            <sz val="10"/>
            <color rgb="FF000000"/>
            <rFont val="Tahoma"/>
            <family val="2"/>
          </rPr>
          <t>Keller, Zach:</t>
        </r>
        <r>
          <rPr>
            <sz val="10"/>
            <color rgb="FF000000"/>
            <rFont val="Tahoma"/>
            <family val="2"/>
          </rPr>
          <t xml:space="preserve">
Source: Forbes team page, historical revenue for Forbes 2022 list (Oct 2022 list; 2021–22 season, net of revenue sharing and arena debt service), https://www.forbes.com/teams/los-angeles-clippers/</t>
        </r>
      </text>
    </comment>
    <comment ref="I17" authorId="0" shapeId="0" xr:uid="{08B21A02-1742-0545-B616-61A5BD0F6F69}">
      <text>
        <r>
          <rPr>
            <b/>
            <sz val="10"/>
            <color rgb="FF000000"/>
            <rFont val="Tahoma"/>
            <family val="2"/>
          </rPr>
          <t>Keller, Zach:</t>
        </r>
        <r>
          <rPr>
            <sz val="10"/>
            <color rgb="FF000000"/>
            <rFont val="Tahoma"/>
            <family val="2"/>
          </rPr>
          <t xml:space="preserve">
Source: Forbes team page, historical revenue for Forbes 2023 list (Oct 2023 list; 2022–23 season, net of revenue sharing and arena debt service), https://www.forbes.com/teams/los-angeles-clippers/</t>
        </r>
      </text>
    </comment>
    <comment ref="J17" authorId="0" shapeId="0" xr:uid="{F297324D-ED9E-D748-A06F-6518314BD089}">
      <text>
        <r>
          <rPr>
            <b/>
            <sz val="10"/>
            <color rgb="FF000000"/>
            <rFont val="Tahoma"/>
            <family val="2"/>
          </rPr>
          <t>Keller, Zach:</t>
        </r>
        <r>
          <rPr>
            <sz val="10"/>
            <color rgb="FF000000"/>
            <rFont val="Tahoma"/>
            <family val="2"/>
          </rPr>
          <t xml:space="preserve">
Source: Forbes team page, historical revenue for Forbes 2024 list (Oct 2024 list; 2023–24 season, net of revenue sharing and arena debt service), https://www.forbes.com/teams/los-angeles-clippers/</t>
        </r>
      </text>
    </comment>
    <comment ref="K17" authorId="0" shapeId="0" xr:uid="{821AD633-EC6E-7746-8132-7563B08FEFB9}">
      <text>
        <r>
          <rPr>
            <b/>
            <sz val="10"/>
            <color rgb="FF000000"/>
            <rFont val="Tahoma"/>
            <family val="2"/>
          </rPr>
          <t>Keller, Zach:</t>
        </r>
        <r>
          <rPr>
            <sz val="10"/>
            <color rgb="FF000000"/>
            <rFont val="Tahoma"/>
            <family val="2"/>
          </rPr>
          <t xml:space="preserve">
Source: Forbes, The Most Valuable NBA Teams 2025 list article (Oct 2025; 2024–25 revenue, net of revenue sharing and arena debt service), https://www.forbes.com/sites/justinteitelbaum/2025/10/23/the-most-valuable-nba-teams-2025/</t>
        </r>
      </text>
    </comment>
    <comment ref="B18" authorId="0" shapeId="0" xr:uid="{D7254979-3A66-B041-B3DD-F0E991E31771}">
      <text>
        <r>
          <rPr>
            <b/>
            <sz val="10"/>
            <color rgb="FF000000"/>
            <rFont val="Tahoma"/>
            <family val="2"/>
          </rPr>
          <t>Keller, Zach:</t>
        </r>
        <r>
          <rPr>
            <sz val="10"/>
            <color rgb="FF000000"/>
            <rFont val="Tahoma"/>
            <family val="2"/>
          </rPr>
          <t xml:space="preserve">
Source: Forbes team page, historical revenue for Forbes 2016 list (Feb 2017 list; 2015–16 season, net of revenue sharing and arena debt service), https://www.forbes.com/teams/los-angeles-lakers/</t>
        </r>
      </text>
    </comment>
    <comment ref="C18" authorId="0" shapeId="0" xr:uid="{6D73DE7E-382A-894B-AD1F-328BFAF380D0}">
      <text>
        <r>
          <rPr>
            <b/>
            <sz val="10"/>
            <color rgb="FF000000"/>
            <rFont val="Tahoma"/>
            <family val="2"/>
          </rPr>
          <t>Keller, Zach:</t>
        </r>
        <r>
          <rPr>
            <sz val="10"/>
            <color rgb="FF000000"/>
            <rFont val="Tahoma"/>
            <family val="2"/>
          </rPr>
          <t xml:space="preserve">
Source: Forbes team page, historical revenue for Forbes 2017 list (Feb 2018 list; 2016–17 season, net of revenue sharing and arena debt service), https://www.forbes.com/teams/los-angeles-lakers/</t>
        </r>
      </text>
    </comment>
    <comment ref="D18" authorId="0" shapeId="0" xr:uid="{1FBD60B8-B5E4-DC41-8990-C77D4F76D1AF}">
      <text>
        <r>
          <rPr>
            <b/>
            <sz val="10"/>
            <color rgb="FF000000"/>
            <rFont val="Tahoma"/>
            <family val="2"/>
          </rPr>
          <t>Keller, Zach:</t>
        </r>
        <r>
          <rPr>
            <sz val="10"/>
            <color rgb="FF000000"/>
            <rFont val="Tahoma"/>
            <family val="2"/>
          </rPr>
          <t xml:space="preserve">
Source: Forbes team page, historical revenue for Forbes 2018 list (Feb 2019 list; 2017–18 season, net of revenue sharing and arena debt service), https://www.forbes.com/teams/los-angeles-lakers/</t>
        </r>
      </text>
    </comment>
    <comment ref="E18" authorId="0" shapeId="0" xr:uid="{98C87551-986B-534F-A7DE-B4337262A7C7}">
      <text>
        <r>
          <rPr>
            <b/>
            <sz val="10"/>
            <color rgb="FF000000"/>
            <rFont val="Tahoma"/>
            <family val="2"/>
          </rPr>
          <t>Keller, Zach:</t>
        </r>
        <r>
          <rPr>
            <sz val="10"/>
            <color rgb="FF000000"/>
            <rFont val="Tahoma"/>
            <family val="2"/>
          </rPr>
          <t xml:space="preserve">
Source: Forbes team page, historical revenue for Forbes 2019 list (Feb 2020 list; 2018–19 season, net of revenue sharing and arena debt service), https://www.forbes.com/teams/los-angeles-lakers/</t>
        </r>
      </text>
    </comment>
    <comment ref="F18" authorId="0" shapeId="0" xr:uid="{E70BD668-FD61-7845-AAD6-78299037B9CB}">
      <text>
        <r>
          <rPr>
            <b/>
            <sz val="10"/>
            <color rgb="FF000000"/>
            <rFont val="Tahoma"/>
            <family val="2"/>
          </rPr>
          <t>Keller, Zach:</t>
        </r>
        <r>
          <rPr>
            <sz val="10"/>
            <color rgb="FF000000"/>
            <rFont val="Tahoma"/>
            <family val="2"/>
          </rPr>
          <t xml:space="preserve">
Source: Forbes team page, historical revenue for Forbes 2020 list (Feb 2021 list; 2019–20 season, net of revenue sharing and arena debt service), https://www.forbes.com/teams/los-angeles-lakers/</t>
        </r>
      </text>
    </comment>
    <comment ref="G18" authorId="0" shapeId="0" xr:uid="{EF6B6A4F-02DD-4F41-8FE6-316EAD00D4FA}">
      <text>
        <r>
          <rPr>
            <b/>
            <sz val="10"/>
            <color rgb="FF000000"/>
            <rFont val="Tahoma"/>
            <family val="2"/>
          </rPr>
          <t>Keller, Zach:</t>
        </r>
        <r>
          <rPr>
            <sz val="10"/>
            <color rgb="FF000000"/>
            <rFont val="Tahoma"/>
            <family val="2"/>
          </rPr>
          <t xml:space="preserve">
Source: Forbes team page, historical revenue for Forbes 2021 list (Oct 2021 list; 2020–21 season, net of revenue sharing and arena debt service), https://www.forbes.com/teams/los-angeles-lakers/</t>
        </r>
      </text>
    </comment>
    <comment ref="H18" authorId="0" shapeId="0" xr:uid="{F55D8EC6-129B-F044-9FD2-1327A35C2607}">
      <text>
        <r>
          <rPr>
            <b/>
            <sz val="10"/>
            <color rgb="FF000000"/>
            <rFont val="Tahoma"/>
            <family val="2"/>
          </rPr>
          <t>Keller, Zach:</t>
        </r>
        <r>
          <rPr>
            <sz val="10"/>
            <color rgb="FF000000"/>
            <rFont val="Tahoma"/>
            <family val="2"/>
          </rPr>
          <t xml:space="preserve">
Source: Forbes team page, historical revenue for Forbes 2022 list (Oct 2022 list; 2021–22 season, net of revenue sharing and arena debt service), https://www.forbes.com/teams/los-angeles-lakers/</t>
        </r>
      </text>
    </comment>
    <comment ref="I18" authorId="0" shapeId="0" xr:uid="{A5AE4D68-EAA0-0B4B-823D-94F7FE9DC34A}">
      <text>
        <r>
          <rPr>
            <b/>
            <sz val="10"/>
            <color rgb="FF000000"/>
            <rFont val="Tahoma"/>
            <family val="2"/>
          </rPr>
          <t>Keller, Zach:</t>
        </r>
        <r>
          <rPr>
            <sz val="10"/>
            <color rgb="FF000000"/>
            <rFont val="Tahoma"/>
            <family val="2"/>
          </rPr>
          <t xml:space="preserve">
Source: Forbes team page, historical revenue for Forbes 2023 list (Oct 2023 list; 2022–23 season, net of revenue sharing and arena debt service), https://www.forbes.com/teams/los-angeles-lakers/</t>
        </r>
      </text>
    </comment>
    <comment ref="J18" authorId="0" shapeId="0" xr:uid="{79954B55-7E4F-564F-98EB-A4074F0C365E}">
      <text>
        <r>
          <rPr>
            <b/>
            <sz val="10"/>
            <color rgb="FF000000"/>
            <rFont val="Tahoma"/>
            <family val="2"/>
          </rPr>
          <t>Keller, Zach:</t>
        </r>
        <r>
          <rPr>
            <sz val="10"/>
            <color rgb="FF000000"/>
            <rFont val="Tahoma"/>
            <family val="2"/>
          </rPr>
          <t xml:space="preserve">
Source: Forbes team page, historical revenue for Forbes 2024 list (Oct 2024 list; 2023–24 season, net of revenue sharing and arena debt service), https://www.forbes.com/teams/los-angeles-lakers/</t>
        </r>
      </text>
    </comment>
    <comment ref="K18" authorId="0" shapeId="0" xr:uid="{3C962F9D-1328-A14E-9182-5EDB2BA9FF04}">
      <text>
        <r>
          <rPr>
            <b/>
            <sz val="10"/>
            <color rgb="FF000000"/>
            <rFont val="Tahoma"/>
            <family val="2"/>
          </rPr>
          <t>Keller, Zach:</t>
        </r>
        <r>
          <rPr>
            <sz val="10"/>
            <color rgb="FF000000"/>
            <rFont val="Tahoma"/>
            <family val="2"/>
          </rPr>
          <t xml:space="preserve">
Source: Forbes, The Most Valuable NBA Teams 2025 list article (Oct 2025; 2024–25 revenue, net of revenue sharing and arena debt service), https://www.forbes.com/sites/justinteitelbaum/2025/10/23/the-most-valuable-nba-teams-2025/</t>
        </r>
      </text>
    </comment>
    <comment ref="B19" authorId="0" shapeId="0" xr:uid="{036A91B8-82BC-FF4F-81D2-41AB00CFF9D8}">
      <text>
        <r>
          <rPr>
            <b/>
            <sz val="10"/>
            <color rgb="FF000000"/>
            <rFont val="Tahoma"/>
            <family val="2"/>
          </rPr>
          <t>Keller, Zach:</t>
        </r>
        <r>
          <rPr>
            <sz val="10"/>
            <color rgb="FF000000"/>
            <rFont val="Tahoma"/>
            <family val="2"/>
          </rPr>
          <t xml:space="preserve">
Source: Forbes team page, historical revenue for Forbes 2016 list (Feb 2017 list; 2015–16 season, net of revenue sharing and arena debt service), https://www.forbes.com/teams/memphis-grizzlies/</t>
        </r>
      </text>
    </comment>
    <comment ref="C19" authorId="0" shapeId="0" xr:uid="{D803D84B-D723-3D46-AFBA-21CAFF87129D}">
      <text>
        <r>
          <rPr>
            <b/>
            <sz val="10"/>
            <color rgb="FF000000"/>
            <rFont val="Tahoma"/>
            <family val="2"/>
          </rPr>
          <t>Keller, Zach:</t>
        </r>
        <r>
          <rPr>
            <sz val="10"/>
            <color rgb="FF000000"/>
            <rFont val="Tahoma"/>
            <family val="2"/>
          </rPr>
          <t xml:space="preserve">
Source: Forbes team page, historical revenue for Forbes 2017 list (Feb 2018 list; 2016–17 season, net of revenue sharing and arena debt service), https://www.forbes.com/teams/memphis-grizzlies/</t>
        </r>
      </text>
    </comment>
    <comment ref="D19" authorId="0" shapeId="0" xr:uid="{8185CA38-6F9F-7B44-B3DF-8BA6D3E006C4}">
      <text>
        <r>
          <rPr>
            <b/>
            <sz val="10"/>
            <color rgb="FF000000"/>
            <rFont val="Tahoma"/>
            <family val="2"/>
          </rPr>
          <t>Keller, Zach:</t>
        </r>
        <r>
          <rPr>
            <sz val="10"/>
            <color rgb="FF000000"/>
            <rFont val="Tahoma"/>
            <family val="2"/>
          </rPr>
          <t xml:space="preserve">
Source: Forbes team page, historical revenue for Forbes 2018 list (Feb 2019 list; 2017–18 season, net of revenue sharing and arena debt service), https://www.forbes.com/teams/memphis-grizzlies/</t>
        </r>
      </text>
    </comment>
    <comment ref="E19" authorId="0" shapeId="0" xr:uid="{61F190E3-E661-474E-915F-874DE4DFD7D9}">
      <text>
        <r>
          <rPr>
            <b/>
            <sz val="10"/>
            <color rgb="FF000000"/>
            <rFont val="Tahoma"/>
            <family val="2"/>
          </rPr>
          <t>Keller, Zach:</t>
        </r>
        <r>
          <rPr>
            <sz val="10"/>
            <color rgb="FF000000"/>
            <rFont val="Tahoma"/>
            <family val="2"/>
          </rPr>
          <t xml:space="preserve">
Source: Forbes team page, historical revenue for Forbes 2019 list (Feb 2020 list; 2018–19 season, net of revenue sharing and arena debt service), https://www.forbes.com/teams/memphis-grizzlies/</t>
        </r>
      </text>
    </comment>
    <comment ref="F19" authorId="0" shapeId="0" xr:uid="{7809787B-0173-8444-8EC4-3D5F9DB6536C}">
      <text>
        <r>
          <rPr>
            <b/>
            <sz val="10"/>
            <color rgb="FF000000"/>
            <rFont val="Tahoma"/>
            <family val="2"/>
          </rPr>
          <t>Keller, Zach:</t>
        </r>
        <r>
          <rPr>
            <sz val="10"/>
            <color rgb="FF000000"/>
            <rFont val="Tahoma"/>
            <family val="2"/>
          </rPr>
          <t xml:space="preserve">
Source: Forbes team page, historical revenue for Forbes 2020 list (Feb 2021 list; 2019–20 season, net of revenue sharing and arena debt service), https://www.forbes.com/teams/memphis-grizzlies/</t>
        </r>
      </text>
    </comment>
    <comment ref="G19" authorId="0" shapeId="0" xr:uid="{A8DA6927-20FF-3742-814F-68B36F98BA6F}">
      <text>
        <r>
          <rPr>
            <b/>
            <sz val="10"/>
            <color rgb="FF000000"/>
            <rFont val="Tahoma"/>
            <family val="2"/>
          </rPr>
          <t>Keller, Zach:</t>
        </r>
        <r>
          <rPr>
            <sz val="10"/>
            <color rgb="FF000000"/>
            <rFont val="Tahoma"/>
            <family val="2"/>
          </rPr>
          <t xml:space="preserve">
Source: Forbes team page, historical revenue for Forbes 2021 list (Oct 2021 list; 2020–21 season, net of revenue sharing and arena debt service), https://www.forbes.com/teams/memphis-grizzlies/</t>
        </r>
      </text>
    </comment>
    <comment ref="H19" authorId="0" shapeId="0" xr:uid="{29503AB7-4C05-3F4A-9690-69B8CEA604E5}">
      <text>
        <r>
          <rPr>
            <b/>
            <sz val="10"/>
            <color rgb="FF000000"/>
            <rFont val="Tahoma"/>
            <family val="2"/>
          </rPr>
          <t>Keller, Zach:</t>
        </r>
        <r>
          <rPr>
            <sz val="10"/>
            <color rgb="FF000000"/>
            <rFont val="Tahoma"/>
            <family val="2"/>
          </rPr>
          <t xml:space="preserve">
Source: Forbes team page, historical revenue for Forbes 2022 list (Oct 2022 list; 2021–22 season, net of revenue sharing and arena debt service), https://www.forbes.com/teams/memphis-grizzlies/</t>
        </r>
      </text>
    </comment>
    <comment ref="I19" authorId="0" shapeId="0" xr:uid="{76193647-9B48-094F-B8EE-ED4D664297FE}">
      <text>
        <r>
          <rPr>
            <b/>
            <sz val="10"/>
            <color rgb="FF000000"/>
            <rFont val="Tahoma"/>
            <family val="2"/>
          </rPr>
          <t>Keller, Zach:</t>
        </r>
        <r>
          <rPr>
            <sz val="10"/>
            <color rgb="FF000000"/>
            <rFont val="Tahoma"/>
            <family val="2"/>
          </rPr>
          <t xml:space="preserve">
Source: Forbes team page, historical revenue for Forbes 2023 list (Oct 2023 list; 2022–23 season, net of revenue sharing and arena debt service), https://www.forbes.com/teams/memphis-grizzlies/</t>
        </r>
      </text>
    </comment>
    <comment ref="J19" authorId="0" shapeId="0" xr:uid="{13365A3F-BB22-8343-89B5-CFF4D9CDF0E4}">
      <text>
        <r>
          <rPr>
            <b/>
            <sz val="10"/>
            <color rgb="FF000000"/>
            <rFont val="Tahoma"/>
            <family val="2"/>
          </rPr>
          <t>Keller, Zach:</t>
        </r>
        <r>
          <rPr>
            <sz val="10"/>
            <color rgb="FF000000"/>
            <rFont val="Tahoma"/>
            <family val="2"/>
          </rPr>
          <t xml:space="preserve">
Source: Forbes team page, historical revenue for Forbes 2024 list (Oct 2024 list; 2023–24 season, net of revenue sharing and arena debt service), https://www.forbes.com/teams/memphis-grizzlies/</t>
        </r>
      </text>
    </comment>
    <comment ref="K19" authorId="0" shapeId="0" xr:uid="{252B6917-389E-D747-B77E-630558F7E1EA}">
      <text>
        <r>
          <rPr>
            <b/>
            <sz val="10"/>
            <color rgb="FF000000"/>
            <rFont val="Tahoma"/>
            <family val="2"/>
          </rPr>
          <t>Keller, Zach:</t>
        </r>
        <r>
          <rPr>
            <sz val="10"/>
            <color rgb="FF000000"/>
            <rFont val="Tahoma"/>
            <family val="2"/>
          </rPr>
          <t xml:space="preserve">
Source: Forbes, The Most Valuable NBA Teams 2025 list article (Oct 2025; 2024–25 revenue, net of revenue sharing and arena debt service), https://www.forbes.com/sites/justinteitelbaum/2025/10/23/the-most-valuable-nba-teams-2025/</t>
        </r>
      </text>
    </comment>
    <comment ref="B20" authorId="0" shapeId="0" xr:uid="{0074B22B-EC17-7145-840F-887CE7450B32}">
      <text>
        <r>
          <rPr>
            <b/>
            <sz val="10"/>
            <color rgb="FF000000"/>
            <rFont val="Tahoma"/>
            <family val="2"/>
          </rPr>
          <t>Keller, Zach:</t>
        </r>
        <r>
          <rPr>
            <sz val="10"/>
            <color rgb="FF000000"/>
            <rFont val="Tahoma"/>
            <family val="2"/>
          </rPr>
          <t xml:space="preserve">
Source: Forbes team page, historical revenue for Forbes 2016 list (Feb 2017 list; 2015–16 season, net of revenue sharing and arena debt service), https://www.forbes.com/teams/miami-heat/</t>
        </r>
      </text>
    </comment>
    <comment ref="C20" authorId="0" shapeId="0" xr:uid="{68DBFA93-09DF-544E-9455-A8F4191DDC91}">
      <text>
        <r>
          <rPr>
            <b/>
            <sz val="10"/>
            <color rgb="FF000000"/>
            <rFont val="Tahoma"/>
            <family val="2"/>
          </rPr>
          <t>Keller, Zach:</t>
        </r>
        <r>
          <rPr>
            <sz val="10"/>
            <color rgb="FF000000"/>
            <rFont val="Tahoma"/>
            <family val="2"/>
          </rPr>
          <t xml:space="preserve">
Source: Forbes team page, historical revenue for Forbes 2017 list (Feb 2018 list; 2016–17 season, net of revenue sharing and arena debt service), https://www.forbes.com/teams/miami-heat/</t>
        </r>
      </text>
    </comment>
    <comment ref="D20" authorId="0" shapeId="0" xr:uid="{C63B0FC3-2D47-C447-A4BE-F24EFFF1356C}">
      <text>
        <r>
          <rPr>
            <b/>
            <sz val="10"/>
            <color rgb="FF000000"/>
            <rFont val="Tahoma"/>
            <family val="2"/>
          </rPr>
          <t>Keller, Zach:</t>
        </r>
        <r>
          <rPr>
            <sz val="10"/>
            <color rgb="FF000000"/>
            <rFont val="Tahoma"/>
            <family val="2"/>
          </rPr>
          <t xml:space="preserve">
Source: Forbes team page, historical revenue for Forbes 2018 list (Feb 2019 list; 2017–18 season, net of revenue sharing and arena debt service), https://www.forbes.com/teams/miami-heat/</t>
        </r>
      </text>
    </comment>
    <comment ref="E20" authorId="0" shapeId="0" xr:uid="{B91593A1-C3A0-F84F-B51A-3B6D836FA56F}">
      <text>
        <r>
          <rPr>
            <b/>
            <sz val="10"/>
            <color rgb="FF000000"/>
            <rFont val="Tahoma"/>
            <family val="2"/>
          </rPr>
          <t>Keller, Zach:</t>
        </r>
        <r>
          <rPr>
            <sz val="10"/>
            <color rgb="FF000000"/>
            <rFont val="Tahoma"/>
            <family val="2"/>
          </rPr>
          <t xml:space="preserve">
Source: Forbes team page, historical revenue for Forbes 2019 list (Feb 2020 list; 2018–19 season, net of revenue sharing and arena debt service), https://www.forbes.com/teams/miami-heat/</t>
        </r>
      </text>
    </comment>
    <comment ref="F20" authorId="0" shapeId="0" xr:uid="{57346289-468B-2F45-AE73-2AB8E2FEADC3}">
      <text>
        <r>
          <rPr>
            <b/>
            <sz val="10"/>
            <color rgb="FF000000"/>
            <rFont val="Tahoma"/>
            <family val="2"/>
          </rPr>
          <t>Keller, Zach:</t>
        </r>
        <r>
          <rPr>
            <sz val="10"/>
            <color rgb="FF000000"/>
            <rFont val="Tahoma"/>
            <family val="2"/>
          </rPr>
          <t xml:space="preserve">
Source: Forbes team page, historical revenue for Forbes 2020 list (Feb 2021 list; 2019–20 season, net of revenue sharing and arena debt service), https://www.forbes.com/teams/miami-heat/</t>
        </r>
      </text>
    </comment>
    <comment ref="G20" authorId="0" shapeId="0" xr:uid="{E837F243-30B4-2342-A711-C0BA22192F95}">
      <text>
        <r>
          <rPr>
            <b/>
            <sz val="10"/>
            <color rgb="FF000000"/>
            <rFont val="Tahoma"/>
            <family val="2"/>
          </rPr>
          <t>Keller, Zach:</t>
        </r>
        <r>
          <rPr>
            <sz val="10"/>
            <color rgb="FF000000"/>
            <rFont val="Tahoma"/>
            <family val="2"/>
          </rPr>
          <t xml:space="preserve">
Source: Forbes team page, historical revenue for Forbes 2021 list (Oct 2021 list; 2020–21 season, net of revenue sharing and arena debt service), https://www.forbes.com/teams/miami-heat/</t>
        </r>
      </text>
    </comment>
    <comment ref="H20" authorId="0" shapeId="0" xr:uid="{9EC67BEF-C249-7D4C-8F64-5417B6AF2D4B}">
      <text>
        <r>
          <rPr>
            <b/>
            <sz val="10"/>
            <color rgb="FF000000"/>
            <rFont val="Tahoma"/>
            <family val="2"/>
          </rPr>
          <t>Keller, Zach:</t>
        </r>
        <r>
          <rPr>
            <sz val="10"/>
            <color rgb="FF000000"/>
            <rFont val="Tahoma"/>
            <family val="2"/>
          </rPr>
          <t xml:space="preserve">
Source: Forbes team page, historical revenue for Forbes 2022 list (Oct 2022 list; 2021–22 season, net of revenue sharing and arena debt service), https://www.forbes.com/teams/miami-heat/</t>
        </r>
      </text>
    </comment>
    <comment ref="I20" authorId="0" shapeId="0" xr:uid="{22C11189-46D5-3C48-A91E-192D8EBA9061}">
      <text>
        <r>
          <rPr>
            <b/>
            <sz val="10"/>
            <color rgb="FF000000"/>
            <rFont val="Tahoma"/>
            <family val="2"/>
          </rPr>
          <t>Keller, Zach:</t>
        </r>
        <r>
          <rPr>
            <sz val="10"/>
            <color rgb="FF000000"/>
            <rFont val="Tahoma"/>
            <family val="2"/>
          </rPr>
          <t xml:space="preserve">
Source: Forbes team page, historical revenue for Forbes 2023 list (Oct 2023 list; 2022–23 season, net of revenue sharing and arena debt service), https://www.forbes.com/teams/miami-heat/</t>
        </r>
      </text>
    </comment>
    <comment ref="J20" authorId="0" shapeId="0" xr:uid="{8FA03750-D10A-8040-9D41-E67F3FAB980E}">
      <text>
        <r>
          <rPr>
            <b/>
            <sz val="10"/>
            <color rgb="FF000000"/>
            <rFont val="Tahoma"/>
            <family val="2"/>
          </rPr>
          <t>Keller, Zach:</t>
        </r>
        <r>
          <rPr>
            <sz val="10"/>
            <color rgb="FF000000"/>
            <rFont val="Tahoma"/>
            <family val="2"/>
          </rPr>
          <t xml:space="preserve">
Source: Forbes team page, historical revenue for Forbes 2024 list (Oct 2024 list; 2023–24 season, net of revenue sharing and arena debt service), https://www.forbes.com/teams/miami-heat/</t>
        </r>
      </text>
    </comment>
    <comment ref="K20" authorId="0" shapeId="0" xr:uid="{D6AB5A51-E88B-E14A-B7F8-A72CAEF30387}">
      <text>
        <r>
          <rPr>
            <b/>
            <sz val="10"/>
            <color rgb="FF000000"/>
            <rFont val="Tahoma"/>
            <family val="2"/>
          </rPr>
          <t>Keller, Zach:</t>
        </r>
        <r>
          <rPr>
            <sz val="10"/>
            <color rgb="FF000000"/>
            <rFont val="Tahoma"/>
            <family val="2"/>
          </rPr>
          <t xml:space="preserve">
Source: Forbes, The Most Valuable NBA Teams 2025 list article (Oct 2025; 2024–25 revenue, net of revenue sharing and arena debt service), https://www.forbes.com/sites/justinteitelbaum/2025/10/23/the-most-valuable-nba-teams-2025/</t>
        </r>
      </text>
    </comment>
    <comment ref="B21" authorId="0" shapeId="0" xr:uid="{6FE04634-1197-2D48-963F-3840C1BF68D7}">
      <text>
        <r>
          <rPr>
            <b/>
            <sz val="10"/>
            <color rgb="FF000000"/>
            <rFont val="Tahoma"/>
            <family val="2"/>
          </rPr>
          <t>Keller, Zach:</t>
        </r>
        <r>
          <rPr>
            <sz val="10"/>
            <color rgb="FF000000"/>
            <rFont val="Tahoma"/>
            <family val="2"/>
          </rPr>
          <t xml:space="preserve">
Source: Forbes team page, historical revenue for Forbes 2016 list (Feb 2017 list; 2015–16 season, net of revenue sharing and arena debt service), https://www.forbes.com/teams/milwaukee-bucks/</t>
        </r>
      </text>
    </comment>
    <comment ref="C21" authorId="0" shapeId="0" xr:uid="{27FDF05A-8CE2-7E46-80E8-6DC3846DF9A6}">
      <text>
        <r>
          <rPr>
            <b/>
            <sz val="10"/>
            <color rgb="FF000000"/>
            <rFont val="Tahoma"/>
            <family val="2"/>
          </rPr>
          <t>Keller, Zach:</t>
        </r>
        <r>
          <rPr>
            <sz val="10"/>
            <color rgb="FF000000"/>
            <rFont val="Tahoma"/>
            <family val="2"/>
          </rPr>
          <t xml:space="preserve">
Source: Forbes team page, historical revenue for Forbes 2017 list (Feb 2018 list; 2016–17 season, net of revenue sharing and arena debt service), https://www.forbes.com/teams/milwaukee-bucks/</t>
        </r>
      </text>
    </comment>
    <comment ref="D21" authorId="0" shapeId="0" xr:uid="{2070AA49-932D-4542-B934-90FDC6E0CF92}">
      <text>
        <r>
          <rPr>
            <b/>
            <sz val="10"/>
            <color rgb="FF000000"/>
            <rFont val="Tahoma"/>
            <family val="2"/>
          </rPr>
          <t>Keller, Zach:</t>
        </r>
        <r>
          <rPr>
            <sz val="10"/>
            <color rgb="FF000000"/>
            <rFont val="Tahoma"/>
            <family val="2"/>
          </rPr>
          <t xml:space="preserve">
Source: Forbes team page, historical revenue for Forbes 2018 list (Feb 2019 list; 2017–18 season, net of revenue sharing and arena debt service), https://www.forbes.com/teams/milwaukee-bucks/</t>
        </r>
      </text>
    </comment>
    <comment ref="E21" authorId="0" shapeId="0" xr:uid="{B2E53B6D-ABAD-8546-9F3C-834C9F88A335}">
      <text>
        <r>
          <rPr>
            <b/>
            <sz val="10"/>
            <color rgb="FF000000"/>
            <rFont val="Tahoma"/>
            <family val="2"/>
          </rPr>
          <t>Keller, Zach:</t>
        </r>
        <r>
          <rPr>
            <sz val="10"/>
            <color rgb="FF000000"/>
            <rFont val="Tahoma"/>
            <family val="2"/>
          </rPr>
          <t xml:space="preserve">
Source: Forbes team page, historical revenue for Forbes 2019 list (Feb 2020 list; 2018–19 season, net of revenue sharing and arena debt service), https://www.forbes.com/teams/milwaukee-bucks/</t>
        </r>
      </text>
    </comment>
    <comment ref="F21" authorId="0" shapeId="0" xr:uid="{00273B07-33D9-2B44-A59C-BE71A087F5AE}">
      <text>
        <r>
          <rPr>
            <b/>
            <sz val="10"/>
            <color rgb="FF000000"/>
            <rFont val="Tahoma"/>
            <family val="2"/>
          </rPr>
          <t>Keller, Zach:</t>
        </r>
        <r>
          <rPr>
            <sz val="10"/>
            <color rgb="FF000000"/>
            <rFont val="Tahoma"/>
            <family val="2"/>
          </rPr>
          <t xml:space="preserve">
Source: Forbes team page, historical revenue for Forbes 2020 list (Feb 2021 list; 2019–20 season, net of revenue sharing and arena debt service), https://www.forbes.com/teams/milwaukee-bucks/</t>
        </r>
      </text>
    </comment>
    <comment ref="G21" authorId="0" shapeId="0" xr:uid="{539A6283-6200-3445-B37B-844DB38ED9F5}">
      <text>
        <r>
          <rPr>
            <b/>
            <sz val="10"/>
            <color rgb="FF000000"/>
            <rFont val="Tahoma"/>
            <family val="2"/>
          </rPr>
          <t>Keller, Zach:</t>
        </r>
        <r>
          <rPr>
            <sz val="10"/>
            <color rgb="FF000000"/>
            <rFont val="Tahoma"/>
            <family val="2"/>
          </rPr>
          <t xml:space="preserve">
Source: Forbes team page, historical revenue for Forbes 2021 list (Oct 2021 list; 2020–21 season, net of revenue sharing and arena debt service), https://www.forbes.com/teams/milwaukee-bucks/</t>
        </r>
      </text>
    </comment>
    <comment ref="H21" authorId="0" shapeId="0" xr:uid="{B405E64F-3232-F942-9BB5-EF7121A43985}">
      <text>
        <r>
          <rPr>
            <b/>
            <sz val="10"/>
            <color rgb="FF000000"/>
            <rFont val="Tahoma"/>
            <family val="2"/>
          </rPr>
          <t>Keller, Zach:</t>
        </r>
        <r>
          <rPr>
            <sz val="10"/>
            <color rgb="FF000000"/>
            <rFont val="Tahoma"/>
            <family val="2"/>
          </rPr>
          <t xml:space="preserve">
Source: Forbes team page, historical revenue for Forbes 2022 list (Oct 2022 list; 2021–22 season, net of revenue sharing and arena debt service), https://www.forbes.com/teams/milwaukee-bucks/</t>
        </r>
      </text>
    </comment>
    <comment ref="I21" authorId="0" shapeId="0" xr:uid="{58F5571D-D3DF-334B-AD5D-FF36188C6AB2}">
      <text>
        <r>
          <rPr>
            <b/>
            <sz val="10"/>
            <color rgb="FF000000"/>
            <rFont val="Tahoma"/>
            <family val="2"/>
          </rPr>
          <t>Keller, Zach:</t>
        </r>
        <r>
          <rPr>
            <sz val="10"/>
            <color rgb="FF000000"/>
            <rFont val="Tahoma"/>
            <family val="2"/>
          </rPr>
          <t xml:space="preserve">
Source: Forbes team page, historical revenue for Forbes 2023 list (Oct 2023 list; 2022–23 season, net of revenue sharing and arena debt service), https://www.forbes.com/teams/milwaukee-bucks/</t>
        </r>
      </text>
    </comment>
    <comment ref="J21" authorId="0" shapeId="0" xr:uid="{13AF0D54-23BE-944D-836F-55B5DEE0F784}">
      <text>
        <r>
          <rPr>
            <b/>
            <sz val="10"/>
            <color rgb="FF000000"/>
            <rFont val="Tahoma"/>
            <family val="2"/>
          </rPr>
          <t>Keller, Zach:</t>
        </r>
        <r>
          <rPr>
            <sz val="10"/>
            <color rgb="FF000000"/>
            <rFont val="Tahoma"/>
            <family val="2"/>
          </rPr>
          <t xml:space="preserve">
Source: Forbes team page, historical revenue for Forbes 2024 list (Oct 2024 list; 2023–24 season, net of revenue sharing and arena debt service), https://www.forbes.com/teams/milwaukee-bucks/</t>
        </r>
      </text>
    </comment>
    <comment ref="K21" authorId="0" shapeId="0" xr:uid="{63D16DE7-9F95-7840-958C-E9C0F80D6F66}">
      <text>
        <r>
          <rPr>
            <b/>
            <sz val="10"/>
            <color rgb="FF000000"/>
            <rFont val="Tahoma"/>
            <family val="2"/>
          </rPr>
          <t>Keller, Zach:</t>
        </r>
        <r>
          <rPr>
            <sz val="10"/>
            <color rgb="FF000000"/>
            <rFont val="Tahoma"/>
            <family val="2"/>
          </rPr>
          <t xml:space="preserve">
Source: Forbes, The Most Valuable NBA Teams 2025 list article (Oct 2025; 2024–25 revenue, net of revenue sharing and arena debt service), https://www.forbes.com/sites/justinteitelbaum/2025/10/23/the-most-valuable-nba-teams-2025/</t>
        </r>
      </text>
    </comment>
    <comment ref="B22" authorId="0" shapeId="0" xr:uid="{2DEA0077-5FB6-4944-BFA8-24D828376DC1}">
      <text>
        <r>
          <rPr>
            <b/>
            <sz val="10"/>
            <color rgb="FF000000"/>
            <rFont val="Tahoma"/>
            <family val="2"/>
          </rPr>
          <t>Keller, Zach:</t>
        </r>
        <r>
          <rPr>
            <sz val="10"/>
            <color rgb="FF000000"/>
            <rFont val="Tahoma"/>
            <family val="2"/>
          </rPr>
          <t xml:space="preserve">
Source: Forbes team page, historical revenue for Forbes 2016 list (Feb 2017 list; 2015–16 season, net of revenue sharing and arena debt service), https://www.forbes.com/teams/minnesota-timberwolves/</t>
        </r>
      </text>
    </comment>
    <comment ref="C22" authorId="0" shapeId="0" xr:uid="{29420314-A5B4-CC46-AA8D-6168FCE007F2}">
      <text>
        <r>
          <rPr>
            <b/>
            <sz val="10"/>
            <color rgb="FF000000"/>
            <rFont val="Tahoma"/>
            <family val="2"/>
          </rPr>
          <t>Keller, Zach:</t>
        </r>
        <r>
          <rPr>
            <sz val="10"/>
            <color rgb="FF000000"/>
            <rFont val="Tahoma"/>
            <family val="2"/>
          </rPr>
          <t xml:space="preserve">
Source: Forbes team page, historical revenue for Forbes 2017 list (Feb 2018 list; 2016–17 season, net of revenue sharing and arena debt service), https://www.forbes.com/teams/minnesota-timberwolves/</t>
        </r>
      </text>
    </comment>
    <comment ref="D22" authorId="0" shapeId="0" xr:uid="{7D7DC69F-E4AD-8441-A83A-D6789493D870}">
      <text>
        <r>
          <rPr>
            <b/>
            <sz val="10"/>
            <color rgb="FF000000"/>
            <rFont val="Tahoma"/>
            <family val="2"/>
          </rPr>
          <t>Keller, Zach:</t>
        </r>
        <r>
          <rPr>
            <sz val="10"/>
            <color rgb="FF000000"/>
            <rFont val="Tahoma"/>
            <family val="2"/>
          </rPr>
          <t xml:space="preserve">
Source: Forbes team page, historical revenue for Forbes 2018 list (Feb 2019 list; 2017–18 season, net of revenue sharing and arena debt service), https://www.forbes.com/teams/minnesota-timberwolves/</t>
        </r>
      </text>
    </comment>
    <comment ref="E22" authorId="0" shapeId="0" xr:uid="{E2990CC6-F0B4-464A-AEEE-1CBC61997680}">
      <text>
        <r>
          <rPr>
            <b/>
            <sz val="10"/>
            <color rgb="FF000000"/>
            <rFont val="Tahoma"/>
            <family val="2"/>
          </rPr>
          <t>Keller, Zach:</t>
        </r>
        <r>
          <rPr>
            <sz val="10"/>
            <color rgb="FF000000"/>
            <rFont val="Tahoma"/>
            <family val="2"/>
          </rPr>
          <t xml:space="preserve">
Source: Forbes team page, historical revenue for Forbes 2019 list (Feb 2020 list; 2018–19 season, net of revenue sharing and arena debt service), https://www.forbes.com/teams/minnesota-timberwolves/</t>
        </r>
      </text>
    </comment>
    <comment ref="F22" authorId="0" shapeId="0" xr:uid="{9F591F7A-3736-704F-90AA-39726CB0C4A4}">
      <text>
        <r>
          <rPr>
            <b/>
            <sz val="10"/>
            <color rgb="FF000000"/>
            <rFont val="Tahoma"/>
            <family val="2"/>
          </rPr>
          <t>Keller, Zach:</t>
        </r>
        <r>
          <rPr>
            <sz val="10"/>
            <color rgb="FF000000"/>
            <rFont val="Tahoma"/>
            <family val="2"/>
          </rPr>
          <t xml:space="preserve">
Source: Forbes team page, historical revenue for Forbes 2020 list (Feb 2021 list; 2019–20 season, net of revenue sharing and arena debt service), https://www.forbes.com/teams/minnesota-timberwolves/</t>
        </r>
      </text>
    </comment>
    <comment ref="G22" authorId="0" shapeId="0" xr:uid="{D3D41E4D-C75A-1E40-98C1-FF04536D75F1}">
      <text>
        <r>
          <rPr>
            <b/>
            <sz val="10"/>
            <color rgb="FF000000"/>
            <rFont val="Tahoma"/>
            <family val="2"/>
          </rPr>
          <t>Keller, Zach:</t>
        </r>
        <r>
          <rPr>
            <sz val="10"/>
            <color rgb="FF000000"/>
            <rFont val="Tahoma"/>
            <family val="2"/>
          </rPr>
          <t xml:space="preserve">
Source: Forbes team page, historical revenue for Forbes 2021 list (Oct 2021 list; 2020–21 season, net of revenue sharing and arena debt service), https://www.forbes.com/teams/minnesota-timberwolves/</t>
        </r>
      </text>
    </comment>
    <comment ref="H22" authorId="0" shapeId="0" xr:uid="{032A1EB8-30F8-8B47-93A2-00499EF229D4}">
      <text>
        <r>
          <rPr>
            <b/>
            <sz val="10"/>
            <color rgb="FF000000"/>
            <rFont val="Tahoma"/>
            <family val="2"/>
          </rPr>
          <t>Keller, Zach:</t>
        </r>
        <r>
          <rPr>
            <sz val="10"/>
            <color rgb="FF000000"/>
            <rFont val="Tahoma"/>
            <family val="2"/>
          </rPr>
          <t xml:space="preserve">
Source: Forbes team page, historical revenue for Forbes 2022 list (Oct 2022 list; 2021–22 season, net of revenue sharing and arena debt service), https://www.forbes.com/teams/minnesota-timberwolves/</t>
        </r>
      </text>
    </comment>
    <comment ref="I22" authorId="0" shapeId="0" xr:uid="{64B66D8E-87CA-0C45-A737-BE9438F7FF5C}">
      <text>
        <r>
          <rPr>
            <b/>
            <sz val="10"/>
            <color rgb="FF000000"/>
            <rFont val="Tahoma"/>
            <family val="2"/>
          </rPr>
          <t>Keller, Zach:</t>
        </r>
        <r>
          <rPr>
            <sz val="10"/>
            <color rgb="FF000000"/>
            <rFont val="Tahoma"/>
            <family val="2"/>
          </rPr>
          <t xml:space="preserve">
Source: Forbes team page, historical revenue for Forbes 2023 list (Oct 2023 list; 2022–23 season, net of revenue sharing and arena debt service), https://www.forbes.com/teams/minnesota-timberwolves/</t>
        </r>
      </text>
    </comment>
    <comment ref="J22" authorId="0" shapeId="0" xr:uid="{351E6BAC-E6E8-684F-B12E-199A51ADE270}">
      <text>
        <r>
          <rPr>
            <b/>
            <sz val="10"/>
            <color rgb="FF000000"/>
            <rFont val="Tahoma"/>
            <family val="2"/>
          </rPr>
          <t>Keller, Zach:</t>
        </r>
        <r>
          <rPr>
            <sz val="10"/>
            <color rgb="FF000000"/>
            <rFont val="Tahoma"/>
            <family val="2"/>
          </rPr>
          <t xml:space="preserve">
Source: Forbes team page, historical revenue for Forbes 2024 list (Oct 2024 list; 2023–24 season, net of revenue sharing and arena debt service), https://www.forbes.com/teams/minnesota-timberwolves/</t>
        </r>
      </text>
    </comment>
    <comment ref="K22" authorId="0" shapeId="0" xr:uid="{B60F34B7-621A-A04F-930C-228E7C8C3FF9}">
      <text>
        <r>
          <rPr>
            <b/>
            <sz val="10"/>
            <color rgb="FF000000"/>
            <rFont val="Tahoma"/>
            <family val="2"/>
          </rPr>
          <t>Keller, Zach:</t>
        </r>
        <r>
          <rPr>
            <sz val="10"/>
            <color rgb="FF000000"/>
            <rFont val="Tahoma"/>
            <family val="2"/>
          </rPr>
          <t xml:space="preserve">
Source: Forbes, The Most Valuable NBA Teams 2025 list article (Oct 2025; 2024–25 revenue, net of revenue sharing and arena debt service), https://www.forbes.com/sites/justinteitelbaum/2025/10/23/the-most-valuable-nba-teams-2025/</t>
        </r>
      </text>
    </comment>
    <comment ref="B23" authorId="0" shapeId="0" xr:uid="{1E92ED78-E5D1-7C47-8A41-54A7CA70C0CC}">
      <text>
        <r>
          <rPr>
            <b/>
            <sz val="10"/>
            <color rgb="FF000000"/>
            <rFont val="Tahoma"/>
            <family val="2"/>
          </rPr>
          <t>Keller, Zach:</t>
        </r>
        <r>
          <rPr>
            <sz val="10"/>
            <color rgb="FF000000"/>
            <rFont val="Tahoma"/>
            <family val="2"/>
          </rPr>
          <t xml:space="preserve">
Source: Forbes team page, historical revenue for Forbes 2016 list (Feb 2017 list; 2015–16 season, net of revenue sharing and arena debt service), https://www.forbes.com/teams/new-orleans-pelicans/</t>
        </r>
      </text>
    </comment>
    <comment ref="C23" authorId="0" shapeId="0" xr:uid="{C02B3A83-B9BE-2447-BD61-04CC00068933}">
      <text>
        <r>
          <rPr>
            <b/>
            <sz val="10"/>
            <color rgb="FF000000"/>
            <rFont val="Tahoma"/>
            <family val="2"/>
          </rPr>
          <t>Keller, Zach:</t>
        </r>
        <r>
          <rPr>
            <sz val="10"/>
            <color rgb="FF000000"/>
            <rFont val="Tahoma"/>
            <family val="2"/>
          </rPr>
          <t xml:space="preserve">
Source: Forbes team page, historical revenue for Forbes 2017 list (Feb 2018 list; 2016–17 season, net of revenue sharing and arena debt service), https://www.forbes.com/teams/new-orleans-pelicans/</t>
        </r>
      </text>
    </comment>
    <comment ref="D23" authorId="0" shapeId="0" xr:uid="{8A5F8000-799B-2545-AF26-0F5A0ED10424}">
      <text>
        <r>
          <rPr>
            <b/>
            <sz val="10"/>
            <color rgb="FF000000"/>
            <rFont val="Tahoma"/>
            <family val="2"/>
          </rPr>
          <t>Keller, Zach:</t>
        </r>
        <r>
          <rPr>
            <sz val="10"/>
            <color rgb="FF000000"/>
            <rFont val="Tahoma"/>
            <family val="2"/>
          </rPr>
          <t xml:space="preserve">
Source: Forbes team page, historical revenue for Forbes 2018 list (Feb 2019 list; 2017–18 season, net of revenue sharing and arena debt service), https://www.forbes.com/teams/new-orleans-pelicans/</t>
        </r>
      </text>
    </comment>
    <comment ref="E23" authorId="0" shapeId="0" xr:uid="{93503DBE-6ABE-8343-9363-29511B318377}">
      <text>
        <r>
          <rPr>
            <b/>
            <sz val="10"/>
            <color rgb="FF000000"/>
            <rFont val="Tahoma"/>
            <family val="2"/>
          </rPr>
          <t>Keller, Zach:</t>
        </r>
        <r>
          <rPr>
            <sz val="10"/>
            <color rgb="FF000000"/>
            <rFont val="Tahoma"/>
            <family val="2"/>
          </rPr>
          <t xml:space="preserve">
Source: Forbes team page, historical revenue for Forbes 2019 list (Feb 2020 list; 2018–19 season, net of revenue sharing and arena debt service), https://www.forbes.com/teams/new-orleans-pelicans/</t>
        </r>
      </text>
    </comment>
    <comment ref="F23" authorId="0" shapeId="0" xr:uid="{6E05C1F4-307E-6644-8906-3977D6A0A927}">
      <text>
        <r>
          <rPr>
            <b/>
            <sz val="10"/>
            <color rgb="FF000000"/>
            <rFont val="Tahoma"/>
            <family val="2"/>
          </rPr>
          <t>Keller, Zach:</t>
        </r>
        <r>
          <rPr>
            <sz val="10"/>
            <color rgb="FF000000"/>
            <rFont val="Tahoma"/>
            <family val="2"/>
          </rPr>
          <t xml:space="preserve">
Source: Forbes team page, historical revenue for Forbes 2020 list (Feb 2021 list; 2019–20 season, net of revenue sharing and arena debt service), https://www.forbes.com/teams/new-orleans-pelicans/</t>
        </r>
      </text>
    </comment>
    <comment ref="G23" authorId="0" shapeId="0" xr:uid="{B12471A7-55CD-DB48-A4CE-B0F5F30595F1}">
      <text>
        <r>
          <rPr>
            <b/>
            <sz val="10"/>
            <color rgb="FF000000"/>
            <rFont val="Tahoma"/>
            <family val="2"/>
          </rPr>
          <t>Keller, Zach:</t>
        </r>
        <r>
          <rPr>
            <sz val="10"/>
            <color rgb="FF000000"/>
            <rFont val="Tahoma"/>
            <family val="2"/>
          </rPr>
          <t xml:space="preserve">
Source: Forbes team page, historical revenue for Forbes 2021 list (Oct 2021 list; 2020–21 season, net of revenue sharing and arena debt service), https://www.forbes.com/teams/new-orleans-pelicans/</t>
        </r>
      </text>
    </comment>
    <comment ref="H23" authorId="0" shapeId="0" xr:uid="{560EC299-BE8D-0342-A36C-BCB541DF5415}">
      <text>
        <r>
          <rPr>
            <b/>
            <sz val="10"/>
            <color rgb="FF000000"/>
            <rFont val="Tahoma"/>
            <family val="2"/>
          </rPr>
          <t>Keller, Zach:</t>
        </r>
        <r>
          <rPr>
            <sz val="10"/>
            <color rgb="FF000000"/>
            <rFont val="Tahoma"/>
            <family val="2"/>
          </rPr>
          <t xml:space="preserve">
Source: Forbes team page, historical revenue for Forbes 2022 list (Oct 2022 list; 2021–22 season, net of revenue sharing and arena debt service), https://www.forbes.com/teams/new-orleans-pelicans/</t>
        </r>
      </text>
    </comment>
    <comment ref="I23" authorId="0" shapeId="0" xr:uid="{3F820294-3C7E-474B-9B49-76997E5572F3}">
      <text>
        <r>
          <rPr>
            <b/>
            <sz val="10"/>
            <color rgb="FF000000"/>
            <rFont val="Tahoma"/>
            <family val="2"/>
          </rPr>
          <t>Keller, Zach:</t>
        </r>
        <r>
          <rPr>
            <sz val="10"/>
            <color rgb="FF000000"/>
            <rFont val="Tahoma"/>
            <family val="2"/>
          </rPr>
          <t xml:space="preserve">
Source: Forbes team page, historical revenue for Forbes 2023 list (Oct 2023 list; 2022–23 season, net of revenue sharing and arena debt service), https://www.forbes.com/teams/new-orleans-pelicans/</t>
        </r>
      </text>
    </comment>
    <comment ref="J23" authorId="0" shapeId="0" xr:uid="{E7ED39D4-BF8D-DE4E-A68C-4C08DB95BC03}">
      <text>
        <r>
          <rPr>
            <b/>
            <sz val="10"/>
            <color rgb="FF000000"/>
            <rFont val="Tahoma"/>
            <family val="2"/>
          </rPr>
          <t>Keller, Zach:</t>
        </r>
        <r>
          <rPr>
            <sz val="10"/>
            <color rgb="FF000000"/>
            <rFont val="Tahoma"/>
            <family val="2"/>
          </rPr>
          <t xml:space="preserve">
Source: Forbes team page, historical revenue for Forbes 2024 list (Oct 2024 list; 2023–24 season, net of revenue sharing and arena debt service), https://www.forbes.com/teams/new-orleans-pelicans/</t>
        </r>
      </text>
    </comment>
    <comment ref="K23" authorId="0" shapeId="0" xr:uid="{23A6F6F1-3A89-BD46-A53A-07AB518ECFDC}">
      <text>
        <r>
          <rPr>
            <b/>
            <sz val="10"/>
            <color rgb="FF000000"/>
            <rFont val="Tahoma"/>
            <family val="2"/>
          </rPr>
          <t>Keller, Zach:</t>
        </r>
        <r>
          <rPr>
            <sz val="10"/>
            <color rgb="FF000000"/>
            <rFont val="Tahoma"/>
            <family val="2"/>
          </rPr>
          <t xml:space="preserve">
Source: Forbes, The Most Valuable NBA Teams 2025 list article (Oct 2025; 2024–25 revenue, net of revenue sharing and arena debt service), https://www.forbes.com/sites/justinteitelbaum/2025/10/23/the-most-valuable-nba-teams-2025/</t>
        </r>
      </text>
    </comment>
    <comment ref="B24" authorId="0" shapeId="0" xr:uid="{C039FCB0-0D86-3D45-8DB2-020CB6A4250D}">
      <text>
        <r>
          <rPr>
            <b/>
            <sz val="10"/>
            <color rgb="FF000000"/>
            <rFont val="Tahoma"/>
            <family val="2"/>
          </rPr>
          <t>Keller, Zach:</t>
        </r>
        <r>
          <rPr>
            <sz val="10"/>
            <color rgb="FF000000"/>
            <rFont val="Tahoma"/>
            <family val="2"/>
          </rPr>
          <t xml:space="preserve">
Source: Forbes team page, historical revenue for Forbes 2016 list (Feb 2017 list; 2015–16 season, net of revenue sharing and arena debt service), https://www.forbes.com/teams/new-york-knicks/</t>
        </r>
      </text>
    </comment>
    <comment ref="C24" authorId="0" shapeId="0" xr:uid="{E72655C0-CA50-FD46-A275-14FB52A40CD0}">
      <text>
        <r>
          <rPr>
            <b/>
            <sz val="10"/>
            <color rgb="FF000000"/>
            <rFont val="Tahoma"/>
            <family val="2"/>
          </rPr>
          <t>Keller, Zach:</t>
        </r>
        <r>
          <rPr>
            <sz val="10"/>
            <color rgb="FF000000"/>
            <rFont val="Tahoma"/>
            <family val="2"/>
          </rPr>
          <t xml:space="preserve">
Source: Forbes team page, historical revenue for Forbes 2017 list (Feb 2018 list; 2016–17 season, net of revenue sharing and arena debt service), https://www.forbes.com/teams/new-york-knicks/</t>
        </r>
      </text>
    </comment>
    <comment ref="D24" authorId="0" shapeId="0" xr:uid="{D5E62845-F5E1-7A40-9A05-16B3151CA802}">
      <text>
        <r>
          <rPr>
            <b/>
            <sz val="10"/>
            <color rgb="FF000000"/>
            <rFont val="Tahoma"/>
            <family val="2"/>
          </rPr>
          <t>Keller, Zach:</t>
        </r>
        <r>
          <rPr>
            <sz val="10"/>
            <color rgb="FF000000"/>
            <rFont val="Tahoma"/>
            <family val="2"/>
          </rPr>
          <t xml:space="preserve">
Source: Forbes team page, historical revenue for Forbes 2018 list (Feb 2019 list; 2017–18 season, net of revenue sharing and arena debt service), https://www.forbes.com/teams/new-york-knicks/</t>
        </r>
      </text>
    </comment>
    <comment ref="E24" authorId="0" shapeId="0" xr:uid="{C7913ABA-CC2A-894C-8AE0-71712780EDE6}">
      <text>
        <r>
          <rPr>
            <b/>
            <sz val="10"/>
            <color rgb="FF000000"/>
            <rFont val="Tahoma"/>
            <family val="2"/>
          </rPr>
          <t>Keller, Zach:</t>
        </r>
        <r>
          <rPr>
            <sz val="10"/>
            <color rgb="FF000000"/>
            <rFont val="Tahoma"/>
            <family val="2"/>
          </rPr>
          <t xml:space="preserve">
Source: Forbes team page, historical revenue for Forbes 2019 list (Feb 2020 list; 2018–19 season, net of revenue sharing and arena debt service), https://www.forbes.com/teams/new-york-knicks/</t>
        </r>
      </text>
    </comment>
    <comment ref="F24" authorId="0" shapeId="0" xr:uid="{8C5846D1-99D4-6B4E-8DCF-22B91DF26FC5}">
      <text>
        <r>
          <rPr>
            <b/>
            <sz val="10"/>
            <color rgb="FF000000"/>
            <rFont val="Tahoma"/>
            <family val="2"/>
          </rPr>
          <t>Keller, Zach:</t>
        </r>
        <r>
          <rPr>
            <sz val="10"/>
            <color rgb="FF000000"/>
            <rFont val="Tahoma"/>
            <family val="2"/>
          </rPr>
          <t xml:space="preserve">
Source: Forbes team page, historical revenue for Forbes 2020 list (Feb 2021 list; 2019–20 season, net of revenue sharing and arena debt service), https://www.forbes.com/teams/new-york-knicks/</t>
        </r>
      </text>
    </comment>
    <comment ref="G24" authorId="0" shapeId="0" xr:uid="{92E2651B-BDD9-414E-8B37-9BFE7F60542E}">
      <text>
        <r>
          <rPr>
            <b/>
            <sz val="10"/>
            <color rgb="FF000000"/>
            <rFont val="Tahoma"/>
            <family val="2"/>
          </rPr>
          <t>Keller, Zach:</t>
        </r>
        <r>
          <rPr>
            <sz val="10"/>
            <color rgb="FF000000"/>
            <rFont val="Tahoma"/>
            <family val="2"/>
          </rPr>
          <t xml:space="preserve">
Source: Forbes team page, historical revenue for Forbes 2021 list (Oct 2021 list; 2020–21 season, net of revenue sharing and arena debt service), https://www.forbes.com/teams/new-york-knicks/</t>
        </r>
      </text>
    </comment>
    <comment ref="H24" authorId="0" shapeId="0" xr:uid="{83E0D892-9ED5-FD46-9EFC-D800753FB745}">
      <text>
        <r>
          <rPr>
            <b/>
            <sz val="10"/>
            <color rgb="FF000000"/>
            <rFont val="Tahoma"/>
            <family val="2"/>
          </rPr>
          <t>Keller, Zach:</t>
        </r>
        <r>
          <rPr>
            <sz val="10"/>
            <color rgb="FF000000"/>
            <rFont val="Tahoma"/>
            <family val="2"/>
          </rPr>
          <t xml:space="preserve">
Source: Forbes team page, historical revenue for Forbes 2022 list (Oct 2022 list; 2021–22 season, net of revenue sharing and arena debt service), https://www.forbes.com/teams/new-york-knicks/</t>
        </r>
      </text>
    </comment>
    <comment ref="I24" authorId="0" shapeId="0" xr:uid="{6BF0A3BE-9667-4740-976F-C3BDA3BDAE0B}">
      <text>
        <r>
          <rPr>
            <b/>
            <sz val="10"/>
            <color rgb="FF000000"/>
            <rFont val="Tahoma"/>
            <family val="2"/>
          </rPr>
          <t>Keller, Zach:</t>
        </r>
        <r>
          <rPr>
            <sz val="10"/>
            <color rgb="FF000000"/>
            <rFont val="Tahoma"/>
            <family val="2"/>
          </rPr>
          <t xml:space="preserve">
Source: Forbes team page, historical revenue for Forbes 2023 list (Oct 2023 list; 2022–23 season, net of revenue sharing and arena debt service), https://www.forbes.com/teams/new-york-knicks/</t>
        </r>
      </text>
    </comment>
    <comment ref="J24" authorId="0" shapeId="0" xr:uid="{E0D5738C-1A62-D849-A3D8-5EEF046DA123}">
      <text>
        <r>
          <rPr>
            <b/>
            <sz val="10"/>
            <color rgb="FF000000"/>
            <rFont val="Tahoma"/>
            <family val="2"/>
          </rPr>
          <t>Keller, Zach:</t>
        </r>
        <r>
          <rPr>
            <sz val="10"/>
            <color rgb="FF000000"/>
            <rFont val="Tahoma"/>
            <family val="2"/>
          </rPr>
          <t xml:space="preserve">
Source: Forbes team page, historical revenue for Forbes 2024 list (Oct 2024 list; 2023–24 season, net of revenue sharing and arena debt service), https://www.forbes.com/teams/new-york-knicks/</t>
        </r>
      </text>
    </comment>
    <comment ref="K24" authorId="0" shapeId="0" xr:uid="{437ADAAB-193A-4C4B-8BC4-54A91C1D2DAC}">
      <text>
        <r>
          <rPr>
            <b/>
            <sz val="10"/>
            <color rgb="FF000000"/>
            <rFont val="Tahoma"/>
            <family val="2"/>
          </rPr>
          <t>Keller, Zach:</t>
        </r>
        <r>
          <rPr>
            <sz val="10"/>
            <color rgb="FF000000"/>
            <rFont val="Tahoma"/>
            <family val="2"/>
          </rPr>
          <t xml:space="preserve">
Source: Forbes, The Most Valuable NBA Teams 2025 list article (Oct 2025; 2024–25 revenue, net of revenue sharing and arena debt service), https://www.forbes.com/sites/justinteitelbaum/2025/10/23/the-most-valuable-nba-teams-2025/</t>
        </r>
      </text>
    </comment>
    <comment ref="B25" authorId="0" shapeId="0" xr:uid="{54865BA6-2C0A-7A49-8212-226300798B4B}">
      <text>
        <r>
          <rPr>
            <b/>
            <sz val="10"/>
            <color rgb="FF000000"/>
            <rFont val="Tahoma"/>
            <family val="2"/>
          </rPr>
          <t>Keller, Zach:</t>
        </r>
        <r>
          <rPr>
            <sz val="10"/>
            <color rgb="FF000000"/>
            <rFont val="Tahoma"/>
            <family val="2"/>
          </rPr>
          <t xml:space="preserve">
Source: Forbes team page, historical revenue for Forbes 2016 list (Feb 2017 list; 2015–16 season, net of revenue sharing and arena debt service), https://www.forbes.com/teams/oklahoma-city-thunder/</t>
        </r>
      </text>
    </comment>
    <comment ref="C25" authorId="0" shapeId="0" xr:uid="{6B4DA68B-0242-EA4E-840E-7328F3B1B48D}">
      <text>
        <r>
          <rPr>
            <b/>
            <sz val="10"/>
            <color rgb="FF000000"/>
            <rFont val="Tahoma"/>
            <family val="2"/>
          </rPr>
          <t>Keller, Zach:</t>
        </r>
        <r>
          <rPr>
            <sz val="10"/>
            <color rgb="FF000000"/>
            <rFont val="Tahoma"/>
            <family val="2"/>
          </rPr>
          <t xml:space="preserve">
Source: Forbes team page, historical revenue for Forbes 2017 list (Feb 2018 list; 2016–17 season, net of revenue sharing and arena debt service), https://www.forbes.com/teams/oklahoma-city-thunder/</t>
        </r>
      </text>
    </comment>
    <comment ref="D25" authorId="0" shapeId="0" xr:uid="{B813A51D-A660-264E-85BA-DF26875FF461}">
      <text>
        <r>
          <rPr>
            <b/>
            <sz val="10"/>
            <color rgb="FF000000"/>
            <rFont val="Tahoma"/>
            <family val="2"/>
          </rPr>
          <t>Keller, Zach:</t>
        </r>
        <r>
          <rPr>
            <sz val="10"/>
            <color rgb="FF000000"/>
            <rFont val="Tahoma"/>
            <family val="2"/>
          </rPr>
          <t xml:space="preserve">
Source: Forbes team page, historical revenue for Forbes 2018 list (Feb 2019 list; 2017–18 season, net of revenue sharing and arena debt service), https://www.forbes.com/teams/oklahoma-city-thunder/</t>
        </r>
      </text>
    </comment>
    <comment ref="E25" authorId="0" shapeId="0" xr:uid="{7D633522-B7C0-7147-AB87-97B4A10C88A2}">
      <text>
        <r>
          <rPr>
            <b/>
            <sz val="10"/>
            <color rgb="FF000000"/>
            <rFont val="Tahoma"/>
            <family val="2"/>
          </rPr>
          <t>Keller, Zach:</t>
        </r>
        <r>
          <rPr>
            <sz val="10"/>
            <color rgb="FF000000"/>
            <rFont val="Tahoma"/>
            <family val="2"/>
          </rPr>
          <t xml:space="preserve">
Source: Forbes team page, historical revenue for Forbes 2019 list (Feb 2020 list; 2018–19 season, net of revenue sharing and arena debt service), https://www.forbes.com/teams/oklahoma-city-thunder/</t>
        </r>
      </text>
    </comment>
    <comment ref="F25" authorId="0" shapeId="0" xr:uid="{8A53175C-7B4C-5442-B324-0A574286D182}">
      <text>
        <r>
          <rPr>
            <b/>
            <sz val="10"/>
            <color rgb="FF000000"/>
            <rFont val="Tahoma"/>
            <family val="2"/>
          </rPr>
          <t>Keller, Zach:</t>
        </r>
        <r>
          <rPr>
            <sz val="10"/>
            <color rgb="FF000000"/>
            <rFont val="Tahoma"/>
            <family val="2"/>
          </rPr>
          <t xml:space="preserve">
Source: Forbes team page, historical revenue for Forbes 2020 list (Feb 2021 list; 2019–20 season, net of revenue sharing and arena debt service), https://www.forbes.com/teams/oklahoma-city-thunder/</t>
        </r>
      </text>
    </comment>
    <comment ref="G25" authorId="0" shapeId="0" xr:uid="{F4112B03-480D-EE4B-8290-F585DCCDDC30}">
      <text>
        <r>
          <rPr>
            <b/>
            <sz val="10"/>
            <color rgb="FF000000"/>
            <rFont val="Tahoma"/>
            <family val="2"/>
          </rPr>
          <t>Keller, Zach:</t>
        </r>
        <r>
          <rPr>
            <sz val="10"/>
            <color rgb="FF000000"/>
            <rFont val="Tahoma"/>
            <family val="2"/>
          </rPr>
          <t xml:space="preserve">
Source: Forbes team page, historical revenue for Forbes 2021 list (Oct 2021 list; 2020–21 season, net of revenue sharing and arena debt service), https://www.forbes.com/teams/oklahoma-city-thunder/</t>
        </r>
      </text>
    </comment>
    <comment ref="H25" authorId="0" shapeId="0" xr:uid="{105BF597-D882-CD46-A44F-8F9CBDB0F698}">
      <text>
        <r>
          <rPr>
            <b/>
            <sz val="10"/>
            <color rgb="FF000000"/>
            <rFont val="Tahoma"/>
            <family val="2"/>
          </rPr>
          <t>Keller, Zach:</t>
        </r>
        <r>
          <rPr>
            <sz val="10"/>
            <color rgb="FF000000"/>
            <rFont val="Tahoma"/>
            <family val="2"/>
          </rPr>
          <t xml:space="preserve">
Source: Forbes team page, historical revenue for Forbes 2022 list (Oct 2022 list; 2021–22 season, net of revenue sharing and arena debt service), https://www.forbes.com/teams/oklahoma-city-thunder/</t>
        </r>
      </text>
    </comment>
    <comment ref="I25" authorId="0" shapeId="0" xr:uid="{035FFCD7-8BD0-2847-B91B-C77CAE06A604}">
      <text>
        <r>
          <rPr>
            <b/>
            <sz val="10"/>
            <color rgb="FF000000"/>
            <rFont val="Tahoma"/>
            <family val="2"/>
          </rPr>
          <t>Keller, Zach:</t>
        </r>
        <r>
          <rPr>
            <sz val="10"/>
            <color rgb="FF000000"/>
            <rFont val="Tahoma"/>
            <family val="2"/>
          </rPr>
          <t xml:space="preserve">
Source: Forbes team page, historical revenue for Forbes 2023 list (Oct 2023 list; 2022–23 season, net of revenue sharing and arena debt service), https://www.forbes.com/teams/oklahoma-city-thunder/</t>
        </r>
      </text>
    </comment>
    <comment ref="J25" authorId="0" shapeId="0" xr:uid="{5E122E93-BF1F-F245-ACE3-5B670E5E5C3D}">
      <text>
        <r>
          <rPr>
            <b/>
            <sz val="10"/>
            <color rgb="FF000000"/>
            <rFont val="Tahoma"/>
            <family val="2"/>
          </rPr>
          <t>Keller, Zach:</t>
        </r>
        <r>
          <rPr>
            <sz val="10"/>
            <color rgb="FF000000"/>
            <rFont val="Tahoma"/>
            <family val="2"/>
          </rPr>
          <t xml:space="preserve">
Source: Forbes team page, historical revenue for Forbes 2024 list (Oct 2024 list; 2023–24 season, net of revenue sharing and arena debt service), https://www.forbes.com/teams/oklahoma-city-thunder/</t>
        </r>
      </text>
    </comment>
    <comment ref="K25" authorId="0" shapeId="0" xr:uid="{7C8BDCCA-FD22-BC45-BE89-2ED94BBFB531}">
      <text>
        <r>
          <rPr>
            <b/>
            <sz val="10"/>
            <color rgb="FF000000"/>
            <rFont val="Tahoma"/>
            <family val="2"/>
          </rPr>
          <t>Keller, Zach:</t>
        </r>
        <r>
          <rPr>
            <sz val="10"/>
            <color rgb="FF000000"/>
            <rFont val="Tahoma"/>
            <family val="2"/>
          </rPr>
          <t xml:space="preserve">
Source: Forbes, The Most Valuable NBA Teams 2025 list article (Oct 2025; 2024–25 revenue, net of revenue sharing and arena debt service), https://www.forbes.com/sites/justinteitelbaum/2025/10/23/the-most-valuable-nba-teams-2025/</t>
        </r>
      </text>
    </comment>
    <comment ref="B26" authorId="0" shapeId="0" xr:uid="{1FF69749-FC7A-B947-9C71-D35FDDB7D734}">
      <text>
        <r>
          <rPr>
            <b/>
            <sz val="10"/>
            <color rgb="FF000000"/>
            <rFont val="Tahoma"/>
            <family val="2"/>
          </rPr>
          <t>Keller, Zach:</t>
        </r>
        <r>
          <rPr>
            <sz val="10"/>
            <color rgb="FF000000"/>
            <rFont val="Tahoma"/>
            <family val="2"/>
          </rPr>
          <t xml:space="preserve">
Source: Forbes team page, historical revenue for Forbes 2016 list (Feb 2017 list; 2015–16 season, net of revenue sharing and arena debt service), https://www.forbes.com/teams/orlando-magic/</t>
        </r>
      </text>
    </comment>
    <comment ref="C26" authorId="0" shapeId="0" xr:uid="{D536A455-DA1A-C944-8270-43C2914A91F6}">
      <text>
        <r>
          <rPr>
            <b/>
            <sz val="10"/>
            <color rgb="FF000000"/>
            <rFont val="Tahoma"/>
            <family val="2"/>
          </rPr>
          <t>Keller, Zach:</t>
        </r>
        <r>
          <rPr>
            <sz val="10"/>
            <color rgb="FF000000"/>
            <rFont val="Tahoma"/>
            <family val="2"/>
          </rPr>
          <t xml:space="preserve">
Source: Forbes team page, historical revenue for Forbes 2017 list (Feb 2018 list; 2016–17 season, net of revenue sharing and arena debt service), https://www.forbes.com/teams/orlando-magic/</t>
        </r>
      </text>
    </comment>
    <comment ref="D26" authorId="0" shapeId="0" xr:uid="{5EC5C4F4-701D-B944-BD41-42DE45F2055A}">
      <text>
        <r>
          <rPr>
            <b/>
            <sz val="10"/>
            <color rgb="FF000000"/>
            <rFont val="Tahoma"/>
            <family val="2"/>
          </rPr>
          <t>Keller, Zach:</t>
        </r>
        <r>
          <rPr>
            <sz val="10"/>
            <color rgb="FF000000"/>
            <rFont val="Tahoma"/>
            <family val="2"/>
          </rPr>
          <t xml:space="preserve">
Source: Forbes team page, historical revenue for Forbes 2018 list (Feb 2019 list; 2017–18 season, net of revenue sharing and arena debt service), https://www.forbes.com/teams/orlando-magic/</t>
        </r>
      </text>
    </comment>
    <comment ref="E26" authorId="0" shapeId="0" xr:uid="{8F33C0E2-DE7D-2541-9ED2-A871EBB24D90}">
      <text>
        <r>
          <rPr>
            <b/>
            <sz val="10"/>
            <color rgb="FF000000"/>
            <rFont val="Tahoma"/>
            <family val="2"/>
          </rPr>
          <t>Keller, Zach:</t>
        </r>
        <r>
          <rPr>
            <sz val="10"/>
            <color rgb="FF000000"/>
            <rFont val="Tahoma"/>
            <family val="2"/>
          </rPr>
          <t xml:space="preserve">
Source: Forbes team page, historical revenue for Forbes 2019 list (Feb 2020 list; 2018–19 season, net of revenue sharing and arena debt service), https://www.forbes.com/teams/orlando-magic/</t>
        </r>
      </text>
    </comment>
    <comment ref="F26" authorId="0" shapeId="0" xr:uid="{0C81669C-6624-1C43-870B-6C181AFCA422}">
      <text>
        <r>
          <rPr>
            <b/>
            <sz val="10"/>
            <color rgb="FF000000"/>
            <rFont val="Tahoma"/>
            <family val="2"/>
          </rPr>
          <t>Keller, Zach:</t>
        </r>
        <r>
          <rPr>
            <sz val="10"/>
            <color rgb="FF000000"/>
            <rFont val="Tahoma"/>
            <family val="2"/>
          </rPr>
          <t xml:space="preserve">
Source: Forbes team page, historical revenue for Forbes 2020 list (Feb 2021 list; 2019–20 season, net of revenue sharing and arena debt service), https://www.forbes.com/teams/orlando-magic/</t>
        </r>
      </text>
    </comment>
    <comment ref="G26" authorId="0" shapeId="0" xr:uid="{4D372057-26CD-ED4C-8CCB-F5C44E3B6468}">
      <text>
        <r>
          <rPr>
            <b/>
            <sz val="10"/>
            <color rgb="FF000000"/>
            <rFont val="Tahoma"/>
            <family val="2"/>
          </rPr>
          <t>Keller, Zach:</t>
        </r>
        <r>
          <rPr>
            <sz val="10"/>
            <color rgb="FF000000"/>
            <rFont val="Tahoma"/>
            <family val="2"/>
          </rPr>
          <t xml:space="preserve">
Source: Forbes team page, historical revenue for Forbes 2021 list (Oct 2021 list; 2020–21 season, net of revenue sharing and arena debt service), https://www.forbes.com/teams/orlando-magic/</t>
        </r>
      </text>
    </comment>
    <comment ref="H26" authorId="0" shapeId="0" xr:uid="{036A928B-2099-7A4C-B49F-28A5D5C2BE49}">
      <text>
        <r>
          <rPr>
            <b/>
            <sz val="10"/>
            <color rgb="FF000000"/>
            <rFont val="Tahoma"/>
            <family val="2"/>
          </rPr>
          <t>Keller, Zach:</t>
        </r>
        <r>
          <rPr>
            <sz val="10"/>
            <color rgb="FF000000"/>
            <rFont val="Tahoma"/>
            <family val="2"/>
          </rPr>
          <t xml:space="preserve">
Source: Forbes team page, historical revenue for Forbes 2022 list (Oct 2022 list; 2021–22 season, net of revenue sharing and arena debt service), https://www.forbes.com/teams/orlando-magic/</t>
        </r>
      </text>
    </comment>
    <comment ref="I26" authorId="0" shapeId="0" xr:uid="{F5EB920C-F6E0-1343-ABBC-8F3E6A0B9037}">
      <text>
        <r>
          <rPr>
            <b/>
            <sz val="10"/>
            <color rgb="FF000000"/>
            <rFont val="Tahoma"/>
            <family val="2"/>
          </rPr>
          <t>Keller, Zach:</t>
        </r>
        <r>
          <rPr>
            <sz val="10"/>
            <color rgb="FF000000"/>
            <rFont val="Tahoma"/>
            <family val="2"/>
          </rPr>
          <t xml:space="preserve">
Source: Forbes team page, historical revenue for Forbes 2023 list (Oct 2023 list; 2022–23 season, net of revenue sharing and arena debt service), https://www.forbes.com/teams/orlando-magic/</t>
        </r>
      </text>
    </comment>
    <comment ref="J26" authorId="0" shapeId="0" xr:uid="{D4D33B85-7C98-7C49-A002-69A47CB2423C}">
      <text>
        <r>
          <rPr>
            <b/>
            <sz val="10"/>
            <color rgb="FF000000"/>
            <rFont val="Tahoma"/>
            <family val="2"/>
          </rPr>
          <t>Keller, Zach:</t>
        </r>
        <r>
          <rPr>
            <sz val="10"/>
            <color rgb="FF000000"/>
            <rFont val="Tahoma"/>
            <family val="2"/>
          </rPr>
          <t xml:space="preserve">
Source: Forbes team page, historical revenue for Forbes 2024 list (Oct 2024 list; 2023–24 season, net of revenue sharing and arena debt service), https://www.forbes.com/teams/orlando-magic/</t>
        </r>
      </text>
    </comment>
    <comment ref="K26" authorId="0" shapeId="0" xr:uid="{2A4849FB-90C9-2C4C-AF58-8DA9E96BF93C}">
      <text>
        <r>
          <rPr>
            <b/>
            <sz val="10"/>
            <color rgb="FF000000"/>
            <rFont val="Tahoma"/>
            <family val="2"/>
          </rPr>
          <t>Keller, Zach:</t>
        </r>
        <r>
          <rPr>
            <sz val="10"/>
            <color rgb="FF000000"/>
            <rFont val="Tahoma"/>
            <family val="2"/>
          </rPr>
          <t xml:space="preserve">
Source: Forbes, The Most Valuable NBA Teams 2025 list article (Oct 2025; 2024–25 revenue, net of revenue sharing and arena debt service), https://www.forbes.com/sites/justinteitelbaum/2025/10/23/the-most-valuable-nba-teams-2025/</t>
        </r>
      </text>
    </comment>
    <comment ref="B27" authorId="0" shapeId="0" xr:uid="{ECAA5ED1-D8A4-8741-8A0D-62A14262A0A3}">
      <text>
        <r>
          <rPr>
            <b/>
            <sz val="10"/>
            <color rgb="FF000000"/>
            <rFont val="Tahoma"/>
            <family val="2"/>
          </rPr>
          <t>Keller, Zach:</t>
        </r>
        <r>
          <rPr>
            <sz val="10"/>
            <color rgb="FF000000"/>
            <rFont val="Tahoma"/>
            <family val="2"/>
          </rPr>
          <t xml:space="preserve">
Source: Forbes team page, historical revenue for Forbes 2016 list (Feb 2017 list; 2015–16 season, net of revenue sharing and arena debt service), https://www.forbes.com/teams/philadelphia-76ers/</t>
        </r>
      </text>
    </comment>
    <comment ref="C27" authorId="0" shapeId="0" xr:uid="{EF45FB10-D81F-A543-93D1-F5C0DD96CC59}">
      <text>
        <r>
          <rPr>
            <b/>
            <sz val="10"/>
            <color rgb="FF000000"/>
            <rFont val="Tahoma"/>
            <family val="2"/>
          </rPr>
          <t>Keller, Zach:</t>
        </r>
        <r>
          <rPr>
            <sz val="10"/>
            <color rgb="FF000000"/>
            <rFont val="Tahoma"/>
            <family val="2"/>
          </rPr>
          <t xml:space="preserve">
Source: Forbes team page, historical revenue for Forbes 2017 list (Feb 2018 list; 2016–17 season, net of revenue sharing and arena debt service), https://www.forbes.com/teams/philadelphia-76ers/</t>
        </r>
      </text>
    </comment>
    <comment ref="D27" authorId="0" shapeId="0" xr:uid="{31128BE8-CED1-F048-A206-DC1BF93ED023}">
      <text>
        <r>
          <rPr>
            <b/>
            <sz val="10"/>
            <color rgb="FF000000"/>
            <rFont val="Tahoma"/>
            <family val="2"/>
          </rPr>
          <t>Keller, Zach:</t>
        </r>
        <r>
          <rPr>
            <sz val="10"/>
            <color rgb="FF000000"/>
            <rFont val="Tahoma"/>
            <family val="2"/>
          </rPr>
          <t xml:space="preserve">
Source: Forbes team page, historical revenue for Forbes 2018 list (Feb 2019 list; 2017–18 season, net of revenue sharing and arena debt service), https://www.forbes.com/teams/philadelphia-76ers/</t>
        </r>
      </text>
    </comment>
    <comment ref="E27" authorId="0" shapeId="0" xr:uid="{08335C15-690E-D044-8C61-851F5B920F3A}">
      <text>
        <r>
          <rPr>
            <b/>
            <sz val="10"/>
            <color rgb="FF000000"/>
            <rFont val="Tahoma"/>
            <family val="2"/>
          </rPr>
          <t>Keller, Zach:</t>
        </r>
        <r>
          <rPr>
            <sz val="10"/>
            <color rgb="FF000000"/>
            <rFont val="Tahoma"/>
            <family val="2"/>
          </rPr>
          <t xml:space="preserve">
Source: Forbes team page, historical revenue for Forbes 2019 list (Feb 2020 list; 2018–19 season, net of revenue sharing and arena debt service), https://www.forbes.com/teams/philadelphia-76ers/</t>
        </r>
      </text>
    </comment>
    <comment ref="F27" authorId="0" shapeId="0" xr:uid="{4050064E-ED58-9F41-B3CD-452CCBBB68D0}">
      <text>
        <r>
          <rPr>
            <b/>
            <sz val="10"/>
            <color rgb="FF000000"/>
            <rFont val="Tahoma"/>
            <family val="2"/>
          </rPr>
          <t>Keller, Zach:</t>
        </r>
        <r>
          <rPr>
            <sz val="10"/>
            <color rgb="FF000000"/>
            <rFont val="Tahoma"/>
            <family val="2"/>
          </rPr>
          <t xml:space="preserve">
Source: Forbes team page, historical revenue for Forbes 2020 list (Feb 2021 list; 2019–20 season, net of revenue sharing and arena debt service), https://www.forbes.com/teams/philadelphia-76ers/</t>
        </r>
      </text>
    </comment>
    <comment ref="G27" authorId="0" shapeId="0" xr:uid="{A379BBA6-4AC3-3C4D-A166-CA820D69918D}">
      <text>
        <r>
          <rPr>
            <b/>
            <sz val="10"/>
            <color rgb="FF000000"/>
            <rFont val="Tahoma"/>
            <family val="2"/>
          </rPr>
          <t>Keller, Zach:</t>
        </r>
        <r>
          <rPr>
            <sz val="10"/>
            <color rgb="FF000000"/>
            <rFont val="Tahoma"/>
            <family val="2"/>
          </rPr>
          <t xml:space="preserve">
Source: Forbes team page, historical revenue for Forbes 2021 list (Oct 2021 list; 2020–21 season, net of revenue sharing and arena debt service), https://www.forbes.com/teams/philadelphia-76ers/</t>
        </r>
      </text>
    </comment>
    <comment ref="H27" authorId="0" shapeId="0" xr:uid="{8425AA55-1793-904A-95E7-D98148899F30}">
      <text>
        <r>
          <rPr>
            <b/>
            <sz val="10"/>
            <color rgb="FF000000"/>
            <rFont val="Tahoma"/>
            <family val="2"/>
          </rPr>
          <t>Keller, Zach:</t>
        </r>
        <r>
          <rPr>
            <sz val="10"/>
            <color rgb="FF000000"/>
            <rFont val="Tahoma"/>
            <family val="2"/>
          </rPr>
          <t xml:space="preserve">
Source: Forbes team page, historical revenue for Forbes 2022 list (Oct 2022 list; 2021–22 season, net of revenue sharing and arena debt service), https://www.forbes.com/teams/philadelphia-76ers/</t>
        </r>
      </text>
    </comment>
    <comment ref="I27" authorId="0" shapeId="0" xr:uid="{70E5617A-DA67-FA44-A9BB-8ECAC78823EA}">
      <text>
        <r>
          <rPr>
            <b/>
            <sz val="10"/>
            <color rgb="FF000000"/>
            <rFont val="Tahoma"/>
            <family val="2"/>
          </rPr>
          <t>Keller, Zach:</t>
        </r>
        <r>
          <rPr>
            <sz val="10"/>
            <color rgb="FF000000"/>
            <rFont val="Tahoma"/>
            <family val="2"/>
          </rPr>
          <t xml:space="preserve">
Source: Forbes team page, historical revenue for Forbes 2023 list (Oct 2023 list; 2022–23 season, net of revenue sharing and arena debt service), https://www.forbes.com/teams/philadelphia-76ers/</t>
        </r>
      </text>
    </comment>
    <comment ref="J27" authorId="0" shapeId="0" xr:uid="{10A05881-730D-0E48-8180-2E4B44E4FF32}">
      <text>
        <r>
          <rPr>
            <b/>
            <sz val="10"/>
            <color rgb="FF000000"/>
            <rFont val="Tahoma"/>
            <family val="2"/>
          </rPr>
          <t>Keller, Zach:</t>
        </r>
        <r>
          <rPr>
            <sz val="10"/>
            <color rgb="FF000000"/>
            <rFont val="Tahoma"/>
            <family val="2"/>
          </rPr>
          <t xml:space="preserve">
Source: Forbes team page, historical revenue for Forbes 2024 list (Oct 2024 list; 2023–24 season, net of revenue sharing and arena debt service), https://www.forbes.com/teams/philadelphia-76ers/</t>
        </r>
      </text>
    </comment>
    <comment ref="K27" authorId="0" shapeId="0" xr:uid="{5CE1079E-5379-924E-92E0-21A9241D1ADE}">
      <text>
        <r>
          <rPr>
            <b/>
            <sz val="10"/>
            <color rgb="FF000000"/>
            <rFont val="Tahoma"/>
            <family val="2"/>
          </rPr>
          <t>Keller, Zach:</t>
        </r>
        <r>
          <rPr>
            <sz val="10"/>
            <color rgb="FF000000"/>
            <rFont val="Tahoma"/>
            <family val="2"/>
          </rPr>
          <t xml:space="preserve">
Source: Forbes, The Most Valuable NBA Teams 2025 list article (Oct 2025; 2024–25 revenue, net of revenue sharing and arena debt service), https://www.forbes.com/sites/justinteitelbaum/2025/10/23/the-most-valuable-nba-teams-2025/</t>
        </r>
      </text>
    </comment>
    <comment ref="B28" authorId="0" shapeId="0" xr:uid="{363B3DDB-C3B9-DE46-8E70-75961C11C5E3}">
      <text>
        <r>
          <rPr>
            <b/>
            <sz val="10"/>
            <color rgb="FF000000"/>
            <rFont val="Tahoma"/>
            <family val="2"/>
          </rPr>
          <t>Keller, Zach:</t>
        </r>
        <r>
          <rPr>
            <sz val="10"/>
            <color rgb="FF000000"/>
            <rFont val="Tahoma"/>
            <family val="2"/>
          </rPr>
          <t xml:space="preserve">
Source: Forbes team page, historical revenue for Forbes 2016 list (Feb 2017 list; 2015–16 season, net of revenue sharing and arena debt service), https://www.forbes.com/teams/phoenix-suns/</t>
        </r>
      </text>
    </comment>
    <comment ref="C28" authorId="0" shapeId="0" xr:uid="{1F9BB7BB-BD72-074E-9B09-C196C38F0AF9}">
      <text>
        <r>
          <rPr>
            <b/>
            <sz val="10"/>
            <color rgb="FF000000"/>
            <rFont val="Tahoma"/>
            <family val="2"/>
          </rPr>
          <t>Keller, Zach:</t>
        </r>
        <r>
          <rPr>
            <sz val="10"/>
            <color rgb="FF000000"/>
            <rFont val="Tahoma"/>
            <family val="2"/>
          </rPr>
          <t xml:space="preserve">
Source: Forbes team page, historical revenue for Forbes 2017 list (Feb 2018 list; 2016–17 season, net of revenue sharing and arena debt service), https://www.forbes.com/teams/phoenix-suns/</t>
        </r>
      </text>
    </comment>
    <comment ref="D28" authorId="0" shapeId="0" xr:uid="{9C7A0EBE-CDB3-5F4F-B9C0-55E911DC5BF1}">
      <text>
        <r>
          <rPr>
            <b/>
            <sz val="10"/>
            <color rgb="FF000000"/>
            <rFont val="Tahoma"/>
            <family val="2"/>
          </rPr>
          <t>Keller, Zach:</t>
        </r>
        <r>
          <rPr>
            <sz val="10"/>
            <color rgb="FF000000"/>
            <rFont val="Tahoma"/>
            <family val="2"/>
          </rPr>
          <t xml:space="preserve">
Source: Forbes team page, historical revenue for Forbes 2018 list (Feb 2019 list; 2017–18 season, net of revenue sharing and arena debt service), https://www.forbes.com/teams/phoenix-suns/</t>
        </r>
      </text>
    </comment>
    <comment ref="E28" authorId="0" shapeId="0" xr:uid="{FEA66B72-5097-F84A-BA02-456A45E205A2}">
      <text>
        <r>
          <rPr>
            <b/>
            <sz val="10"/>
            <color rgb="FF000000"/>
            <rFont val="Tahoma"/>
            <family val="2"/>
          </rPr>
          <t>Keller, Zach:</t>
        </r>
        <r>
          <rPr>
            <sz val="10"/>
            <color rgb="FF000000"/>
            <rFont val="Tahoma"/>
            <family val="2"/>
          </rPr>
          <t xml:space="preserve">
Source: Forbes team page, historical revenue for Forbes 2019 list (Feb 2020 list; 2018–19 season, net of revenue sharing and arena debt service), https://www.forbes.com/teams/phoenix-suns/</t>
        </r>
      </text>
    </comment>
    <comment ref="F28" authorId="0" shapeId="0" xr:uid="{F5140B5A-0DE1-FF4C-A13F-EEE8D8651C57}">
      <text>
        <r>
          <rPr>
            <b/>
            <sz val="10"/>
            <color rgb="FF000000"/>
            <rFont val="Tahoma"/>
            <family val="2"/>
          </rPr>
          <t>Keller, Zach:</t>
        </r>
        <r>
          <rPr>
            <sz val="10"/>
            <color rgb="FF000000"/>
            <rFont val="Tahoma"/>
            <family val="2"/>
          </rPr>
          <t xml:space="preserve">
Source: Forbes team page, historical revenue for Forbes 2020 list (Feb 2021 list; 2019–20 season, net of revenue sharing and arena debt service), https://www.forbes.com/teams/phoenix-suns/</t>
        </r>
      </text>
    </comment>
    <comment ref="G28" authorId="0" shapeId="0" xr:uid="{E1CD991D-97F8-6747-B7D2-0B15645EFD88}">
      <text>
        <r>
          <rPr>
            <b/>
            <sz val="10"/>
            <color rgb="FF000000"/>
            <rFont val="Tahoma"/>
            <family val="2"/>
          </rPr>
          <t>Keller, Zach:</t>
        </r>
        <r>
          <rPr>
            <sz val="10"/>
            <color rgb="FF000000"/>
            <rFont val="Tahoma"/>
            <family val="2"/>
          </rPr>
          <t xml:space="preserve">
Source: Forbes team page, historical revenue for Forbes 2021 list (Oct 2021 list; 2020–21 season, net of revenue sharing and arena debt service), https://www.forbes.com/teams/phoenix-suns/</t>
        </r>
      </text>
    </comment>
    <comment ref="H28" authorId="0" shapeId="0" xr:uid="{4209125C-1D4D-4647-8B30-030FF1E20A3E}">
      <text>
        <r>
          <rPr>
            <b/>
            <sz val="10"/>
            <color rgb="FF000000"/>
            <rFont val="Tahoma"/>
            <family val="2"/>
          </rPr>
          <t>Keller, Zach:</t>
        </r>
        <r>
          <rPr>
            <sz val="10"/>
            <color rgb="FF000000"/>
            <rFont val="Tahoma"/>
            <family val="2"/>
          </rPr>
          <t xml:space="preserve">
Source: Forbes team page, historical revenue for Forbes 2022 list (Oct 2022 list; 2021–22 season, net of revenue sharing and arena debt service), https://www.forbes.com/teams/phoenix-suns/</t>
        </r>
      </text>
    </comment>
    <comment ref="I28" authorId="0" shapeId="0" xr:uid="{8CF6A8BA-2CAB-514A-9B26-97B8D8C214FE}">
      <text>
        <r>
          <rPr>
            <b/>
            <sz val="10"/>
            <color rgb="FF000000"/>
            <rFont val="Tahoma"/>
            <family val="2"/>
          </rPr>
          <t>Keller, Zach:</t>
        </r>
        <r>
          <rPr>
            <sz val="10"/>
            <color rgb="FF000000"/>
            <rFont val="Tahoma"/>
            <family val="2"/>
          </rPr>
          <t xml:space="preserve">
Source: Forbes team page, historical revenue for Forbes 2023 list (Oct 2023 list; 2022–23 season, net of revenue sharing and arena debt service), https://www.forbes.com/teams/phoenix-suns/</t>
        </r>
      </text>
    </comment>
    <comment ref="J28" authorId="0" shapeId="0" xr:uid="{0A3D5548-E07D-A949-9272-D7A2ECDD84B9}">
      <text>
        <r>
          <rPr>
            <b/>
            <sz val="10"/>
            <color rgb="FF000000"/>
            <rFont val="Tahoma"/>
            <family val="2"/>
          </rPr>
          <t>Keller, Zach:</t>
        </r>
        <r>
          <rPr>
            <sz val="10"/>
            <color rgb="FF000000"/>
            <rFont val="Tahoma"/>
            <family val="2"/>
          </rPr>
          <t xml:space="preserve">
Source: Forbes team page, historical revenue for Forbes 2024 list (Oct 2024 list; 2023–24 season, net of revenue sharing and arena debt service), https://www.forbes.com/teams/phoenix-suns/</t>
        </r>
      </text>
    </comment>
    <comment ref="K28" authorId="0" shapeId="0" xr:uid="{D5920319-A761-F343-81BC-230035151C04}">
      <text>
        <r>
          <rPr>
            <b/>
            <sz val="10"/>
            <color rgb="FF000000"/>
            <rFont val="Tahoma"/>
            <family val="2"/>
          </rPr>
          <t>Keller, Zach:</t>
        </r>
        <r>
          <rPr>
            <sz val="10"/>
            <color rgb="FF000000"/>
            <rFont val="Tahoma"/>
            <family val="2"/>
          </rPr>
          <t xml:space="preserve">
Source: Forbes, The Most Valuable NBA Teams 2025 list article (Oct 2025; 2024–25 revenue, net of revenue sharing and arena debt service), https://www.forbes.com/sites/justinteitelbaum/2025/10/23/the-most-valuable-nba-teams-2025/</t>
        </r>
      </text>
    </comment>
    <comment ref="B29" authorId="0" shapeId="0" xr:uid="{F1F931D2-7BA6-FC42-A2FA-5CCC4AFCA24A}">
      <text>
        <r>
          <rPr>
            <b/>
            <sz val="10"/>
            <color rgb="FF000000"/>
            <rFont val="Tahoma"/>
            <family val="2"/>
          </rPr>
          <t>Keller, Zach:</t>
        </r>
        <r>
          <rPr>
            <sz val="10"/>
            <color rgb="FF000000"/>
            <rFont val="Tahoma"/>
            <family val="2"/>
          </rPr>
          <t xml:space="preserve">
Source: Forbes team page, historical revenue for Forbes 2016 list (Feb 2017 list; 2015–16 season, net of revenue sharing and arena debt service), https://www.forbes.com/teams/portland-trail-blazers/</t>
        </r>
      </text>
    </comment>
    <comment ref="C29" authorId="0" shapeId="0" xr:uid="{2D78281C-CC3D-094E-97C8-CEC539612C51}">
      <text>
        <r>
          <rPr>
            <b/>
            <sz val="10"/>
            <color rgb="FF000000"/>
            <rFont val="Tahoma"/>
            <family val="2"/>
          </rPr>
          <t>Keller, Zach:</t>
        </r>
        <r>
          <rPr>
            <sz val="10"/>
            <color rgb="FF000000"/>
            <rFont val="Tahoma"/>
            <family val="2"/>
          </rPr>
          <t xml:space="preserve">
Source: Forbes team page, historical revenue for Forbes 2017 list (Feb 2018 list; 2016–17 season, net of revenue sharing and arena debt service), https://www.forbes.com/teams/portland-trail-blazers/</t>
        </r>
      </text>
    </comment>
    <comment ref="D29" authorId="0" shapeId="0" xr:uid="{BCCF1C2C-61BF-8F43-A03C-275392CCD734}">
      <text>
        <r>
          <rPr>
            <b/>
            <sz val="10"/>
            <color rgb="FF000000"/>
            <rFont val="Tahoma"/>
            <family val="2"/>
          </rPr>
          <t>Keller, Zach:</t>
        </r>
        <r>
          <rPr>
            <sz val="10"/>
            <color rgb="FF000000"/>
            <rFont val="Tahoma"/>
            <family val="2"/>
          </rPr>
          <t xml:space="preserve">
Source: Forbes team page, historical revenue for Forbes 2018 list (Feb 2019 list; 2017–18 season, net of revenue sharing and arena debt service), https://www.forbes.com/teams/portland-trail-blazers/</t>
        </r>
      </text>
    </comment>
    <comment ref="E29" authorId="0" shapeId="0" xr:uid="{8C1DEA2E-608A-7940-A8D0-41969F7F9564}">
      <text>
        <r>
          <rPr>
            <b/>
            <sz val="10"/>
            <color rgb="FF000000"/>
            <rFont val="Tahoma"/>
            <family val="2"/>
          </rPr>
          <t>Keller, Zach:</t>
        </r>
        <r>
          <rPr>
            <sz val="10"/>
            <color rgb="FF000000"/>
            <rFont val="Tahoma"/>
            <family val="2"/>
          </rPr>
          <t xml:space="preserve">
Source: Forbes team page, historical revenue for Forbes 2019 list (Feb 2020 list; 2018–19 season, net of revenue sharing and arena debt service), https://www.forbes.com/teams/portland-trail-blazers/</t>
        </r>
      </text>
    </comment>
    <comment ref="F29" authorId="0" shapeId="0" xr:uid="{0FBECF25-1E71-7E47-B2C2-714CEA8A3789}">
      <text>
        <r>
          <rPr>
            <b/>
            <sz val="10"/>
            <color rgb="FF000000"/>
            <rFont val="Tahoma"/>
            <family val="2"/>
          </rPr>
          <t>Keller, Zach:</t>
        </r>
        <r>
          <rPr>
            <sz val="10"/>
            <color rgb="FF000000"/>
            <rFont val="Tahoma"/>
            <family val="2"/>
          </rPr>
          <t xml:space="preserve">
Source: Forbes team page, historical revenue for Forbes 2020 list (Feb 2021 list; 2019–20 season, net of revenue sharing and arena debt service), https://www.forbes.com/teams/portland-trail-blazers/</t>
        </r>
      </text>
    </comment>
    <comment ref="G29" authorId="0" shapeId="0" xr:uid="{C2473DDD-976C-EC45-B64A-69A2AAAFF835}">
      <text>
        <r>
          <rPr>
            <b/>
            <sz val="10"/>
            <color rgb="FF000000"/>
            <rFont val="Tahoma"/>
            <family val="2"/>
          </rPr>
          <t>Keller, Zach:</t>
        </r>
        <r>
          <rPr>
            <sz val="10"/>
            <color rgb="FF000000"/>
            <rFont val="Tahoma"/>
            <family val="2"/>
          </rPr>
          <t xml:space="preserve">
Source: Forbes team page, historical revenue for Forbes 2021 list (Oct 2021 list; 2020–21 season, net of revenue sharing and arena debt service), https://www.forbes.com/teams/portland-trail-blazers/</t>
        </r>
      </text>
    </comment>
    <comment ref="H29" authorId="0" shapeId="0" xr:uid="{B711E52F-0891-084E-AC0E-4505CA5C8F22}">
      <text>
        <r>
          <rPr>
            <b/>
            <sz val="10"/>
            <color rgb="FF000000"/>
            <rFont val="Tahoma"/>
            <family val="2"/>
          </rPr>
          <t>Keller, Zach:</t>
        </r>
        <r>
          <rPr>
            <sz val="10"/>
            <color rgb="FF000000"/>
            <rFont val="Tahoma"/>
            <family val="2"/>
          </rPr>
          <t xml:space="preserve">
Source: Forbes team page, historical revenue for Forbes 2022 list (Oct 2022 list; 2021–22 season, net of revenue sharing and arena debt service), https://www.forbes.com/teams/portland-trail-blazers/</t>
        </r>
      </text>
    </comment>
    <comment ref="I29" authorId="0" shapeId="0" xr:uid="{1F81FF83-909D-134E-AC4E-1F80C94BEB32}">
      <text>
        <r>
          <rPr>
            <b/>
            <sz val="10"/>
            <color rgb="FF000000"/>
            <rFont val="Tahoma"/>
            <family val="2"/>
          </rPr>
          <t>Keller, Zach:</t>
        </r>
        <r>
          <rPr>
            <sz val="10"/>
            <color rgb="FF000000"/>
            <rFont val="Tahoma"/>
            <family val="2"/>
          </rPr>
          <t xml:space="preserve">
Source: Forbes team page, historical revenue for Forbes 2023 list (Oct 2023 list; 2022–23 season, net of revenue sharing and arena debt service), https://www.forbes.com/teams/portland-trail-blazers/</t>
        </r>
      </text>
    </comment>
    <comment ref="J29" authorId="0" shapeId="0" xr:uid="{125D8360-3BFA-8E43-9AE1-39F3F617ABAD}">
      <text>
        <r>
          <rPr>
            <b/>
            <sz val="10"/>
            <color rgb="FF000000"/>
            <rFont val="Tahoma"/>
            <family val="2"/>
          </rPr>
          <t>Keller, Zach:</t>
        </r>
        <r>
          <rPr>
            <sz val="10"/>
            <color rgb="FF000000"/>
            <rFont val="Tahoma"/>
            <family val="2"/>
          </rPr>
          <t xml:space="preserve">
Source: Forbes team page, historical revenue for Forbes 2024 list (Oct 2024 list; 2023–24 season, net of revenue sharing and arena debt service), https://www.forbes.com/teams/portland-trail-blazers/</t>
        </r>
      </text>
    </comment>
    <comment ref="K29" authorId="0" shapeId="0" xr:uid="{A95630DD-B8B0-DD43-AAFE-9B06B332D08F}">
      <text>
        <r>
          <rPr>
            <b/>
            <sz val="10"/>
            <color rgb="FF000000"/>
            <rFont val="Tahoma"/>
            <family val="2"/>
          </rPr>
          <t>Keller, Zach:</t>
        </r>
        <r>
          <rPr>
            <sz val="10"/>
            <color rgb="FF000000"/>
            <rFont val="Tahoma"/>
            <family val="2"/>
          </rPr>
          <t xml:space="preserve">
Source: Forbes, The Most Valuable NBA Teams 2025 list article (Oct 2025; 2024–25 revenue, net of revenue sharing and arena debt service), https://www.forbes.com/sites/justinteitelbaum/2025/10/23/the-most-valuable-nba-teams-2025/</t>
        </r>
      </text>
    </comment>
    <comment ref="B30" authorId="0" shapeId="0" xr:uid="{B75CFEAF-08D0-6C43-A4DF-A24B36F69FDA}">
      <text>
        <r>
          <rPr>
            <b/>
            <sz val="10"/>
            <color rgb="FF000000"/>
            <rFont val="Tahoma"/>
            <family val="2"/>
          </rPr>
          <t>Keller, Zach:</t>
        </r>
        <r>
          <rPr>
            <sz val="10"/>
            <color rgb="FF000000"/>
            <rFont val="Tahoma"/>
            <family val="2"/>
          </rPr>
          <t xml:space="preserve">
Source: Forbes team page, historical revenue for Forbes 2016 list (Feb 2017 list; 2015–16 season, net of revenue sharing and arena debt service), https://www.forbes.com/teams/sacramento-kings/</t>
        </r>
      </text>
    </comment>
    <comment ref="C30" authorId="0" shapeId="0" xr:uid="{F6487E20-E0D0-BD46-A911-CDE68C6A4465}">
      <text>
        <r>
          <rPr>
            <b/>
            <sz val="10"/>
            <color rgb="FF000000"/>
            <rFont val="Tahoma"/>
            <family val="2"/>
          </rPr>
          <t>Keller, Zach:</t>
        </r>
        <r>
          <rPr>
            <sz val="10"/>
            <color rgb="FF000000"/>
            <rFont val="Tahoma"/>
            <family val="2"/>
          </rPr>
          <t xml:space="preserve">
Source: Forbes team page, historical revenue for Forbes 2017 list (Feb 2018 list; 2016–17 season, net of revenue sharing and arena debt service), https://www.forbes.com/teams/sacramento-kings/</t>
        </r>
      </text>
    </comment>
    <comment ref="D30" authorId="0" shapeId="0" xr:uid="{9D535BB7-FAFD-DA46-A2C7-336BA0A467A8}">
      <text>
        <r>
          <rPr>
            <b/>
            <sz val="10"/>
            <color rgb="FF000000"/>
            <rFont val="Tahoma"/>
            <family val="2"/>
          </rPr>
          <t>Keller, Zach:</t>
        </r>
        <r>
          <rPr>
            <sz val="10"/>
            <color rgb="FF000000"/>
            <rFont val="Tahoma"/>
            <family val="2"/>
          </rPr>
          <t xml:space="preserve">
Source: Forbes team page, historical revenue for Forbes 2018 list (Feb 2019 list; 2017–18 season, net of revenue sharing and arena debt service), https://www.forbes.com/teams/sacramento-kings/</t>
        </r>
      </text>
    </comment>
    <comment ref="E30" authorId="0" shapeId="0" xr:uid="{D8A2551E-E720-CF42-B239-802087BEED95}">
      <text>
        <r>
          <rPr>
            <b/>
            <sz val="10"/>
            <color rgb="FF000000"/>
            <rFont val="Tahoma"/>
            <family val="2"/>
          </rPr>
          <t>Keller, Zach:</t>
        </r>
        <r>
          <rPr>
            <sz val="10"/>
            <color rgb="FF000000"/>
            <rFont val="Tahoma"/>
            <family val="2"/>
          </rPr>
          <t xml:space="preserve">
Source: Forbes team page, historical revenue for Forbes 2019 list (Feb 2020 list; 2018–19 season, net of revenue sharing and arena debt service), https://www.forbes.com/teams/sacramento-kings/</t>
        </r>
      </text>
    </comment>
    <comment ref="F30" authorId="0" shapeId="0" xr:uid="{A04EEE5D-9B41-1848-8CBB-8A090083E77A}">
      <text>
        <r>
          <rPr>
            <b/>
            <sz val="10"/>
            <color rgb="FF000000"/>
            <rFont val="Tahoma"/>
            <family val="2"/>
          </rPr>
          <t>Keller, Zach:</t>
        </r>
        <r>
          <rPr>
            <sz val="10"/>
            <color rgb="FF000000"/>
            <rFont val="Tahoma"/>
            <family val="2"/>
          </rPr>
          <t xml:space="preserve">
Source: Forbes team page, historical revenue for Forbes 2020 list (Feb 2021 list; 2019–20 season, net of revenue sharing and arena debt service), https://www.forbes.com/teams/sacramento-kings/</t>
        </r>
      </text>
    </comment>
    <comment ref="G30" authorId="0" shapeId="0" xr:uid="{BDCD5D46-108F-1345-8736-08AB140FE15A}">
      <text>
        <r>
          <rPr>
            <b/>
            <sz val="10"/>
            <color rgb="FF000000"/>
            <rFont val="Tahoma"/>
            <family val="2"/>
          </rPr>
          <t>Keller, Zach:</t>
        </r>
        <r>
          <rPr>
            <sz val="10"/>
            <color rgb="FF000000"/>
            <rFont val="Tahoma"/>
            <family val="2"/>
          </rPr>
          <t xml:space="preserve">
Source: Forbes team page, historical revenue for Forbes 2021 list (Oct 2021 list; 2020–21 season, net of revenue sharing and arena debt service), https://www.forbes.com/teams/sacramento-kings/</t>
        </r>
      </text>
    </comment>
    <comment ref="H30" authorId="0" shapeId="0" xr:uid="{C43934FC-D2D3-404E-8A59-784221C3868D}">
      <text>
        <r>
          <rPr>
            <b/>
            <sz val="10"/>
            <color rgb="FF000000"/>
            <rFont val="Tahoma"/>
            <family val="2"/>
          </rPr>
          <t>Keller, Zach:</t>
        </r>
        <r>
          <rPr>
            <sz val="10"/>
            <color rgb="FF000000"/>
            <rFont val="Tahoma"/>
            <family val="2"/>
          </rPr>
          <t xml:space="preserve">
Source: Forbes team page, historical revenue for Forbes 2022 list (Oct 2022 list; 2021–22 season, net of revenue sharing and arena debt service), https://www.forbes.com/teams/sacramento-kings/</t>
        </r>
      </text>
    </comment>
    <comment ref="I30" authorId="0" shapeId="0" xr:uid="{DAD918F4-7EE5-E34D-B394-D5A3AE633DB0}">
      <text>
        <r>
          <rPr>
            <b/>
            <sz val="10"/>
            <color rgb="FF000000"/>
            <rFont val="Tahoma"/>
            <family val="2"/>
          </rPr>
          <t>Keller, Zach:</t>
        </r>
        <r>
          <rPr>
            <sz val="10"/>
            <color rgb="FF000000"/>
            <rFont val="Tahoma"/>
            <family val="2"/>
          </rPr>
          <t xml:space="preserve">
Source: Forbes team page, historical revenue for Forbes 2023 list (Oct 2023 list; 2022–23 season, net of revenue sharing and arena debt service), https://www.forbes.com/teams/sacramento-kings/</t>
        </r>
      </text>
    </comment>
    <comment ref="J30" authorId="0" shapeId="0" xr:uid="{327E566F-CD60-4B4B-8756-430F711DF52C}">
      <text>
        <r>
          <rPr>
            <b/>
            <sz val="10"/>
            <color rgb="FF000000"/>
            <rFont val="Tahoma"/>
            <family val="2"/>
          </rPr>
          <t>Keller, Zach:</t>
        </r>
        <r>
          <rPr>
            <sz val="10"/>
            <color rgb="FF000000"/>
            <rFont val="Tahoma"/>
            <family val="2"/>
          </rPr>
          <t xml:space="preserve">
Source: Forbes team page, historical revenue for Forbes 2024 list (Oct 2024 list; 2023–24 season, net of revenue sharing and arena debt service), https://www.forbes.com/teams/sacramento-kings/</t>
        </r>
      </text>
    </comment>
    <comment ref="K30" authorId="0" shapeId="0" xr:uid="{F9B3D713-12FA-D348-93A7-25AC24E9DA16}">
      <text>
        <r>
          <rPr>
            <b/>
            <sz val="10"/>
            <color rgb="FF000000"/>
            <rFont val="Tahoma"/>
            <family val="2"/>
          </rPr>
          <t>Keller, Zach:</t>
        </r>
        <r>
          <rPr>
            <sz val="10"/>
            <color rgb="FF000000"/>
            <rFont val="Tahoma"/>
            <family val="2"/>
          </rPr>
          <t xml:space="preserve">
Source: Forbes, The Most Valuable NBA Teams 2025 list article (Oct 2025; 2024–25 revenue, net of revenue sharing and arena debt service), https://www.forbes.com/sites/justinteitelbaum/2025/10/23/the-most-valuable-nba-teams-2025/</t>
        </r>
      </text>
    </comment>
    <comment ref="B31" authorId="0" shapeId="0" xr:uid="{C6830B67-163F-4343-88AB-C1A872AA89AA}">
      <text>
        <r>
          <rPr>
            <b/>
            <sz val="10"/>
            <color rgb="FF000000"/>
            <rFont val="Tahoma"/>
            <family val="2"/>
          </rPr>
          <t>Keller, Zach:</t>
        </r>
        <r>
          <rPr>
            <sz val="10"/>
            <color rgb="FF000000"/>
            <rFont val="Tahoma"/>
            <family val="2"/>
          </rPr>
          <t xml:space="preserve">
Source: Forbes team page, historical revenue for Forbes 2016 list (Feb 2017 list; 2015–16 season, net of revenue sharing and arena debt service), https://www.forbes.com/teams/san-antonio-spurs/</t>
        </r>
      </text>
    </comment>
    <comment ref="C31" authorId="0" shapeId="0" xr:uid="{FCA0FF61-FC42-A74F-8A8E-85F5D56B49F2}">
      <text>
        <r>
          <rPr>
            <b/>
            <sz val="10"/>
            <color rgb="FF000000"/>
            <rFont val="Tahoma"/>
            <family val="2"/>
          </rPr>
          <t>Keller, Zach:</t>
        </r>
        <r>
          <rPr>
            <sz val="10"/>
            <color rgb="FF000000"/>
            <rFont val="Tahoma"/>
            <family val="2"/>
          </rPr>
          <t xml:space="preserve">
Source: Forbes team page, historical revenue for Forbes 2017 list (Feb 2018 list; 2016–17 season, net of revenue sharing and arena debt service), https://www.forbes.com/teams/san-antonio-spurs/</t>
        </r>
      </text>
    </comment>
    <comment ref="D31" authorId="0" shapeId="0" xr:uid="{26E27C78-1A7D-114E-A1A9-320C50FDA074}">
      <text>
        <r>
          <rPr>
            <b/>
            <sz val="10"/>
            <color rgb="FF000000"/>
            <rFont val="Tahoma"/>
            <family val="2"/>
          </rPr>
          <t>Keller, Zach:</t>
        </r>
        <r>
          <rPr>
            <sz val="10"/>
            <color rgb="FF000000"/>
            <rFont val="Tahoma"/>
            <family val="2"/>
          </rPr>
          <t xml:space="preserve">
Source: Forbes team page, historical revenue for Forbes 2018 list (Feb 2019 list; 2017–18 season, net of revenue sharing and arena debt service), https://www.forbes.com/teams/san-antonio-spurs/</t>
        </r>
      </text>
    </comment>
    <comment ref="E31" authorId="0" shapeId="0" xr:uid="{E4DDD500-0665-C94C-B9C9-0310FEBD7FE1}">
      <text>
        <r>
          <rPr>
            <b/>
            <sz val="10"/>
            <color rgb="FF000000"/>
            <rFont val="Tahoma"/>
            <family val="2"/>
          </rPr>
          <t>Keller, Zach:</t>
        </r>
        <r>
          <rPr>
            <sz val="10"/>
            <color rgb="FF000000"/>
            <rFont val="Tahoma"/>
            <family val="2"/>
          </rPr>
          <t xml:space="preserve">
Source: Forbes team page, historical revenue for Forbes 2019 list (Feb 2020 list; 2018–19 season, net of revenue sharing and arena debt service), https://www.forbes.com/teams/san-antonio-spurs/</t>
        </r>
      </text>
    </comment>
    <comment ref="F31" authorId="0" shapeId="0" xr:uid="{5FBBEA47-CB2B-AD4C-937F-29D8F17EEDD4}">
      <text>
        <r>
          <rPr>
            <b/>
            <sz val="10"/>
            <color rgb="FF000000"/>
            <rFont val="Tahoma"/>
            <family val="2"/>
          </rPr>
          <t>Keller, Zach:</t>
        </r>
        <r>
          <rPr>
            <sz val="10"/>
            <color rgb="FF000000"/>
            <rFont val="Tahoma"/>
            <family val="2"/>
          </rPr>
          <t xml:space="preserve">
Source: Forbes team page, historical revenue for Forbes 2020 list (Feb 2021 list; 2019–20 season, net of revenue sharing and arena debt service), https://www.forbes.com/teams/san-antonio-spurs/</t>
        </r>
      </text>
    </comment>
    <comment ref="G31" authorId="0" shapeId="0" xr:uid="{E5230CAC-892F-9F4B-8C60-6F73A4B31496}">
      <text>
        <r>
          <rPr>
            <b/>
            <sz val="10"/>
            <color rgb="FF000000"/>
            <rFont val="Tahoma"/>
            <family val="2"/>
          </rPr>
          <t>Keller, Zach:</t>
        </r>
        <r>
          <rPr>
            <sz val="10"/>
            <color rgb="FF000000"/>
            <rFont val="Tahoma"/>
            <family val="2"/>
          </rPr>
          <t xml:space="preserve">
Source: Forbes team page, historical revenue for Forbes 2021 list (Oct 2021 list; 2020–21 season, net of revenue sharing and arena debt service), https://www.forbes.com/teams/san-antonio-spurs/</t>
        </r>
      </text>
    </comment>
    <comment ref="H31" authorId="0" shapeId="0" xr:uid="{920FC6BC-22E2-894D-A43F-AAA87B6C17C4}">
      <text>
        <r>
          <rPr>
            <b/>
            <sz val="10"/>
            <color rgb="FF000000"/>
            <rFont val="Tahoma"/>
            <family val="2"/>
          </rPr>
          <t>Keller, Zach:</t>
        </r>
        <r>
          <rPr>
            <sz val="10"/>
            <color rgb="FF000000"/>
            <rFont val="Tahoma"/>
            <family val="2"/>
          </rPr>
          <t xml:space="preserve">
Source: Forbes team page, historical revenue for Forbes 2022 list (Oct 2022 list; 2021–22 season, net of revenue sharing and arena debt service), https://www.forbes.com/teams/san-antonio-spurs/</t>
        </r>
      </text>
    </comment>
    <comment ref="I31" authorId="0" shapeId="0" xr:uid="{18103F10-D163-2646-A85A-1D0CF03A4C39}">
      <text>
        <r>
          <rPr>
            <b/>
            <sz val="10"/>
            <color rgb="FF000000"/>
            <rFont val="Tahoma"/>
            <family val="2"/>
          </rPr>
          <t>Keller, Zach:</t>
        </r>
        <r>
          <rPr>
            <sz val="10"/>
            <color rgb="FF000000"/>
            <rFont val="Tahoma"/>
            <family val="2"/>
          </rPr>
          <t xml:space="preserve">
Source: Forbes team page, historical revenue for Forbes 2023 list (Oct 2023 list; 2022–23 season, net of revenue sharing and arena debt service), https://www.forbes.com/teams/san-antonio-spurs/</t>
        </r>
      </text>
    </comment>
    <comment ref="J31" authorId="0" shapeId="0" xr:uid="{F610EB65-BB84-0D42-BDBA-4004A070E425}">
      <text>
        <r>
          <rPr>
            <b/>
            <sz val="10"/>
            <color rgb="FF000000"/>
            <rFont val="Tahoma"/>
            <family val="2"/>
          </rPr>
          <t>Keller, Zach:</t>
        </r>
        <r>
          <rPr>
            <sz val="10"/>
            <color rgb="FF000000"/>
            <rFont val="Tahoma"/>
            <family val="2"/>
          </rPr>
          <t xml:space="preserve">
Source: Forbes team page, historical revenue for Forbes 2024 list (Oct 2024 list; 2023–24 season, net of revenue sharing and arena debt service), https://www.forbes.com/teams/san-antonio-spurs/</t>
        </r>
      </text>
    </comment>
    <comment ref="K31" authorId="0" shapeId="0" xr:uid="{07F5FFAF-161C-5848-BF0F-EADA3D3679E5}">
      <text>
        <r>
          <rPr>
            <b/>
            <sz val="10"/>
            <color rgb="FF000000"/>
            <rFont val="Tahoma"/>
            <family val="2"/>
          </rPr>
          <t>Keller, Zach:</t>
        </r>
        <r>
          <rPr>
            <sz val="10"/>
            <color rgb="FF000000"/>
            <rFont val="Tahoma"/>
            <family val="2"/>
          </rPr>
          <t xml:space="preserve">
Source: Forbes, The Most Valuable NBA Teams 2025 list article (Oct 2025; 2024–25 revenue, net of revenue sharing and arena debt service), https://www.forbes.com/sites/justinteitelbaum/2025/10/23/the-most-valuable-nba-teams-2025/</t>
        </r>
      </text>
    </comment>
    <comment ref="B32" authorId="0" shapeId="0" xr:uid="{A9A6A7F2-C716-DA4E-9B53-5D0D6731B2F0}">
      <text>
        <r>
          <rPr>
            <b/>
            <sz val="10"/>
            <color rgb="FF000000"/>
            <rFont val="Tahoma"/>
            <family val="2"/>
          </rPr>
          <t>Keller, Zach:</t>
        </r>
        <r>
          <rPr>
            <sz val="10"/>
            <color rgb="FF000000"/>
            <rFont val="Tahoma"/>
            <family val="2"/>
          </rPr>
          <t xml:space="preserve">
Source: Forbes team page, historical revenue for Forbes 2016 list (Feb 2017 list; 2015–16 season, net of revenue sharing and arena debt service), https://www.forbes.com/teams/toronto-raptors/</t>
        </r>
      </text>
    </comment>
    <comment ref="C32" authorId="0" shapeId="0" xr:uid="{CE9EA86D-7FFD-8846-9B4C-E95C3030C3B7}">
      <text>
        <r>
          <rPr>
            <b/>
            <sz val="10"/>
            <color rgb="FF000000"/>
            <rFont val="Tahoma"/>
            <family val="2"/>
          </rPr>
          <t>Keller, Zach:</t>
        </r>
        <r>
          <rPr>
            <sz val="10"/>
            <color rgb="FF000000"/>
            <rFont val="Tahoma"/>
            <family val="2"/>
          </rPr>
          <t xml:space="preserve">
Source: Forbes team page, historical revenue for Forbes 2017 list (Feb 2018 list; 2016–17 season, net of revenue sharing and arena debt service), https://www.forbes.com/teams/toronto-raptors/</t>
        </r>
      </text>
    </comment>
    <comment ref="D32" authorId="0" shapeId="0" xr:uid="{4C52567F-02FA-694D-8764-D2FA50192F6E}">
      <text>
        <r>
          <rPr>
            <b/>
            <sz val="10"/>
            <color rgb="FF000000"/>
            <rFont val="Tahoma"/>
            <family val="2"/>
          </rPr>
          <t>Keller, Zach:</t>
        </r>
        <r>
          <rPr>
            <sz val="10"/>
            <color rgb="FF000000"/>
            <rFont val="Tahoma"/>
            <family val="2"/>
          </rPr>
          <t xml:space="preserve">
Source: Forbes team page, historical revenue for Forbes 2018 list (Feb 2019 list; 2017–18 season, net of revenue sharing and arena debt service), https://www.forbes.com/teams/toronto-raptors/</t>
        </r>
      </text>
    </comment>
    <comment ref="E32" authorId="0" shapeId="0" xr:uid="{863DED1B-30C4-F84D-937B-BCBBB3618E40}">
      <text>
        <r>
          <rPr>
            <b/>
            <sz val="10"/>
            <color rgb="FF000000"/>
            <rFont val="Tahoma"/>
            <family val="2"/>
          </rPr>
          <t>Keller, Zach:</t>
        </r>
        <r>
          <rPr>
            <sz val="10"/>
            <color rgb="FF000000"/>
            <rFont val="Tahoma"/>
            <family val="2"/>
          </rPr>
          <t xml:space="preserve">
Source: Forbes team page, historical revenue for Forbes 2019 list (Feb 2020 list; 2018–19 season, net of revenue sharing and arena debt service), https://www.forbes.com/teams/toronto-raptors/</t>
        </r>
      </text>
    </comment>
    <comment ref="F32" authorId="0" shapeId="0" xr:uid="{2757DC82-AC95-6945-A85A-BBF4466BA0CA}">
      <text>
        <r>
          <rPr>
            <b/>
            <sz val="10"/>
            <color rgb="FF000000"/>
            <rFont val="Tahoma"/>
            <family val="2"/>
          </rPr>
          <t>Keller, Zach:</t>
        </r>
        <r>
          <rPr>
            <sz val="10"/>
            <color rgb="FF000000"/>
            <rFont val="Tahoma"/>
            <family val="2"/>
          </rPr>
          <t xml:space="preserve">
Source: Forbes team page, historical revenue for Forbes 2020 list (Feb 2021 list; 2019–20 season, net of revenue sharing and arena debt service), https://www.forbes.com/teams/toronto-raptors/</t>
        </r>
      </text>
    </comment>
    <comment ref="G32" authorId="0" shapeId="0" xr:uid="{637FCFE6-ECB5-904B-BE56-4EA7362A5079}">
      <text>
        <r>
          <rPr>
            <b/>
            <sz val="10"/>
            <color rgb="FF000000"/>
            <rFont val="Tahoma"/>
            <family val="2"/>
          </rPr>
          <t>Keller, Zach:</t>
        </r>
        <r>
          <rPr>
            <sz val="10"/>
            <color rgb="FF000000"/>
            <rFont val="Tahoma"/>
            <family val="2"/>
          </rPr>
          <t xml:space="preserve">
Source: Forbes team page, historical revenue for Forbes 2021 list (Oct 2021 list; 2020–21 season, net of revenue sharing and arena debt service), https://www.forbes.com/teams/toronto-raptors/</t>
        </r>
      </text>
    </comment>
    <comment ref="H32" authorId="0" shapeId="0" xr:uid="{AFBBD6C4-5076-4340-9A48-5069F443FD32}">
      <text>
        <r>
          <rPr>
            <b/>
            <sz val="10"/>
            <color rgb="FF000000"/>
            <rFont val="Tahoma"/>
            <family val="2"/>
          </rPr>
          <t>Keller, Zach:</t>
        </r>
        <r>
          <rPr>
            <sz val="10"/>
            <color rgb="FF000000"/>
            <rFont val="Tahoma"/>
            <family val="2"/>
          </rPr>
          <t xml:space="preserve">
Source: Forbes team page, historical revenue for Forbes 2022 list (Oct 2022 list; 2021–22 season, net of revenue sharing and arena debt service), https://www.forbes.com/teams/toronto-raptors/</t>
        </r>
      </text>
    </comment>
    <comment ref="I32" authorId="0" shapeId="0" xr:uid="{948E3D8B-7153-ED40-90E4-5432607FE391}">
      <text>
        <r>
          <rPr>
            <b/>
            <sz val="10"/>
            <color rgb="FF000000"/>
            <rFont val="Tahoma"/>
            <family val="2"/>
          </rPr>
          <t>Keller, Zach:</t>
        </r>
        <r>
          <rPr>
            <sz val="10"/>
            <color rgb="FF000000"/>
            <rFont val="Tahoma"/>
            <family val="2"/>
          </rPr>
          <t xml:space="preserve">
Source: Forbes team page, historical revenue for Forbes 2023 list (Oct 2023 list; 2022–23 season, net of revenue sharing and arena debt service), https://www.forbes.com/teams/toronto-raptors/</t>
        </r>
      </text>
    </comment>
    <comment ref="J32" authorId="0" shapeId="0" xr:uid="{D144F881-26D3-104A-A664-E95F356799B5}">
      <text>
        <r>
          <rPr>
            <b/>
            <sz val="10"/>
            <color rgb="FF000000"/>
            <rFont val="Tahoma"/>
            <family val="2"/>
          </rPr>
          <t>Keller, Zach:</t>
        </r>
        <r>
          <rPr>
            <sz val="10"/>
            <color rgb="FF000000"/>
            <rFont val="Tahoma"/>
            <family val="2"/>
          </rPr>
          <t xml:space="preserve">
Source: Forbes team page, historical revenue for Forbes 2024 list (Oct 2024 list; 2023–24 season, net of revenue sharing and arena debt service), https://www.forbes.com/teams/toronto-raptors/</t>
        </r>
      </text>
    </comment>
    <comment ref="K32" authorId="0" shapeId="0" xr:uid="{A88D36DB-F465-464F-95B9-34342D682E2E}">
      <text>
        <r>
          <rPr>
            <b/>
            <sz val="10"/>
            <color rgb="FF000000"/>
            <rFont val="Tahoma"/>
            <family val="2"/>
          </rPr>
          <t>Keller, Zach:</t>
        </r>
        <r>
          <rPr>
            <sz val="10"/>
            <color rgb="FF000000"/>
            <rFont val="Tahoma"/>
            <family val="2"/>
          </rPr>
          <t xml:space="preserve">
Source: Forbes, The Most Valuable NBA Teams 2025 list article (Oct 2025; 2024–25 revenue, net of revenue sharing and arena debt service), https://www.forbes.com/sites/justinteitelbaum/2025/10/23/the-most-valuable-nba-teams-2025/</t>
        </r>
      </text>
    </comment>
    <comment ref="B33" authorId="0" shapeId="0" xr:uid="{9D418527-CA83-B248-896A-26379CB22A4D}">
      <text>
        <r>
          <rPr>
            <b/>
            <sz val="10"/>
            <color rgb="FF000000"/>
            <rFont val="Tahoma"/>
            <family val="2"/>
          </rPr>
          <t>Keller, Zach:</t>
        </r>
        <r>
          <rPr>
            <sz val="10"/>
            <color rgb="FF000000"/>
            <rFont val="Tahoma"/>
            <family val="2"/>
          </rPr>
          <t xml:space="preserve">
Source: Forbes team page, historical revenue for Forbes 2016 list (Feb 2017 list; 2015–16 season, net of revenue sharing and arena debt service), https://www.forbes.com/teams/utah-jazz/</t>
        </r>
      </text>
    </comment>
    <comment ref="C33" authorId="0" shapeId="0" xr:uid="{1D1AFB6B-B852-9E41-B34B-09937D5027E6}">
      <text>
        <r>
          <rPr>
            <b/>
            <sz val="10"/>
            <color rgb="FF000000"/>
            <rFont val="Tahoma"/>
            <family val="2"/>
          </rPr>
          <t>Keller, Zach:</t>
        </r>
        <r>
          <rPr>
            <sz val="10"/>
            <color rgb="FF000000"/>
            <rFont val="Tahoma"/>
            <family val="2"/>
          </rPr>
          <t xml:space="preserve">
Source: Forbes team page, historical revenue for Forbes 2017 list (Feb 2018 list; 2016–17 season, net of revenue sharing and arena debt service), https://www.forbes.com/teams/utah-jazz/</t>
        </r>
      </text>
    </comment>
    <comment ref="D33" authorId="0" shapeId="0" xr:uid="{825E1F23-BB8D-B249-A0A4-842D01B49ECE}">
      <text>
        <r>
          <rPr>
            <b/>
            <sz val="10"/>
            <color rgb="FF000000"/>
            <rFont val="Tahoma"/>
            <family val="2"/>
          </rPr>
          <t>Keller, Zach:</t>
        </r>
        <r>
          <rPr>
            <sz val="10"/>
            <color rgb="FF000000"/>
            <rFont val="Tahoma"/>
            <family val="2"/>
          </rPr>
          <t xml:space="preserve">
Source: Forbes team page, historical revenue for Forbes 2018 list (Feb 2019 list; 2017–18 season, net of revenue sharing and arena debt service), https://www.forbes.com/teams/utah-jazz/</t>
        </r>
      </text>
    </comment>
    <comment ref="E33" authorId="0" shapeId="0" xr:uid="{40676474-58F2-FB45-BE93-77BD7DE56CB5}">
      <text>
        <r>
          <rPr>
            <b/>
            <sz val="10"/>
            <color rgb="FF000000"/>
            <rFont val="Tahoma"/>
            <family val="2"/>
          </rPr>
          <t>Keller, Zach:</t>
        </r>
        <r>
          <rPr>
            <sz val="10"/>
            <color rgb="FF000000"/>
            <rFont val="Tahoma"/>
            <family val="2"/>
          </rPr>
          <t xml:space="preserve">
Source: Forbes team page, historical revenue for Forbes 2019 list (Feb 2020 list; 2018–19 season, net of revenue sharing and arena debt service), https://www.forbes.com/teams/utah-jazz/</t>
        </r>
      </text>
    </comment>
    <comment ref="F33" authorId="0" shapeId="0" xr:uid="{A4002BD2-DBCF-0649-85F3-4D44A797CD8E}">
      <text>
        <r>
          <rPr>
            <b/>
            <sz val="10"/>
            <color rgb="FF000000"/>
            <rFont val="Tahoma"/>
            <family val="2"/>
          </rPr>
          <t>Keller, Zach:</t>
        </r>
        <r>
          <rPr>
            <sz val="10"/>
            <color rgb="FF000000"/>
            <rFont val="Tahoma"/>
            <family val="2"/>
          </rPr>
          <t xml:space="preserve">
Source: Forbes team page, historical revenue for Forbes 2020 list (Feb 2021 list; 2019–20 season, net of revenue sharing and arena debt service), https://www.forbes.com/teams/utah-jazz/</t>
        </r>
      </text>
    </comment>
    <comment ref="G33" authorId="0" shapeId="0" xr:uid="{46068F37-DC26-7A48-B1EA-1EB474C910D1}">
      <text>
        <r>
          <rPr>
            <b/>
            <sz val="10"/>
            <color rgb="FF000000"/>
            <rFont val="Tahoma"/>
            <family val="2"/>
          </rPr>
          <t>Keller, Zach:</t>
        </r>
        <r>
          <rPr>
            <sz val="10"/>
            <color rgb="FF000000"/>
            <rFont val="Tahoma"/>
            <family val="2"/>
          </rPr>
          <t xml:space="preserve">
Source: Forbes team page, historical revenue for Forbes 2021 list (Oct 2021 list; 2020–21 season, net of revenue sharing and arena debt service), https://www.forbes.com/teams/utah-jazz/</t>
        </r>
      </text>
    </comment>
    <comment ref="H33" authorId="0" shapeId="0" xr:uid="{ABC76BD7-E085-EE46-AC51-ADBE0A7232F0}">
      <text>
        <r>
          <rPr>
            <b/>
            <sz val="10"/>
            <color rgb="FF000000"/>
            <rFont val="Tahoma"/>
            <family val="2"/>
          </rPr>
          <t>Keller, Zach:</t>
        </r>
        <r>
          <rPr>
            <sz val="10"/>
            <color rgb="FF000000"/>
            <rFont val="Tahoma"/>
            <family val="2"/>
          </rPr>
          <t xml:space="preserve">
Source: Forbes team page, historical revenue for Forbes 2022 list (Oct 2022 list; 2021–22 season, net of revenue sharing and arena debt service), https://www.forbes.com/teams/utah-jazz/</t>
        </r>
      </text>
    </comment>
    <comment ref="I33" authorId="0" shapeId="0" xr:uid="{290BC09E-0416-434D-A767-55D06026EBE6}">
      <text>
        <r>
          <rPr>
            <b/>
            <sz val="10"/>
            <color rgb="FF000000"/>
            <rFont val="Tahoma"/>
            <family val="2"/>
          </rPr>
          <t>Keller, Zach:</t>
        </r>
        <r>
          <rPr>
            <sz val="10"/>
            <color rgb="FF000000"/>
            <rFont val="Tahoma"/>
            <family val="2"/>
          </rPr>
          <t xml:space="preserve">
Source: Forbes team page, historical revenue for Forbes 2023 list (Oct 2023 list; 2022–23 season, net of revenue sharing and arena debt service), https://www.forbes.com/teams/utah-jazz/</t>
        </r>
      </text>
    </comment>
    <comment ref="J33" authorId="0" shapeId="0" xr:uid="{7A821EC4-7177-BD44-9563-F44E18636C9A}">
      <text>
        <r>
          <rPr>
            <b/>
            <sz val="10"/>
            <color rgb="FF000000"/>
            <rFont val="Tahoma"/>
            <family val="2"/>
          </rPr>
          <t>Keller, Zach:</t>
        </r>
        <r>
          <rPr>
            <sz val="10"/>
            <color rgb="FF000000"/>
            <rFont val="Tahoma"/>
            <family val="2"/>
          </rPr>
          <t xml:space="preserve">
Source: Forbes team page, historical revenue for Forbes 2024 list (Oct 2024 list; 2023–24 season, net of revenue sharing and arena debt service), https://www.forbes.com/teams/utah-jazz/</t>
        </r>
      </text>
    </comment>
    <comment ref="K33" authorId="0" shapeId="0" xr:uid="{4B4E0799-18D4-8A42-9E04-B8BEA7D202FA}">
      <text>
        <r>
          <rPr>
            <b/>
            <sz val="10"/>
            <color rgb="FF000000"/>
            <rFont val="Tahoma"/>
            <family val="2"/>
          </rPr>
          <t>Keller, Zach:</t>
        </r>
        <r>
          <rPr>
            <sz val="10"/>
            <color rgb="FF000000"/>
            <rFont val="Tahoma"/>
            <family val="2"/>
          </rPr>
          <t xml:space="preserve">
Source: Forbes, The Most Valuable NBA Teams 2025 list article (Oct 2025; 2024–25 revenue, net of revenue sharing and arena debt service), https://www.forbes.com/sites/justinteitelbaum/2025/10/23/the-most-valuable-nba-teams-2025/</t>
        </r>
      </text>
    </comment>
    <comment ref="B34" authorId="0" shapeId="0" xr:uid="{179C2ECD-2072-7E40-B187-3F8AD4FF348C}">
      <text>
        <r>
          <rPr>
            <b/>
            <sz val="10"/>
            <color rgb="FF000000"/>
            <rFont val="Tahoma"/>
            <family val="2"/>
          </rPr>
          <t>Keller, Zach:</t>
        </r>
        <r>
          <rPr>
            <sz val="10"/>
            <color rgb="FF000000"/>
            <rFont val="Tahoma"/>
            <family val="2"/>
          </rPr>
          <t xml:space="preserve">
Source: Forbes team page, historical revenue for Forbes 2016 list (Feb 2017 list; 2015–16 season, net of revenue sharing and arena debt service), https://www.forbes.com/teams/washington-wizards/</t>
        </r>
      </text>
    </comment>
    <comment ref="C34" authorId="0" shapeId="0" xr:uid="{5A57C1E4-0EE3-BF41-8A4A-FD9D403C6362}">
      <text>
        <r>
          <rPr>
            <b/>
            <sz val="10"/>
            <color rgb="FF000000"/>
            <rFont val="Tahoma"/>
            <family val="2"/>
          </rPr>
          <t>Keller, Zach:</t>
        </r>
        <r>
          <rPr>
            <sz val="10"/>
            <color rgb="FF000000"/>
            <rFont val="Tahoma"/>
            <family val="2"/>
          </rPr>
          <t xml:space="preserve">
Source: Forbes team page, historical revenue for Forbes 2017 list (Feb 2018 list; 2016–17 season, net of revenue sharing and arena debt service), https://www.forbes.com/teams/washington-wizards/</t>
        </r>
      </text>
    </comment>
    <comment ref="D34" authorId="0" shapeId="0" xr:uid="{E9702C1B-DA08-044E-9C62-3A5DBEF46A59}">
      <text>
        <r>
          <rPr>
            <b/>
            <sz val="10"/>
            <color rgb="FF000000"/>
            <rFont val="Tahoma"/>
            <family val="2"/>
          </rPr>
          <t>Keller, Zach:</t>
        </r>
        <r>
          <rPr>
            <sz val="10"/>
            <color rgb="FF000000"/>
            <rFont val="Tahoma"/>
            <family val="2"/>
          </rPr>
          <t xml:space="preserve">
Source: Forbes team page, historical revenue for Forbes 2018 list (Feb 2019 list; 2017–18 season, net of revenue sharing and arena debt service), https://www.forbes.com/teams/washington-wizards/</t>
        </r>
      </text>
    </comment>
    <comment ref="E34" authorId="0" shapeId="0" xr:uid="{8616AFEB-4916-C445-B25E-28FF203E6C2C}">
      <text>
        <r>
          <rPr>
            <b/>
            <sz val="10"/>
            <color rgb="FF000000"/>
            <rFont val="Tahoma"/>
            <family val="2"/>
          </rPr>
          <t>Keller, Zach:</t>
        </r>
        <r>
          <rPr>
            <sz val="10"/>
            <color rgb="FF000000"/>
            <rFont val="Tahoma"/>
            <family val="2"/>
          </rPr>
          <t xml:space="preserve">
Source: Forbes team page, historical revenue for Forbes 2019 list (Feb 2020 list; 2018–19 season, net of revenue sharing and arena debt service), https://www.forbes.com/teams/washington-wizards/</t>
        </r>
      </text>
    </comment>
    <comment ref="F34" authorId="0" shapeId="0" xr:uid="{7D44178F-F2C6-554B-A036-EFA06DF338D9}">
      <text>
        <r>
          <rPr>
            <b/>
            <sz val="10"/>
            <color rgb="FF000000"/>
            <rFont val="Tahoma"/>
            <family val="2"/>
          </rPr>
          <t>Keller, Zach:</t>
        </r>
        <r>
          <rPr>
            <sz val="10"/>
            <color rgb="FF000000"/>
            <rFont val="Tahoma"/>
            <family val="2"/>
          </rPr>
          <t xml:space="preserve">
Source: Forbes team page, historical revenue for Forbes 2020 list (Feb 2021 list; 2019–20 season, net of revenue sharing and arena debt service), https://www.forbes.com/teams/washington-wizards/</t>
        </r>
      </text>
    </comment>
    <comment ref="G34" authorId="0" shapeId="0" xr:uid="{12E9A0F3-08F7-F142-9AC8-C6332A11E4A1}">
      <text>
        <r>
          <rPr>
            <b/>
            <sz val="10"/>
            <color rgb="FF000000"/>
            <rFont val="Tahoma"/>
            <family val="2"/>
          </rPr>
          <t>Keller, Zach:</t>
        </r>
        <r>
          <rPr>
            <sz val="10"/>
            <color rgb="FF000000"/>
            <rFont val="Tahoma"/>
            <family val="2"/>
          </rPr>
          <t xml:space="preserve">
Source: Forbes team page, historical revenue for Forbes 2021 list (Oct 2021 list; 2020–21 season, net of revenue sharing and arena debt service), https://www.forbes.com/teams/washington-wizards/</t>
        </r>
      </text>
    </comment>
    <comment ref="H34" authorId="0" shapeId="0" xr:uid="{32583BBE-3427-5B49-A922-F589FC69406D}">
      <text>
        <r>
          <rPr>
            <b/>
            <sz val="10"/>
            <color rgb="FF000000"/>
            <rFont val="Tahoma"/>
            <family val="2"/>
          </rPr>
          <t>Keller, Zach:</t>
        </r>
        <r>
          <rPr>
            <sz val="10"/>
            <color rgb="FF000000"/>
            <rFont val="Tahoma"/>
            <family val="2"/>
          </rPr>
          <t xml:space="preserve">
Source: Forbes team page, historical revenue for Forbes 2022 list (Oct 2022 list; 2021–22 season, net of revenue sharing and arena debt service), https://www.forbes.com/teams/washington-wizards/</t>
        </r>
      </text>
    </comment>
    <comment ref="I34" authorId="0" shapeId="0" xr:uid="{FADBDC5C-11E1-C64C-BF01-1670CA6D0ED6}">
      <text>
        <r>
          <rPr>
            <b/>
            <sz val="10"/>
            <color rgb="FF000000"/>
            <rFont val="Tahoma"/>
            <family val="2"/>
          </rPr>
          <t>Keller, Zach:</t>
        </r>
        <r>
          <rPr>
            <sz val="10"/>
            <color rgb="FF000000"/>
            <rFont val="Tahoma"/>
            <family val="2"/>
          </rPr>
          <t xml:space="preserve">
Source: Forbes team page, historical revenue for Forbes 2023 list (Oct 2023 list; 2022–23 season, net of revenue sharing and arena debt service), https://www.forbes.com/teams/washington-wizards/</t>
        </r>
      </text>
    </comment>
    <comment ref="J34" authorId="0" shapeId="0" xr:uid="{1D35D8F5-484A-F143-833B-247BFA5DC082}">
      <text>
        <r>
          <rPr>
            <b/>
            <sz val="10"/>
            <color rgb="FF000000"/>
            <rFont val="Tahoma"/>
            <family val="2"/>
          </rPr>
          <t>Keller, Zach:</t>
        </r>
        <r>
          <rPr>
            <sz val="10"/>
            <color rgb="FF000000"/>
            <rFont val="Tahoma"/>
            <family val="2"/>
          </rPr>
          <t xml:space="preserve">
Source: Forbes team page, historical revenue for Forbes 2024 list (Oct 2024 list; 2023–24 season, net of revenue sharing and arena debt service), https://www.forbes.com/teams/washington-wizards/</t>
        </r>
      </text>
    </comment>
    <comment ref="K34" authorId="0" shapeId="0" xr:uid="{8582B5E1-CF4D-8F41-82FF-B123E53F53BA}">
      <text>
        <r>
          <rPr>
            <b/>
            <sz val="10"/>
            <color rgb="FF000000"/>
            <rFont val="Tahoma"/>
            <family val="2"/>
          </rPr>
          <t>Keller, Zach:</t>
        </r>
        <r>
          <rPr>
            <sz val="10"/>
            <color rgb="FF000000"/>
            <rFont val="Tahoma"/>
            <family val="2"/>
          </rPr>
          <t xml:space="preserve">
Source: Forbes, The Most Valuable NBA Teams 2025 list article (Oct 2025; 2024–25 revenue, net of revenue sharing and arena debt service), https://www.forbes.com/sites/justinteitelbaum/2025/10/23/the-most-valuable-nba-teams-2025/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Keller, Zach</author>
  </authors>
  <commentList>
    <comment ref="B5" authorId="0" shapeId="0" xr:uid="{A0ECDEB0-104D-E741-A1F6-A096A52A5692}">
      <text>
        <r>
          <rPr>
            <b/>
            <sz val="10"/>
            <color rgb="FF000000"/>
            <rFont val="Tahoma"/>
            <family val="2"/>
          </rPr>
          <t>Keller, Zach:</t>
        </r>
        <r>
          <rPr>
            <sz val="10"/>
            <color rgb="FF000000"/>
            <rFont val="Tahoma"/>
            <family val="2"/>
          </rPr>
          <t xml:space="preserve">
Source: Forbes team page, historical operating income for Forbes 2016 list (Feb 2017 list; 2015–16 season, net of revenue sharing and arena debt service), https://www.forbes.com/teams/atlanta-hawks/</t>
        </r>
      </text>
    </comment>
    <comment ref="C5" authorId="0" shapeId="0" xr:uid="{3AD8C733-8E3D-BB4B-A46F-C9F8837A3E09}">
      <text>
        <r>
          <rPr>
            <b/>
            <sz val="10"/>
            <color rgb="FF000000"/>
            <rFont val="Tahoma"/>
            <family val="2"/>
          </rPr>
          <t>Keller, Zach:</t>
        </r>
        <r>
          <rPr>
            <sz val="10"/>
            <color rgb="FF000000"/>
            <rFont val="Tahoma"/>
            <family val="2"/>
          </rPr>
          <t xml:space="preserve">
Source: Forbes team page, historical operating income for Forbes 2017 list (Feb 2018 list; 2016–17 season, net of revenue sharing and arena debt service), https://www.forbes.com/teams/atlanta-hawks/</t>
        </r>
      </text>
    </comment>
    <comment ref="D5" authorId="0" shapeId="0" xr:uid="{7627D9B1-06DB-344D-A451-2A271C9EEB11}">
      <text>
        <r>
          <rPr>
            <b/>
            <sz val="10"/>
            <color rgb="FF000000"/>
            <rFont val="Tahoma"/>
            <family val="2"/>
          </rPr>
          <t>Keller, Zach:</t>
        </r>
        <r>
          <rPr>
            <sz val="10"/>
            <color rgb="FF000000"/>
            <rFont val="Tahoma"/>
            <family val="2"/>
          </rPr>
          <t xml:space="preserve">
Source: Forbes team page, historical operating income for Forbes 2018 list (Feb 2019 list; 2017–18 season, net of revenue sharing and arena debt service), https://www.forbes.com/teams/atlanta-hawks/</t>
        </r>
      </text>
    </comment>
    <comment ref="E5" authorId="0" shapeId="0" xr:uid="{0C4D18DA-1FD5-D143-A06F-75D5E4EB4F4E}">
      <text>
        <r>
          <rPr>
            <b/>
            <sz val="10"/>
            <color rgb="FF000000"/>
            <rFont val="Tahoma"/>
            <family val="2"/>
          </rPr>
          <t>Keller, Zach:</t>
        </r>
        <r>
          <rPr>
            <sz val="10"/>
            <color rgb="FF000000"/>
            <rFont val="Tahoma"/>
            <family val="2"/>
          </rPr>
          <t xml:space="preserve">
Source: Forbes team page, historical operating income for Forbes 2019 list (Feb 2020 list; 2018–19 season, net of revenue sharing and arena debt service), https://www.forbes.com/teams/atlanta-hawks/</t>
        </r>
      </text>
    </comment>
    <comment ref="F5" authorId="0" shapeId="0" xr:uid="{DC567FCB-D7E0-F749-86B1-AA0A10A9182B}">
      <text>
        <r>
          <rPr>
            <b/>
            <sz val="10"/>
            <color rgb="FF000000"/>
            <rFont val="Tahoma"/>
            <family val="2"/>
          </rPr>
          <t>Keller, Zach:</t>
        </r>
        <r>
          <rPr>
            <sz val="10"/>
            <color rgb="FF000000"/>
            <rFont val="Tahoma"/>
            <family val="2"/>
          </rPr>
          <t xml:space="preserve">
Source: Forbes team page, historical operating income for Forbes 2020 list (Feb 2021 list; 2019–20 season, net of revenue sharing and arena debt service), https://www.forbes.com/teams/atlanta-hawks/</t>
        </r>
      </text>
    </comment>
    <comment ref="G5" authorId="0" shapeId="0" xr:uid="{323F54EE-ADC2-2243-94AF-B956997C5F3E}">
      <text>
        <r>
          <rPr>
            <b/>
            <sz val="10"/>
            <color rgb="FF000000"/>
            <rFont val="Tahoma"/>
            <family val="2"/>
          </rPr>
          <t>Keller, Zach:</t>
        </r>
        <r>
          <rPr>
            <sz val="10"/>
            <color rgb="FF000000"/>
            <rFont val="Tahoma"/>
            <family val="2"/>
          </rPr>
          <t xml:space="preserve">
Source: Forbes team page, historical operating income for Forbes 2021 list (Oct 2021 list; 2020–21 season, net of revenue sharing and arena debt service), https://www.forbes.com/teams/atlanta-hawks/</t>
        </r>
      </text>
    </comment>
    <comment ref="H5" authorId="0" shapeId="0" xr:uid="{410DF487-CF4D-E64E-AAF9-2488DAF6AB98}">
      <text>
        <r>
          <rPr>
            <b/>
            <sz val="10"/>
            <color rgb="FF000000"/>
            <rFont val="Tahoma"/>
            <family val="2"/>
          </rPr>
          <t>Keller, Zach:</t>
        </r>
        <r>
          <rPr>
            <sz val="10"/>
            <color rgb="FF000000"/>
            <rFont val="Tahoma"/>
            <family val="2"/>
          </rPr>
          <t xml:space="preserve">
Source: Forbes team page, historical operating income for Forbes 2022 list (Oct 2022 list; 2021–22 season, net of revenue sharing and arena debt service), https://www.forbes.com/teams/atlanta-hawks/</t>
        </r>
      </text>
    </comment>
    <comment ref="I5" authorId="0" shapeId="0" xr:uid="{0C81A177-1268-D443-B068-A99864C75C3F}">
      <text>
        <r>
          <rPr>
            <b/>
            <sz val="10"/>
            <color rgb="FF000000"/>
            <rFont val="Tahoma"/>
            <family val="2"/>
          </rPr>
          <t>Keller, Zach:</t>
        </r>
        <r>
          <rPr>
            <sz val="10"/>
            <color rgb="FF000000"/>
            <rFont val="Tahoma"/>
            <family val="2"/>
          </rPr>
          <t xml:space="preserve">
Source: Forbes team page, historical operating income for Forbes 2023 list (Oct 2023 list; 2022–23 season, net of revenue sharing and arena debt service), https://www.forbes.com/teams/atlanta-hawks/</t>
        </r>
      </text>
    </comment>
    <comment ref="J5" authorId="0" shapeId="0" xr:uid="{BE9F3C93-2223-C74A-B870-AAD74340A533}">
      <text>
        <r>
          <rPr>
            <b/>
            <sz val="10"/>
            <color rgb="FF000000"/>
            <rFont val="Tahoma"/>
            <family val="2"/>
          </rPr>
          <t>Keller, Zach:</t>
        </r>
        <r>
          <rPr>
            <sz val="10"/>
            <color rgb="FF000000"/>
            <rFont val="Tahoma"/>
            <family val="2"/>
          </rPr>
          <t xml:space="preserve">
Source: Forbes, The Most Valuable NBA Teams 2024 list article (Oct 2024; 2023–24 operating income, net of revenue sharing and arena debt service), https://www.forbes.com/sites/justinteitelbaum/2024/10/24/the-most-valuable-nba-teams-2024/</t>
        </r>
      </text>
    </comment>
    <comment ref="K5" authorId="0" shapeId="0" xr:uid="{04CD445E-34C0-1944-A9F6-38B4B6D5DA1B}">
      <text>
        <r>
          <rPr>
            <b/>
            <sz val="10"/>
            <color rgb="FF000000"/>
            <rFont val="Tahoma"/>
            <family val="2"/>
          </rPr>
          <t>Keller, Zach:</t>
        </r>
        <r>
          <rPr>
            <sz val="10"/>
            <color rgb="FF000000"/>
            <rFont val="Tahoma"/>
            <family val="2"/>
          </rPr>
          <t xml:space="preserve">
Source: Forbes, The Most Valuable NBA Teams 2025 list article (Oct 2025; 2024–25 operating income, net of revenue sharing and arena debt service), https://www.forbes.com/sites/justinteitelbaum/2025/10/23/the-most-valuable-nba-teams-2025/</t>
        </r>
      </text>
    </comment>
    <comment ref="B6" authorId="0" shapeId="0" xr:uid="{254DE1B3-C7B8-BC44-B2C3-2C78D9EF4FBD}">
      <text>
        <r>
          <rPr>
            <b/>
            <sz val="10"/>
            <color rgb="FF000000"/>
            <rFont val="Tahoma"/>
            <family val="2"/>
          </rPr>
          <t>Keller, Zach:</t>
        </r>
        <r>
          <rPr>
            <sz val="10"/>
            <color rgb="FF000000"/>
            <rFont val="Tahoma"/>
            <family val="2"/>
          </rPr>
          <t xml:space="preserve">
Source: Forbes team page, historical operating income for Forbes 2016 list (Feb 2017 list; 2015–16 season, net of revenue sharing and arena debt service), https://www.forbes.com/teams/boston-celtics/</t>
        </r>
      </text>
    </comment>
    <comment ref="C6" authorId="0" shapeId="0" xr:uid="{E752BE26-E95A-2945-BCE0-A4F9254D5DF3}">
      <text>
        <r>
          <rPr>
            <b/>
            <sz val="10"/>
            <color rgb="FF000000"/>
            <rFont val="Tahoma"/>
            <family val="2"/>
          </rPr>
          <t>Keller, Zach:</t>
        </r>
        <r>
          <rPr>
            <sz val="10"/>
            <color rgb="FF000000"/>
            <rFont val="Tahoma"/>
            <family val="2"/>
          </rPr>
          <t xml:space="preserve">
Source: Forbes team page, historical operating income for Forbes 2017 list (Feb 2018 list; 2016–17 season, net of revenue sharing and arena debt service), https://www.forbes.com/teams/boston-celtics/</t>
        </r>
      </text>
    </comment>
    <comment ref="D6" authorId="0" shapeId="0" xr:uid="{27DE5964-0194-0543-B739-E49A0C68BDB2}">
      <text>
        <r>
          <rPr>
            <b/>
            <sz val="10"/>
            <color rgb="FF000000"/>
            <rFont val="Tahoma"/>
            <family val="2"/>
          </rPr>
          <t>Keller, Zach:</t>
        </r>
        <r>
          <rPr>
            <sz val="10"/>
            <color rgb="FF000000"/>
            <rFont val="Tahoma"/>
            <family val="2"/>
          </rPr>
          <t xml:space="preserve">
Source: Forbes team page, historical operating income for Forbes 2018 list (Feb 2019 list; 2017–18 season, net of revenue sharing and arena debt service), https://www.forbes.com/teams/boston-celtics/</t>
        </r>
      </text>
    </comment>
    <comment ref="E6" authorId="0" shapeId="0" xr:uid="{464DC086-090D-4945-A22C-CCC4039F255B}">
      <text>
        <r>
          <rPr>
            <b/>
            <sz val="10"/>
            <color rgb="FF000000"/>
            <rFont val="Tahoma"/>
            <family val="2"/>
          </rPr>
          <t>Keller, Zach:</t>
        </r>
        <r>
          <rPr>
            <sz val="10"/>
            <color rgb="FF000000"/>
            <rFont val="Tahoma"/>
            <family val="2"/>
          </rPr>
          <t xml:space="preserve">
Source: Forbes team page, historical operating income for Forbes 2019 list (Feb 2020 list; 2018–19 season, net of revenue sharing and arena debt service), https://www.forbes.com/teams/boston-celtics/</t>
        </r>
      </text>
    </comment>
    <comment ref="F6" authorId="0" shapeId="0" xr:uid="{C9222FA8-F1C4-CE42-803F-2641A1EC1B05}">
      <text>
        <r>
          <rPr>
            <b/>
            <sz val="10"/>
            <color rgb="FF000000"/>
            <rFont val="Tahoma"/>
            <family val="2"/>
          </rPr>
          <t>Keller, Zach:</t>
        </r>
        <r>
          <rPr>
            <sz val="10"/>
            <color rgb="FF000000"/>
            <rFont val="Tahoma"/>
            <family val="2"/>
          </rPr>
          <t xml:space="preserve">
Source: Forbes team page, historical operating income for Forbes 2020 list (Feb 2021 list; 2019–20 season, net of revenue sharing and arena debt service), https://www.forbes.com/teams/boston-celtics/</t>
        </r>
      </text>
    </comment>
    <comment ref="G6" authorId="0" shapeId="0" xr:uid="{193190F6-BE61-4743-82AD-679364E43E87}">
      <text>
        <r>
          <rPr>
            <b/>
            <sz val="10"/>
            <color rgb="FF000000"/>
            <rFont val="Tahoma"/>
            <family val="2"/>
          </rPr>
          <t>Keller, Zach:</t>
        </r>
        <r>
          <rPr>
            <sz val="10"/>
            <color rgb="FF000000"/>
            <rFont val="Tahoma"/>
            <family val="2"/>
          </rPr>
          <t xml:space="preserve">
Source: Forbes team page, historical operating income for Forbes 2021 list (Oct 2021 list; 2020–21 season, net of revenue sharing and arena debt service), https://www.forbes.com/teams/boston-celtics/</t>
        </r>
      </text>
    </comment>
    <comment ref="H6" authorId="0" shapeId="0" xr:uid="{30277536-401A-B44C-81DE-7D8E4B533075}">
      <text>
        <r>
          <rPr>
            <b/>
            <sz val="10"/>
            <color rgb="FF000000"/>
            <rFont val="Tahoma"/>
            <family val="2"/>
          </rPr>
          <t>Keller, Zach:</t>
        </r>
        <r>
          <rPr>
            <sz val="10"/>
            <color rgb="FF000000"/>
            <rFont val="Tahoma"/>
            <family val="2"/>
          </rPr>
          <t xml:space="preserve">
Source: Forbes team page, historical operating income for Forbes 2022 list (Oct 2022 list; 2021–22 season, net of revenue sharing and arena debt service), https://www.forbes.com/teams/boston-celtics/</t>
        </r>
      </text>
    </comment>
    <comment ref="I6" authorId="0" shapeId="0" xr:uid="{E197FD0D-4DA8-5E40-970A-B87D79C3200E}">
      <text>
        <r>
          <rPr>
            <b/>
            <sz val="10"/>
            <color rgb="FF000000"/>
            <rFont val="Tahoma"/>
            <family val="2"/>
          </rPr>
          <t>Keller, Zach:</t>
        </r>
        <r>
          <rPr>
            <sz val="10"/>
            <color rgb="FF000000"/>
            <rFont val="Tahoma"/>
            <family val="2"/>
          </rPr>
          <t xml:space="preserve">
Source: Forbes team page, historical operating income for Forbes 2023 list (Oct 2023 list; 2022–23 season, net of revenue sharing and arena debt service), https://www.forbes.com/teams/boston-celtics/</t>
        </r>
      </text>
    </comment>
    <comment ref="J6" authorId="0" shapeId="0" xr:uid="{6EA2B3F2-9D2B-A54D-8E76-2F46021BFE0B}">
      <text>
        <r>
          <rPr>
            <b/>
            <sz val="10"/>
            <color rgb="FF000000"/>
            <rFont val="Tahoma"/>
            <family val="2"/>
          </rPr>
          <t>Keller, Zach:</t>
        </r>
        <r>
          <rPr>
            <sz val="10"/>
            <color rgb="FF000000"/>
            <rFont val="Tahoma"/>
            <family val="2"/>
          </rPr>
          <t xml:space="preserve">
Source: Forbes, The Most Valuable NBA Teams 2024 list article (Oct 2024; 2023–24 operating income, net of revenue sharing and arena debt service), https://www.forbes.com/sites/justinteitelbaum/2024/10/24/the-most-valuable-nba-teams-2024/</t>
        </r>
      </text>
    </comment>
    <comment ref="K6" authorId="0" shapeId="0" xr:uid="{E598D24B-A111-A446-8947-A0443318E335}">
      <text>
        <r>
          <rPr>
            <b/>
            <sz val="10"/>
            <color rgb="FF000000"/>
            <rFont val="Tahoma"/>
            <family val="2"/>
          </rPr>
          <t>Keller, Zach:</t>
        </r>
        <r>
          <rPr>
            <sz val="10"/>
            <color rgb="FF000000"/>
            <rFont val="Tahoma"/>
            <family val="2"/>
          </rPr>
          <t xml:space="preserve">
Source: Forbes, The Most Valuable NBA Teams 2025 list article (Oct 2025; 2024–25 operating income, net of revenue sharing and arena debt service), https://www.forbes.com/sites/justinteitelbaum/2025/10/23/the-most-valuable-nba-teams-2025/</t>
        </r>
      </text>
    </comment>
    <comment ref="B7" authorId="0" shapeId="0" xr:uid="{5D385EBC-DEB2-0A4F-975B-E822BECD73D0}">
      <text>
        <r>
          <rPr>
            <b/>
            <sz val="10"/>
            <color rgb="FF000000"/>
            <rFont val="Tahoma"/>
            <family val="2"/>
          </rPr>
          <t>Keller, Zach:</t>
        </r>
        <r>
          <rPr>
            <sz val="10"/>
            <color rgb="FF000000"/>
            <rFont val="Tahoma"/>
            <family val="2"/>
          </rPr>
          <t xml:space="preserve">
Source: Forbes team page, historical operating income for Forbes 2016 list (Feb 2017 list; 2015–16 season, net of revenue sharing and arena debt service), https://www.forbes.com/teams/brooklyn-nets/</t>
        </r>
      </text>
    </comment>
    <comment ref="C7" authorId="0" shapeId="0" xr:uid="{50317F3C-D78A-0D4D-B1E2-68BD90EF7069}">
      <text>
        <r>
          <rPr>
            <b/>
            <sz val="10"/>
            <color rgb="FF000000"/>
            <rFont val="Tahoma"/>
            <family val="2"/>
          </rPr>
          <t>Keller, Zach:</t>
        </r>
        <r>
          <rPr>
            <sz val="10"/>
            <color rgb="FF000000"/>
            <rFont val="Tahoma"/>
            <family val="2"/>
          </rPr>
          <t xml:space="preserve">
Source: Forbes team page, historical operating income for Forbes 2017 list (Feb 2018 list; 2016–17 season, net of revenue sharing and arena debt service), https://www.forbes.com/teams/brooklyn-nets/</t>
        </r>
      </text>
    </comment>
    <comment ref="D7" authorId="0" shapeId="0" xr:uid="{EB36A7A0-9969-C447-9592-27E259585389}">
      <text>
        <r>
          <rPr>
            <b/>
            <sz val="10"/>
            <color rgb="FF000000"/>
            <rFont val="Tahoma"/>
            <family val="2"/>
          </rPr>
          <t>Keller, Zach:</t>
        </r>
        <r>
          <rPr>
            <sz val="10"/>
            <color rgb="FF000000"/>
            <rFont val="Tahoma"/>
            <family val="2"/>
          </rPr>
          <t xml:space="preserve">
Source: Forbes team page, historical operating income for Forbes 2018 list (Feb 2019 list; 2017–18 season, net of revenue sharing and arena debt service), https://www.forbes.com/teams/brooklyn-nets/</t>
        </r>
      </text>
    </comment>
    <comment ref="E7" authorId="0" shapeId="0" xr:uid="{1B51350F-619A-4140-8D7C-6401C7513F26}">
      <text>
        <r>
          <rPr>
            <b/>
            <sz val="10"/>
            <color rgb="FF000000"/>
            <rFont val="Tahoma"/>
            <family val="2"/>
          </rPr>
          <t>Keller, Zach:</t>
        </r>
        <r>
          <rPr>
            <sz val="10"/>
            <color rgb="FF000000"/>
            <rFont val="Tahoma"/>
            <family val="2"/>
          </rPr>
          <t xml:space="preserve">
Source: Forbes team page, historical operating income for Forbes 2019 list (Feb 2020 list; 2018–19 season, net of revenue sharing and arena debt service), https://www.forbes.com/teams/brooklyn-nets/</t>
        </r>
      </text>
    </comment>
    <comment ref="F7" authorId="0" shapeId="0" xr:uid="{602AFD63-62E1-F14C-8281-2F81839AC516}">
      <text>
        <r>
          <rPr>
            <b/>
            <sz val="10"/>
            <color rgb="FF000000"/>
            <rFont val="Tahoma"/>
            <family val="2"/>
          </rPr>
          <t>Keller, Zach:</t>
        </r>
        <r>
          <rPr>
            <sz val="10"/>
            <color rgb="FF000000"/>
            <rFont val="Tahoma"/>
            <family val="2"/>
          </rPr>
          <t xml:space="preserve">
Source: Forbes team page, historical operating income for Forbes 2020 list (Feb 2021 list; 2019–20 season, net of revenue sharing and arena debt service), https://www.forbes.com/teams/brooklyn-nets/</t>
        </r>
      </text>
    </comment>
    <comment ref="G7" authorId="0" shapeId="0" xr:uid="{C4063DA4-FDA2-354D-BEEF-DDB3E86C4FE1}">
      <text>
        <r>
          <rPr>
            <b/>
            <sz val="10"/>
            <color rgb="FF000000"/>
            <rFont val="Tahoma"/>
            <family val="2"/>
          </rPr>
          <t>Keller, Zach:</t>
        </r>
        <r>
          <rPr>
            <sz val="10"/>
            <color rgb="FF000000"/>
            <rFont val="Tahoma"/>
            <family val="2"/>
          </rPr>
          <t xml:space="preserve">
Source: Forbes team page, historical operating income for Forbes 2021 list (Oct 2021 list; 2020–21 season, net of revenue sharing and arena debt service), https://www.forbes.com/teams/brooklyn-nets/</t>
        </r>
      </text>
    </comment>
    <comment ref="H7" authorId="0" shapeId="0" xr:uid="{778E783C-3B95-EA41-9247-59414679C6F8}">
      <text>
        <r>
          <rPr>
            <b/>
            <sz val="10"/>
            <color rgb="FF000000"/>
            <rFont val="Tahoma"/>
            <family val="2"/>
          </rPr>
          <t>Keller, Zach:</t>
        </r>
        <r>
          <rPr>
            <sz val="10"/>
            <color rgb="FF000000"/>
            <rFont val="Tahoma"/>
            <family val="2"/>
          </rPr>
          <t xml:space="preserve">
Source: Forbes team page, historical operating income for Forbes 2022 list (Oct 2022 list; 2021–22 season, net of revenue sharing and arena debt service), https://www.forbes.com/teams/brooklyn-nets/</t>
        </r>
      </text>
    </comment>
    <comment ref="I7" authorId="0" shapeId="0" xr:uid="{7A14A17F-1BC0-8D44-9F64-B6B487685293}">
      <text>
        <r>
          <rPr>
            <b/>
            <sz val="10"/>
            <color rgb="FF000000"/>
            <rFont val="Tahoma"/>
            <family val="2"/>
          </rPr>
          <t>Keller, Zach:</t>
        </r>
        <r>
          <rPr>
            <sz val="10"/>
            <color rgb="FF000000"/>
            <rFont val="Tahoma"/>
            <family val="2"/>
          </rPr>
          <t xml:space="preserve">
Source: Forbes team page, historical operating income for Forbes 2023 list (Oct 2023 list; 2022–23 season, net of revenue sharing and arena debt service), https://www.forbes.com/teams/brooklyn-nets/</t>
        </r>
      </text>
    </comment>
    <comment ref="J7" authorId="0" shapeId="0" xr:uid="{942AB1B5-2BC8-6647-BD00-8AE07E8200FE}">
      <text>
        <r>
          <rPr>
            <b/>
            <sz val="10"/>
            <color rgb="FF000000"/>
            <rFont val="Tahoma"/>
            <family val="2"/>
          </rPr>
          <t>Keller, Zach:</t>
        </r>
        <r>
          <rPr>
            <sz val="10"/>
            <color rgb="FF000000"/>
            <rFont val="Tahoma"/>
            <family val="2"/>
          </rPr>
          <t xml:space="preserve">
Source: Forbes, The Most Valuable NBA Teams 2024 list article (Oct 2024; 2023–24 operating income, net of revenue sharing and arena debt service), https://www.forbes.com/sites/justinteitelbaum/2024/10/24/the-most-valuable-nba-teams-2024/</t>
        </r>
      </text>
    </comment>
    <comment ref="K7" authorId="0" shapeId="0" xr:uid="{5BDDDEBE-8BB2-3249-9EB5-C5BDF0495EA0}">
      <text>
        <r>
          <rPr>
            <b/>
            <sz val="10"/>
            <color rgb="FF000000"/>
            <rFont val="Tahoma"/>
            <family val="2"/>
          </rPr>
          <t>Keller, Zach:</t>
        </r>
        <r>
          <rPr>
            <sz val="10"/>
            <color rgb="FF000000"/>
            <rFont val="Tahoma"/>
            <family val="2"/>
          </rPr>
          <t xml:space="preserve">
Source: Forbes, The Most Valuable NBA Teams 2025 list article (Oct 2025; 2024–25 operating income, net of revenue sharing and arena debt service), https://www.forbes.com/sites/justinteitelbaum/2025/10/23/the-most-valuable-nba-teams-2025/</t>
        </r>
      </text>
    </comment>
    <comment ref="B8" authorId="0" shapeId="0" xr:uid="{90BC4B62-8BC5-F240-A886-6328D4781C01}">
      <text>
        <r>
          <rPr>
            <b/>
            <sz val="10"/>
            <color rgb="FF000000"/>
            <rFont val="Tahoma"/>
            <family val="2"/>
          </rPr>
          <t>Keller, Zach:</t>
        </r>
        <r>
          <rPr>
            <sz val="10"/>
            <color rgb="FF000000"/>
            <rFont val="Tahoma"/>
            <family val="2"/>
          </rPr>
          <t xml:space="preserve">
Source: Forbes team page, historical operating income for Forbes 2016 list (Feb 2017 list; 2015–16 season, net of revenue sharing and arena debt service), https://www.forbes.com/teams/charlotte-hornets/</t>
        </r>
      </text>
    </comment>
    <comment ref="C8" authorId="0" shapeId="0" xr:uid="{5CCC6FA5-8641-8F4B-A4AC-C64716BEA0D6}">
      <text>
        <r>
          <rPr>
            <b/>
            <sz val="10"/>
            <color rgb="FF000000"/>
            <rFont val="Tahoma"/>
            <family val="2"/>
          </rPr>
          <t>Keller, Zach:</t>
        </r>
        <r>
          <rPr>
            <sz val="10"/>
            <color rgb="FF000000"/>
            <rFont val="Tahoma"/>
            <family val="2"/>
          </rPr>
          <t xml:space="preserve">
Source: Forbes team page, historical operating income for Forbes 2017 list (Feb 2018 list; 2016–17 season, net of revenue sharing and arena debt service), https://www.forbes.com/teams/charlotte-hornets/</t>
        </r>
      </text>
    </comment>
    <comment ref="D8" authorId="0" shapeId="0" xr:uid="{8DB6EBC2-3B47-DE43-AD25-94AAFE40CDA3}">
      <text>
        <r>
          <rPr>
            <b/>
            <sz val="10"/>
            <color rgb="FF000000"/>
            <rFont val="Tahoma"/>
            <family val="2"/>
          </rPr>
          <t>Keller, Zach:</t>
        </r>
        <r>
          <rPr>
            <sz val="10"/>
            <color rgb="FF000000"/>
            <rFont val="Tahoma"/>
            <family val="2"/>
          </rPr>
          <t xml:space="preserve">
Source: Forbes team page, historical operating income for Forbes 2018 list (Feb 2019 list; 2017–18 season, net of revenue sharing and arena debt service), https://www.forbes.com/teams/charlotte-hornets/</t>
        </r>
      </text>
    </comment>
    <comment ref="E8" authorId="0" shapeId="0" xr:uid="{72C2A02C-E324-C949-8F0A-05629731AD1E}">
      <text>
        <r>
          <rPr>
            <b/>
            <sz val="10"/>
            <color rgb="FF000000"/>
            <rFont val="Tahoma"/>
            <family val="2"/>
          </rPr>
          <t>Keller, Zach:</t>
        </r>
        <r>
          <rPr>
            <sz val="10"/>
            <color rgb="FF000000"/>
            <rFont val="Tahoma"/>
            <family val="2"/>
          </rPr>
          <t xml:space="preserve">
Source: Forbes team page, historical operating income for Forbes 2019 list (Feb 2020 list; 2018–19 season, net of revenue sharing and arena debt service), https://www.forbes.com/teams/charlotte-hornets/</t>
        </r>
      </text>
    </comment>
    <comment ref="F8" authorId="0" shapeId="0" xr:uid="{437C435E-31F3-3743-B702-CB40E3DD6405}">
      <text>
        <r>
          <rPr>
            <b/>
            <sz val="10"/>
            <color rgb="FF000000"/>
            <rFont val="Tahoma"/>
            <family val="2"/>
          </rPr>
          <t>Keller, Zach:</t>
        </r>
        <r>
          <rPr>
            <sz val="10"/>
            <color rgb="FF000000"/>
            <rFont val="Tahoma"/>
            <family val="2"/>
          </rPr>
          <t xml:space="preserve">
Source: Forbes team page, historical operating income for Forbes 2020 list (Feb 2021 list; 2019–20 season, net of revenue sharing and arena debt service), https://www.forbes.com/teams/charlotte-hornets/</t>
        </r>
      </text>
    </comment>
    <comment ref="G8" authorId="0" shapeId="0" xr:uid="{B72A07D3-07BA-A549-8A2D-218B634F764D}">
      <text>
        <r>
          <rPr>
            <b/>
            <sz val="10"/>
            <color rgb="FF000000"/>
            <rFont val="Tahoma"/>
            <family val="2"/>
          </rPr>
          <t>Keller, Zach:</t>
        </r>
        <r>
          <rPr>
            <sz val="10"/>
            <color rgb="FF000000"/>
            <rFont val="Tahoma"/>
            <family val="2"/>
          </rPr>
          <t xml:space="preserve">
Source: Forbes team page, historical operating income for Forbes 2021 list (Oct 2021 list; 2020–21 season, net of revenue sharing and arena debt service), https://www.forbes.com/teams/charlotte-hornets/</t>
        </r>
      </text>
    </comment>
    <comment ref="H8" authorId="0" shapeId="0" xr:uid="{1751940E-B20E-354E-BC7C-F1886441B1DD}">
      <text>
        <r>
          <rPr>
            <b/>
            <sz val="10"/>
            <color rgb="FF000000"/>
            <rFont val="Tahoma"/>
            <family val="2"/>
          </rPr>
          <t>Keller, Zach:</t>
        </r>
        <r>
          <rPr>
            <sz val="10"/>
            <color rgb="FF000000"/>
            <rFont val="Tahoma"/>
            <family val="2"/>
          </rPr>
          <t xml:space="preserve">
Source: Forbes team page, historical operating income for Forbes 2022 list (Oct 2022 list; 2021–22 season, net of revenue sharing and arena debt service), https://www.forbes.com/teams/charlotte-hornets/</t>
        </r>
      </text>
    </comment>
    <comment ref="I8" authorId="0" shapeId="0" xr:uid="{E90388B5-84FA-FB48-AF28-4318176697EF}">
      <text>
        <r>
          <rPr>
            <b/>
            <sz val="10"/>
            <color rgb="FF000000"/>
            <rFont val="Tahoma"/>
            <family val="2"/>
          </rPr>
          <t>Keller, Zach:</t>
        </r>
        <r>
          <rPr>
            <sz val="10"/>
            <color rgb="FF000000"/>
            <rFont val="Tahoma"/>
            <family val="2"/>
          </rPr>
          <t xml:space="preserve">
Source: Forbes team page, historical operating income for Forbes 2023 list (Oct 2023 list; 2022–23 season, net of revenue sharing and arena debt service), https://www.forbes.com/teams/charlotte-hornets/</t>
        </r>
      </text>
    </comment>
    <comment ref="J8" authorId="0" shapeId="0" xr:uid="{B985EEAE-B193-BB4E-B61F-ABFC1D4E8981}">
      <text>
        <r>
          <rPr>
            <b/>
            <sz val="10"/>
            <color rgb="FF000000"/>
            <rFont val="Tahoma"/>
            <family val="2"/>
          </rPr>
          <t>Keller, Zach:</t>
        </r>
        <r>
          <rPr>
            <sz val="10"/>
            <color rgb="FF000000"/>
            <rFont val="Tahoma"/>
            <family val="2"/>
          </rPr>
          <t xml:space="preserve">
Source: Forbes, The Most Valuable NBA Teams 2024 list article (Oct 2024; 2023–24 operating income, net of revenue sharing and arena debt service), https://www.forbes.com/sites/justinteitelbaum/2024/10/24/the-most-valuable-nba-teams-2024/</t>
        </r>
      </text>
    </comment>
    <comment ref="K8" authorId="0" shapeId="0" xr:uid="{827642A3-61CF-344C-964E-98126179E080}">
      <text>
        <r>
          <rPr>
            <b/>
            <sz val="10"/>
            <color rgb="FF000000"/>
            <rFont val="Tahoma"/>
            <family val="2"/>
          </rPr>
          <t>Keller, Zach:</t>
        </r>
        <r>
          <rPr>
            <sz val="10"/>
            <color rgb="FF000000"/>
            <rFont val="Tahoma"/>
            <family val="2"/>
          </rPr>
          <t xml:space="preserve">
Source: Forbes, The Most Valuable NBA Teams 2025 list article (Oct 2025; 2024–25 operating income, net of revenue sharing and arena debt service), https://www.forbes.com/sites/justinteitelbaum/2025/10/23/the-most-valuable-nba-teams-2025/. Note: Forbes team page shows $81M for this year; list article value used.</t>
        </r>
      </text>
    </comment>
    <comment ref="B9" authorId="0" shapeId="0" xr:uid="{44997BBD-1BBD-CF4D-B788-222B6DD91DEA}">
      <text>
        <r>
          <rPr>
            <b/>
            <sz val="10"/>
            <color rgb="FF000000"/>
            <rFont val="Tahoma"/>
            <family val="2"/>
          </rPr>
          <t>Keller, Zach:</t>
        </r>
        <r>
          <rPr>
            <sz val="10"/>
            <color rgb="FF000000"/>
            <rFont val="Tahoma"/>
            <family val="2"/>
          </rPr>
          <t xml:space="preserve">
Source: Forbes team page, historical operating income for Forbes 2016 list (Feb 2017 list; 2015–16 season, net of revenue sharing and arena debt service), https://www.forbes.com/teams/chicago-bulls/</t>
        </r>
      </text>
    </comment>
    <comment ref="C9" authorId="0" shapeId="0" xr:uid="{B2D57995-B5A8-3B4E-8047-E0D8F629A9A2}">
      <text>
        <r>
          <rPr>
            <b/>
            <sz val="10"/>
            <color rgb="FF000000"/>
            <rFont val="Tahoma"/>
            <family val="2"/>
          </rPr>
          <t>Keller, Zach:</t>
        </r>
        <r>
          <rPr>
            <sz val="10"/>
            <color rgb="FF000000"/>
            <rFont val="Tahoma"/>
            <family val="2"/>
          </rPr>
          <t xml:space="preserve">
Source: Forbes team page, historical operating income for Forbes 2017 list (Feb 2018 list; 2016–17 season, net of revenue sharing and arena debt service), https://www.forbes.com/teams/chicago-bulls/</t>
        </r>
      </text>
    </comment>
    <comment ref="D9" authorId="0" shapeId="0" xr:uid="{9F7A60E3-4545-CC4A-928A-79FF0901021C}">
      <text>
        <r>
          <rPr>
            <b/>
            <sz val="10"/>
            <color rgb="FF000000"/>
            <rFont val="Tahoma"/>
            <family val="2"/>
          </rPr>
          <t>Keller, Zach:</t>
        </r>
        <r>
          <rPr>
            <sz val="10"/>
            <color rgb="FF000000"/>
            <rFont val="Tahoma"/>
            <family val="2"/>
          </rPr>
          <t xml:space="preserve">
Source: Forbes team page, historical operating income for Forbes 2018 list (Feb 2019 list; 2017–18 season, net of revenue sharing and arena debt service), https://www.forbes.com/teams/chicago-bulls/</t>
        </r>
      </text>
    </comment>
    <comment ref="E9" authorId="0" shapeId="0" xr:uid="{0E0C2C24-66F1-5745-89DD-F220D366A6CA}">
      <text>
        <r>
          <rPr>
            <b/>
            <sz val="10"/>
            <color rgb="FF000000"/>
            <rFont val="Tahoma"/>
            <family val="2"/>
          </rPr>
          <t>Keller, Zach:</t>
        </r>
        <r>
          <rPr>
            <sz val="10"/>
            <color rgb="FF000000"/>
            <rFont val="Tahoma"/>
            <family val="2"/>
          </rPr>
          <t xml:space="preserve">
Source: Forbes team page, historical operating income for Forbes 2019 list (Feb 2020 list; 2018–19 season, net of revenue sharing and arena debt service), https://www.forbes.com/teams/chicago-bulls/</t>
        </r>
      </text>
    </comment>
    <comment ref="F9" authorId="0" shapeId="0" xr:uid="{A65D9953-5232-C445-9461-7CB8072E050D}">
      <text>
        <r>
          <rPr>
            <b/>
            <sz val="10"/>
            <color rgb="FF000000"/>
            <rFont val="Tahoma"/>
            <family val="2"/>
          </rPr>
          <t>Keller, Zach:</t>
        </r>
        <r>
          <rPr>
            <sz val="10"/>
            <color rgb="FF000000"/>
            <rFont val="Tahoma"/>
            <family val="2"/>
          </rPr>
          <t xml:space="preserve">
Source: Forbes team page, historical operating income for Forbes 2020 list (Feb 2021 list; 2019–20 season, net of revenue sharing and arena debt service), https://www.forbes.com/teams/chicago-bulls/</t>
        </r>
      </text>
    </comment>
    <comment ref="G9" authorId="0" shapeId="0" xr:uid="{8DA2CA37-3854-D440-9B81-7AEBD85EA3FD}">
      <text>
        <r>
          <rPr>
            <b/>
            <sz val="10"/>
            <color rgb="FF000000"/>
            <rFont val="Tahoma"/>
            <family val="2"/>
          </rPr>
          <t>Keller, Zach:</t>
        </r>
        <r>
          <rPr>
            <sz val="10"/>
            <color rgb="FF000000"/>
            <rFont val="Tahoma"/>
            <family val="2"/>
          </rPr>
          <t xml:space="preserve">
Source: Forbes team page, historical operating income for Forbes 2021 list (Oct 2021 list; 2020–21 season, net of revenue sharing and arena debt service), https://www.forbes.com/teams/chicago-bulls/</t>
        </r>
      </text>
    </comment>
    <comment ref="H9" authorId="0" shapeId="0" xr:uid="{1DD8B02A-CA24-784F-BFE9-A70DFB9C1499}">
      <text>
        <r>
          <rPr>
            <b/>
            <sz val="10"/>
            <color rgb="FF000000"/>
            <rFont val="Tahoma"/>
            <family val="2"/>
          </rPr>
          <t>Keller, Zach:</t>
        </r>
        <r>
          <rPr>
            <sz val="10"/>
            <color rgb="FF000000"/>
            <rFont val="Tahoma"/>
            <family val="2"/>
          </rPr>
          <t xml:space="preserve">
Source: Forbes team page, historical operating income for Forbes 2022 list (Oct 2022 list; 2021–22 season, net of revenue sharing and arena debt service), https://www.forbes.com/teams/chicago-bulls/</t>
        </r>
      </text>
    </comment>
    <comment ref="I9" authorId="0" shapeId="0" xr:uid="{92A3C4A5-EA93-B74C-9F41-20A636D0F00D}">
      <text>
        <r>
          <rPr>
            <b/>
            <sz val="10"/>
            <color rgb="FF000000"/>
            <rFont val="Tahoma"/>
            <family val="2"/>
          </rPr>
          <t>Keller, Zach:</t>
        </r>
        <r>
          <rPr>
            <sz val="10"/>
            <color rgb="FF000000"/>
            <rFont val="Tahoma"/>
            <family val="2"/>
          </rPr>
          <t xml:space="preserve">
Source: Forbes team page, historical operating income for Forbes 2023 list (Oct 2023 list; 2022–23 season, net of revenue sharing and arena debt service), https://www.forbes.com/teams/chicago-bulls/</t>
        </r>
      </text>
    </comment>
    <comment ref="J9" authorId="0" shapeId="0" xr:uid="{C88559EF-BF28-EA41-842C-5747A882463C}">
      <text>
        <r>
          <rPr>
            <b/>
            <sz val="10"/>
            <color rgb="FF000000"/>
            <rFont val="Tahoma"/>
            <family val="2"/>
          </rPr>
          <t>Keller, Zach:</t>
        </r>
        <r>
          <rPr>
            <sz val="10"/>
            <color rgb="FF000000"/>
            <rFont val="Tahoma"/>
            <family val="2"/>
          </rPr>
          <t xml:space="preserve">
Source: Forbes, The Most Valuable NBA Teams 2024 list article (Oct 2024; 2023–24 operating income, net of revenue sharing and arena debt service), https://www.forbes.com/sites/justinteitelbaum/2024/10/24/the-most-valuable-nba-teams-2024/</t>
        </r>
      </text>
    </comment>
    <comment ref="K9" authorId="0" shapeId="0" xr:uid="{44BB6AC2-2C8D-5B40-BF58-2B32075532E4}">
      <text>
        <r>
          <rPr>
            <b/>
            <sz val="10"/>
            <color rgb="FF000000"/>
            <rFont val="Tahoma"/>
            <family val="2"/>
          </rPr>
          <t>Keller, Zach:</t>
        </r>
        <r>
          <rPr>
            <sz val="10"/>
            <color rgb="FF000000"/>
            <rFont val="Tahoma"/>
            <family val="2"/>
          </rPr>
          <t xml:space="preserve">
Source: Forbes, The Most Valuable NBA Teams 2025 list article (Oct 2025; 2024–25 operating income, net of revenue sharing and arena debt service), https://www.forbes.com/sites/justinteitelbaum/2025/10/23/the-most-valuable-nba-teams-2025/</t>
        </r>
      </text>
    </comment>
    <comment ref="B10" authorId="0" shapeId="0" xr:uid="{D701BF8E-B2C7-B448-98C3-F2E4FB3877A0}">
      <text>
        <r>
          <rPr>
            <b/>
            <sz val="10"/>
            <color rgb="FF000000"/>
            <rFont val="Tahoma"/>
            <family val="2"/>
          </rPr>
          <t>Keller, Zach:</t>
        </r>
        <r>
          <rPr>
            <sz val="10"/>
            <color rgb="FF000000"/>
            <rFont val="Tahoma"/>
            <family val="2"/>
          </rPr>
          <t xml:space="preserve">
Source: Forbes team page, historical operating income for Forbes 2016 list (Feb 2017 list; 2015–16 season, net of revenue sharing and arena debt service), https://www.forbes.com/teams/cleveland-cavaliers/</t>
        </r>
      </text>
    </comment>
    <comment ref="C10" authorId="0" shapeId="0" xr:uid="{44F678A0-09D8-6944-9E75-7741F0F6391C}">
      <text>
        <r>
          <rPr>
            <b/>
            <sz val="10"/>
            <color rgb="FF000000"/>
            <rFont val="Tahoma"/>
            <family val="2"/>
          </rPr>
          <t>Keller, Zach:</t>
        </r>
        <r>
          <rPr>
            <sz val="10"/>
            <color rgb="FF000000"/>
            <rFont val="Tahoma"/>
            <family val="2"/>
          </rPr>
          <t xml:space="preserve">
Source: Forbes team page, historical operating income for Forbes 2017 list (Feb 2018 list; 2016–17 season, net of revenue sharing and arena debt service), https://www.forbes.com/teams/cleveland-cavaliers/</t>
        </r>
      </text>
    </comment>
    <comment ref="D10" authorId="0" shapeId="0" xr:uid="{1BDEC063-4E70-3E49-B573-7D846BD96A4E}">
      <text>
        <r>
          <rPr>
            <b/>
            <sz val="10"/>
            <color rgb="FF000000"/>
            <rFont val="Tahoma"/>
            <family val="2"/>
          </rPr>
          <t>Keller, Zach:</t>
        </r>
        <r>
          <rPr>
            <sz val="10"/>
            <color rgb="FF000000"/>
            <rFont val="Tahoma"/>
            <family val="2"/>
          </rPr>
          <t xml:space="preserve">
Source: Forbes team page, historical operating income for Forbes 2018 list (Feb 2019 list; 2017–18 season, net of revenue sharing and arena debt service), https://www.forbes.com/teams/cleveland-cavaliers/</t>
        </r>
      </text>
    </comment>
    <comment ref="E10" authorId="0" shapeId="0" xr:uid="{4242A4C7-7D2D-8A4B-B3FA-DDB325E146AF}">
      <text>
        <r>
          <rPr>
            <b/>
            <sz val="10"/>
            <color rgb="FF000000"/>
            <rFont val="Tahoma"/>
            <family val="2"/>
          </rPr>
          <t>Keller, Zach:</t>
        </r>
        <r>
          <rPr>
            <sz val="10"/>
            <color rgb="FF000000"/>
            <rFont val="Tahoma"/>
            <family val="2"/>
          </rPr>
          <t xml:space="preserve">
Source: Forbes team page, historical operating income for Forbes 2019 list (Feb 2020 list; 2018–19 season, net of revenue sharing and arena debt service), https://www.forbes.com/teams/cleveland-cavaliers/</t>
        </r>
      </text>
    </comment>
    <comment ref="F10" authorId="0" shapeId="0" xr:uid="{2CB045AF-6F14-0143-BFD9-BBC42E6A1983}">
      <text>
        <r>
          <rPr>
            <b/>
            <sz val="10"/>
            <color rgb="FF000000"/>
            <rFont val="Tahoma"/>
            <family val="2"/>
          </rPr>
          <t>Keller, Zach:</t>
        </r>
        <r>
          <rPr>
            <sz val="10"/>
            <color rgb="FF000000"/>
            <rFont val="Tahoma"/>
            <family val="2"/>
          </rPr>
          <t xml:space="preserve">
Source: Forbes team page, historical operating income for Forbes 2020 list (Feb 2021 list; 2019–20 season, net of revenue sharing and arena debt service), https://www.forbes.com/teams/cleveland-cavaliers/</t>
        </r>
      </text>
    </comment>
    <comment ref="G10" authorId="0" shapeId="0" xr:uid="{E4DFFD30-5E6A-6C47-9484-5D7C07B4989D}">
      <text>
        <r>
          <rPr>
            <b/>
            <sz val="10"/>
            <color rgb="FF000000"/>
            <rFont val="Tahoma"/>
            <family val="2"/>
          </rPr>
          <t>Keller, Zach:</t>
        </r>
        <r>
          <rPr>
            <sz val="10"/>
            <color rgb="FF000000"/>
            <rFont val="Tahoma"/>
            <family val="2"/>
          </rPr>
          <t xml:space="preserve">
Source: Forbes team page, historical operating income for Forbes 2021 list (Oct 2021 list; 2020–21 season, net of revenue sharing and arena debt service), https://www.forbes.com/teams/cleveland-cavaliers/</t>
        </r>
      </text>
    </comment>
    <comment ref="H10" authorId="0" shapeId="0" xr:uid="{32574F9E-980E-9248-86B5-736BEF362635}">
      <text>
        <r>
          <rPr>
            <b/>
            <sz val="10"/>
            <color rgb="FF000000"/>
            <rFont val="Tahoma"/>
            <family val="2"/>
          </rPr>
          <t>Keller, Zach:</t>
        </r>
        <r>
          <rPr>
            <sz val="10"/>
            <color rgb="FF000000"/>
            <rFont val="Tahoma"/>
            <family val="2"/>
          </rPr>
          <t xml:space="preserve">
Source: Forbes team page, historical operating income for Forbes 2022 list (Oct 2022 list; 2021–22 season, net of revenue sharing and arena debt service), https://www.forbes.com/teams/cleveland-cavaliers/</t>
        </r>
      </text>
    </comment>
    <comment ref="I10" authorId="0" shapeId="0" xr:uid="{E7EC2716-2BAA-5F4A-87B9-CEC1FB442FC7}">
      <text>
        <r>
          <rPr>
            <b/>
            <sz val="10"/>
            <color rgb="FF000000"/>
            <rFont val="Tahoma"/>
            <family val="2"/>
          </rPr>
          <t>Keller, Zach:</t>
        </r>
        <r>
          <rPr>
            <sz val="10"/>
            <color rgb="FF000000"/>
            <rFont val="Tahoma"/>
            <family val="2"/>
          </rPr>
          <t xml:space="preserve">
Source: Forbes team page, historical operating income for Forbes 2023 list (Oct 2023 list; 2022–23 season, net of revenue sharing and arena debt service), https://www.forbes.com/teams/cleveland-cavaliers/</t>
        </r>
      </text>
    </comment>
    <comment ref="J10" authorId="0" shapeId="0" xr:uid="{E3FF5BD5-F56F-D049-AC1E-EB3C3FEF36AD}">
      <text>
        <r>
          <rPr>
            <b/>
            <sz val="10"/>
            <color rgb="FF000000"/>
            <rFont val="Tahoma"/>
            <family val="2"/>
          </rPr>
          <t>Keller, Zach:</t>
        </r>
        <r>
          <rPr>
            <sz val="10"/>
            <color rgb="FF000000"/>
            <rFont val="Tahoma"/>
            <family val="2"/>
          </rPr>
          <t xml:space="preserve">
Source: Forbes, The Most Valuable NBA Teams 2024 list article (Oct 2024; 2023–24 operating income, net of revenue sharing and arena debt service), https://www.forbes.com/sites/justinteitelbaum/2024/10/24/the-most-valuable-nba-teams-2024/. Note: Forbes team page shows $96M for this year; list article value used.</t>
        </r>
      </text>
    </comment>
    <comment ref="K10" authorId="0" shapeId="0" xr:uid="{B1DAB2FF-3B3B-DE4C-9285-2CF56A0E1F75}">
      <text>
        <r>
          <rPr>
            <b/>
            <sz val="10"/>
            <color rgb="FF000000"/>
            <rFont val="Tahoma"/>
            <family val="2"/>
          </rPr>
          <t>Keller, Zach:</t>
        </r>
        <r>
          <rPr>
            <sz val="10"/>
            <color rgb="FF000000"/>
            <rFont val="Tahoma"/>
            <family val="2"/>
          </rPr>
          <t xml:space="preserve">
Source: Forbes, The Most Valuable NBA Teams 2025 list article (Oct 2025; 2024–25 operating income, net of revenue sharing and arena debt service), https://www.forbes.com/sites/justinteitelbaum/2025/10/23/the-most-valuable-nba-teams-2025/</t>
        </r>
      </text>
    </comment>
    <comment ref="B11" authorId="0" shapeId="0" xr:uid="{E075DDB9-874E-7043-B2D2-36FC19698F35}">
      <text>
        <r>
          <rPr>
            <b/>
            <sz val="10"/>
            <color rgb="FF000000"/>
            <rFont val="Tahoma"/>
            <family val="2"/>
          </rPr>
          <t>Keller, Zach:</t>
        </r>
        <r>
          <rPr>
            <sz val="10"/>
            <color rgb="FF000000"/>
            <rFont val="Tahoma"/>
            <family val="2"/>
          </rPr>
          <t xml:space="preserve">
Source: Forbes team page, historical operating income for Forbes 2016 list (Feb 2017 list; 2015–16 season, net of revenue sharing and arena debt service), https://www.forbes.com/teams/dallas-mavericks/</t>
        </r>
      </text>
    </comment>
    <comment ref="C11" authorId="0" shapeId="0" xr:uid="{D8F09959-C156-6B4E-9DC1-45C7B77D9579}">
      <text>
        <r>
          <rPr>
            <b/>
            <sz val="10"/>
            <color rgb="FF000000"/>
            <rFont val="Tahoma"/>
            <family val="2"/>
          </rPr>
          <t>Keller, Zach:</t>
        </r>
        <r>
          <rPr>
            <sz val="10"/>
            <color rgb="FF000000"/>
            <rFont val="Tahoma"/>
            <family val="2"/>
          </rPr>
          <t xml:space="preserve">
Source: Forbes team page, historical operating income for Forbes 2017 list (Feb 2018 list; 2016–17 season, net of revenue sharing and arena debt service), https://www.forbes.com/teams/dallas-mavericks/</t>
        </r>
      </text>
    </comment>
    <comment ref="D11" authorId="0" shapeId="0" xr:uid="{4F9BFA24-9B45-AA41-B63D-B0EF4DCDBC8D}">
      <text>
        <r>
          <rPr>
            <b/>
            <sz val="10"/>
            <color rgb="FF000000"/>
            <rFont val="Tahoma"/>
            <family val="2"/>
          </rPr>
          <t>Keller, Zach:</t>
        </r>
        <r>
          <rPr>
            <sz val="10"/>
            <color rgb="FF000000"/>
            <rFont val="Tahoma"/>
            <family val="2"/>
          </rPr>
          <t xml:space="preserve">
Source: Forbes team page, historical operating income for Forbes 2018 list (Feb 2019 list; 2017–18 season, net of revenue sharing and arena debt service), https://www.forbes.com/teams/dallas-mavericks/</t>
        </r>
      </text>
    </comment>
    <comment ref="E11" authorId="0" shapeId="0" xr:uid="{885973B3-7DC6-4F4B-9B52-8FA352F3C33C}">
      <text>
        <r>
          <rPr>
            <b/>
            <sz val="10"/>
            <color rgb="FF000000"/>
            <rFont val="Tahoma"/>
            <family val="2"/>
          </rPr>
          <t>Keller, Zach:</t>
        </r>
        <r>
          <rPr>
            <sz val="10"/>
            <color rgb="FF000000"/>
            <rFont val="Tahoma"/>
            <family val="2"/>
          </rPr>
          <t xml:space="preserve">
Source: Forbes team page, historical operating income for Forbes 2019 list (Feb 2020 list; 2018–19 season, net of revenue sharing and arena debt service), https://www.forbes.com/teams/dallas-mavericks/</t>
        </r>
      </text>
    </comment>
    <comment ref="F11" authorId="0" shapeId="0" xr:uid="{43A2ED25-86E5-D949-BEC4-64EB81C56A8C}">
      <text>
        <r>
          <rPr>
            <b/>
            <sz val="10"/>
            <color rgb="FF000000"/>
            <rFont val="Tahoma"/>
            <family val="2"/>
          </rPr>
          <t>Keller, Zach:</t>
        </r>
        <r>
          <rPr>
            <sz val="10"/>
            <color rgb="FF000000"/>
            <rFont val="Tahoma"/>
            <family val="2"/>
          </rPr>
          <t xml:space="preserve">
Source: Forbes team page, historical operating income for Forbes 2020 list (Feb 2021 list; 2019–20 season, net of revenue sharing and arena debt service), https://www.forbes.com/teams/dallas-mavericks/</t>
        </r>
      </text>
    </comment>
    <comment ref="G11" authorId="0" shapeId="0" xr:uid="{44BAA9C1-EAC3-1E41-8ACC-F89D3BCBC7EF}">
      <text>
        <r>
          <rPr>
            <b/>
            <sz val="10"/>
            <color rgb="FF000000"/>
            <rFont val="Tahoma"/>
            <family val="2"/>
          </rPr>
          <t>Keller, Zach:</t>
        </r>
        <r>
          <rPr>
            <sz val="10"/>
            <color rgb="FF000000"/>
            <rFont val="Tahoma"/>
            <family val="2"/>
          </rPr>
          <t xml:space="preserve">
Source: Forbes team page, historical operating income for Forbes 2021 list (Oct 2021 list; 2020–21 season, net of revenue sharing and arena debt service), https://www.forbes.com/teams/dallas-mavericks/</t>
        </r>
      </text>
    </comment>
    <comment ref="H11" authorId="0" shapeId="0" xr:uid="{EB4A6220-7CFA-C14F-818A-0924930397B3}">
      <text>
        <r>
          <rPr>
            <b/>
            <sz val="10"/>
            <color rgb="FF000000"/>
            <rFont val="Tahoma"/>
            <family val="2"/>
          </rPr>
          <t>Keller, Zach:</t>
        </r>
        <r>
          <rPr>
            <sz val="10"/>
            <color rgb="FF000000"/>
            <rFont val="Tahoma"/>
            <family val="2"/>
          </rPr>
          <t xml:space="preserve">
Source: Forbes team page, historical operating income for Forbes 2022 list (Oct 2022 list; 2021–22 season, net of revenue sharing and arena debt service), https://www.forbes.com/teams/dallas-mavericks/</t>
        </r>
      </text>
    </comment>
    <comment ref="I11" authorId="0" shapeId="0" xr:uid="{29198E57-4311-CD40-AA5D-EFB36E223365}">
      <text>
        <r>
          <rPr>
            <b/>
            <sz val="10"/>
            <color rgb="FF000000"/>
            <rFont val="Tahoma"/>
            <family val="2"/>
          </rPr>
          <t>Keller, Zach:</t>
        </r>
        <r>
          <rPr>
            <sz val="10"/>
            <color rgb="FF000000"/>
            <rFont val="Tahoma"/>
            <family val="2"/>
          </rPr>
          <t xml:space="preserve">
Source: Forbes team page, historical operating income for Forbes 2023 list (Oct 2023 list; 2022–23 season, net of revenue sharing and arena debt service), https://www.forbes.com/teams/dallas-mavericks/</t>
        </r>
      </text>
    </comment>
    <comment ref="J11" authorId="0" shapeId="0" xr:uid="{2EF9A949-93B6-2746-9D03-892A531AB553}">
      <text>
        <r>
          <rPr>
            <b/>
            <sz val="10"/>
            <color rgb="FF000000"/>
            <rFont val="Tahoma"/>
            <family val="2"/>
          </rPr>
          <t>Keller, Zach:</t>
        </r>
        <r>
          <rPr>
            <sz val="10"/>
            <color rgb="FF000000"/>
            <rFont val="Tahoma"/>
            <family val="2"/>
          </rPr>
          <t xml:space="preserve">
Source: Forbes, The Most Valuable NBA Teams 2024 list article (Oct 2024; 2023–24 operating income, net of revenue sharing and arena debt service), https://www.forbes.com/sites/justinteitelbaum/2024/10/24/the-most-valuable-nba-teams-2024/</t>
        </r>
      </text>
    </comment>
    <comment ref="K11" authorId="0" shapeId="0" xr:uid="{00718FFE-0CA8-1E4D-824F-D1CF51D37750}">
      <text>
        <r>
          <rPr>
            <b/>
            <sz val="10"/>
            <color rgb="FF000000"/>
            <rFont val="Tahoma"/>
            <family val="2"/>
          </rPr>
          <t>Keller, Zach:</t>
        </r>
        <r>
          <rPr>
            <sz val="10"/>
            <color rgb="FF000000"/>
            <rFont val="Tahoma"/>
            <family val="2"/>
          </rPr>
          <t xml:space="preserve">
Source: Forbes, The Most Valuable NBA Teams 2025 list article (Oct 2025; 2024–25 operating income, net of revenue sharing and arena debt service), https://www.forbes.com/sites/justinteitelbaum/2025/10/23/the-most-valuable-nba-teams-2025/</t>
        </r>
      </text>
    </comment>
    <comment ref="B12" authorId="0" shapeId="0" xr:uid="{B49D6286-337A-5B4C-8AF7-C7914CECB5F8}">
      <text>
        <r>
          <rPr>
            <b/>
            <sz val="10"/>
            <color rgb="FF000000"/>
            <rFont val="Tahoma"/>
            <family val="2"/>
          </rPr>
          <t>Keller, Zach:</t>
        </r>
        <r>
          <rPr>
            <sz val="10"/>
            <color rgb="FF000000"/>
            <rFont val="Tahoma"/>
            <family val="2"/>
          </rPr>
          <t xml:space="preserve">
Source: Forbes team page, historical operating income for Forbes 2016 list (Feb 2017 list; 2015–16 season, net of revenue sharing and arena debt service), https://www.forbes.com/teams/denver-nuggets/</t>
        </r>
      </text>
    </comment>
    <comment ref="C12" authorId="0" shapeId="0" xr:uid="{8DF9D99A-425A-0B4B-A5A4-BD53B2D9F963}">
      <text>
        <r>
          <rPr>
            <b/>
            <sz val="10"/>
            <color rgb="FF000000"/>
            <rFont val="Tahoma"/>
            <family val="2"/>
          </rPr>
          <t>Keller, Zach:</t>
        </r>
        <r>
          <rPr>
            <sz val="10"/>
            <color rgb="FF000000"/>
            <rFont val="Tahoma"/>
            <family val="2"/>
          </rPr>
          <t xml:space="preserve">
Source: Forbes team page, historical operating income for Forbes 2017 list (Feb 2018 list; 2016–17 season, net of revenue sharing and arena debt service), https://www.forbes.com/teams/denver-nuggets/</t>
        </r>
      </text>
    </comment>
    <comment ref="D12" authorId="0" shapeId="0" xr:uid="{61EF3E95-6C4C-A040-835B-093B9ADB1E03}">
      <text>
        <r>
          <rPr>
            <b/>
            <sz val="10"/>
            <color rgb="FF000000"/>
            <rFont val="Tahoma"/>
            <family val="2"/>
          </rPr>
          <t>Keller, Zach:</t>
        </r>
        <r>
          <rPr>
            <sz val="10"/>
            <color rgb="FF000000"/>
            <rFont val="Tahoma"/>
            <family val="2"/>
          </rPr>
          <t xml:space="preserve">
Source: Forbes team page, historical operating income for Forbes 2018 list (Feb 2019 list; 2017–18 season, net of revenue sharing and arena debt service), https://www.forbes.com/teams/denver-nuggets/</t>
        </r>
      </text>
    </comment>
    <comment ref="E12" authorId="0" shapeId="0" xr:uid="{9E30A8D0-D18E-8D41-A868-57FF3EB0EC39}">
      <text>
        <r>
          <rPr>
            <b/>
            <sz val="10"/>
            <color rgb="FF000000"/>
            <rFont val="Tahoma"/>
            <family val="2"/>
          </rPr>
          <t>Keller, Zach:</t>
        </r>
        <r>
          <rPr>
            <sz val="10"/>
            <color rgb="FF000000"/>
            <rFont val="Tahoma"/>
            <family val="2"/>
          </rPr>
          <t xml:space="preserve">
Source: Forbes team page, historical operating income for Forbes 2019 list (Feb 2020 list; 2018–19 season, net of revenue sharing and arena debt service), https://www.forbes.com/teams/denver-nuggets/</t>
        </r>
      </text>
    </comment>
    <comment ref="F12" authorId="0" shapeId="0" xr:uid="{77F5CB81-D084-1448-9175-6237D97E0E14}">
      <text>
        <r>
          <rPr>
            <b/>
            <sz val="10"/>
            <color rgb="FF000000"/>
            <rFont val="Tahoma"/>
            <family val="2"/>
          </rPr>
          <t>Keller, Zach:</t>
        </r>
        <r>
          <rPr>
            <sz val="10"/>
            <color rgb="FF000000"/>
            <rFont val="Tahoma"/>
            <family val="2"/>
          </rPr>
          <t xml:space="preserve">
Source: Forbes team page, historical operating income for Forbes 2020 list (Feb 2021 list; 2019–20 season, net of revenue sharing and arena debt service), https://www.forbes.com/teams/denver-nuggets/</t>
        </r>
      </text>
    </comment>
    <comment ref="G12" authorId="0" shapeId="0" xr:uid="{ECEFAF8F-7616-8342-B4F5-EFBDC3001E60}">
      <text>
        <r>
          <rPr>
            <b/>
            <sz val="10"/>
            <color rgb="FF000000"/>
            <rFont val="Tahoma"/>
            <family val="2"/>
          </rPr>
          <t>Keller, Zach:</t>
        </r>
        <r>
          <rPr>
            <sz val="10"/>
            <color rgb="FF000000"/>
            <rFont val="Tahoma"/>
            <family val="2"/>
          </rPr>
          <t xml:space="preserve">
Source: Forbes team page, historical operating income for Forbes 2021 list (Oct 2021 list; 2020–21 season, net of revenue sharing and arena debt service), https://www.forbes.com/teams/denver-nuggets/</t>
        </r>
      </text>
    </comment>
    <comment ref="H12" authorId="0" shapeId="0" xr:uid="{46D28B60-B174-114E-8E75-B900B6D29682}">
      <text>
        <r>
          <rPr>
            <b/>
            <sz val="10"/>
            <color rgb="FF000000"/>
            <rFont val="Tahoma"/>
            <family val="2"/>
          </rPr>
          <t>Keller, Zach:</t>
        </r>
        <r>
          <rPr>
            <sz val="10"/>
            <color rgb="FF000000"/>
            <rFont val="Tahoma"/>
            <family val="2"/>
          </rPr>
          <t xml:space="preserve">
Source: Forbes team page, historical operating income for Forbes 2022 list (Oct 2022 list; 2021–22 season, net of revenue sharing and arena debt service), https://www.forbes.com/teams/denver-nuggets/</t>
        </r>
      </text>
    </comment>
    <comment ref="I12" authorId="0" shapeId="0" xr:uid="{88E97D60-BA83-F445-8281-F2200DE7CE5F}">
      <text>
        <r>
          <rPr>
            <b/>
            <sz val="10"/>
            <color rgb="FF000000"/>
            <rFont val="Tahoma"/>
            <family val="2"/>
          </rPr>
          <t>Keller, Zach:</t>
        </r>
        <r>
          <rPr>
            <sz val="10"/>
            <color rgb="FF000000"/>
            <rFont val="Tahoma"/>
            <family val="2"/>
          </rPr>
          <t xml:space="preserve">
Source: Forbes team page, historical operating income for Forbes 2023 list (Oct 2023 list; 2022–23 season, net of revenue sharing and arena debt service), https://www.forbes.com/teams/denver-nuggets/</t>
        </r>
      </text>
    </comment>
    <comment ref="J12" authorId="0" shapeId="0" xr:uid="{4866EBEF-BADA-F744-A302-EBD98788A54A}">
      <text>
        <r>
          <rPr>
            <b/>
            <sz val="10"/>
            <color rgb="FF000000"/>
            <rFont val="Tahoma"/>
            <family val="2"/>
          </rPr>
          <t>Keller, Zach:</t>
        </r>
        <r>
          <rPr>
            <sz val="10"/>
            <color rgb="FF000000"/>
            <rFont val="Tahoma"/>
            <family val="2"/>
          </rPr>
          <t xml:space="preserve">
Source: Forbes, The Most Valuable NBA Teams 2024 list article (Oct 2024; 2023–24 operating income, net of revenue sharing and arena debt service), https://www.forbes.com/sites/justinteitelbaum/2024/10/24/the-most-valuable-nba-teams-2024/</t>
        </r>
      </text>
    </comment>
    <comment ref="K12" authorId="0" shapeId="0" xr:uid="{A980DCE8-DAE1-EF40-B69F-9EA5197CE8A7}">
      <text>
        <r>
          <rPr>
            <b/>
            <sz val="10"/>
            <color rgb="FF000000"/>
            <rFont val="Tahoma"/>
            <family val="2"/>
          </rPr>
          <t>Keller, Zach:</t>
        </r>
        <r>
          <rPr>
            <sz val="10"/>
            <color rgb="FF000000"/>
            <rFont val="Tahoma"/>
            <family val="2"/>
          </rPr>
          <t xml:space="preserve">
Source: Forbes, The Most Valuable NBA Teams 2025 list article (Oct 2025; 2024–25 operating income, net of revenue sharing and arena debt service), https://www.forbes.com/sites/justinteitelbaum/2025/10/23/the-most-valuable-nba-teams-2025/</t>
        </r>
      </text>
    </comment>
    <comment ref="B13" authorId="0" shapeId="0" xr:uid="{5DF921F4-BA8F-6547-8E85-2CDF9F8CBA60}">
      <text>
        <r>
          <rPr>
            <b/>
            <sz val="10"/>
            <color rgb="FF000000"/>
            <rFont val="Tahoma"/>
            <family val="2"/>
          </rPr>
          <t>Keller, Zach:</t>
        </r>
        <r>
          <rPr>
            <sz val="10"/>
            <color rgb="FF000000"/>
            <rFont val="Tahoma"/>
            <family val="2"/>
          </rPr>
          <t xml:space="preserve">
Source: Forbes team page, historical operating income for Forbes 2016 list (Feb 2017 list; 2015–16 season, net of revenue sharing and arena debt service), https://www.forbes.com/teams/detroit-pistons/</t>
        </r>
      </text>
    </comment>
    <comment ref="C13" authorId="0" shapeId="0" xr:uid="{F13FD043-D612-BB41-9767-2C03CDA52044}">
      <text>
        <r>
          <rPr>
            <b/>
            <sz val="10"/>
            <color rgb="FF000000"/>
            <rFont val="Tahoma"/>
            <family val="2"/>
          </rPr>
          <t>Keller, Zach:</t>
        </r>
        <r>
          <rPr>
            <sz val="10"/>
            <color rgb="FF000000"/>
            <rFont val="Tahoma"/>
            <family val="2"/>
          </rPr>
          <t xml:space="preserve">
Source: Forbes team page, historical operating income for Forbes 2017 list (Feb 2018 list; 2016–17 season, net of revenue sharing and arena debt service), https://www.forbes.com/teams/detroit-pistons/</t>
        </r>
      </text>
    </comment>
    <comment ref="D13" authorId="0" shapeId="0" xr:uid="{397C8A5F-70E6-AA4A-BE15-EFEAF0215A60}">
      <text>
        <r>
          <rPr>
            <b/>
            <sz val="10"/>
            <color rgb="FF000000"/>
            <rFont val="Tahoma"/>
            <family val="2"/>
          </rPr>
          <t>Keller, Zach:</t>
        </r>
        <r>
          <rPr>
            <sz val="10"/>
            <color rgb="FF000000"/>
            <rFont val="Tahoma"/>
            <family val="2"/>
          </rPr>
          <t xml:space="preserve">
Source: Forbes team page, historical operating income for Forbes 2018 list (Feb 2019 list; 2017–18 season, net of revenue sharing and arena debt service), https://www.forbes.com/teams/detroit-pistons/</t>
        </r>
      </text>
    </comment>
    <comment ref="E13" authorId="0" shapeId="0" xr:uid="{F6E9A4D2-935E-2845-B06C-BD740397C151}">
      <text>
        <r>
          <rPr>
            <b/>
            <sz val="10"/>
            <color rgb="FF000000"/>
            <rFont val="Tahoma"/>
            <family val="2"/>
          </rPr>
          <t>Keller, Zach:</t>
        </r>
        <r>
          <rPr>
            <sz val="10"/>
            <color rgb="FF000000"/>
            <rFont val="Tahoma"/>
            <family val="2"/>
          </rPr>
          <t xml:space="preserve">
Source: Forbes team page, historical operating income for Forbes 2019 list (Feb 2020 list; 2018–19 season, net of revenue sharing and arena debt service), https://www.forbes.com/teams/detroit-pistons/</t>
        </r>
      </text>
    </comment>
    <comment ref="F13" authorId="0" shapeId="0" xr:uid="{241FA3FF-4A01-6141-8EFB-226299514C5A}">
      <text>
        <r>
          <rPr>
            <b/>
            <sz val="10"/>
            <color rgb="FF000000"/>
            <rFont val="Tahoma"/>
            <family val="2"/>
          </rPr>
          <t>Keller, Zach:</t>
        </r>
        <r>
          <rPr>
            <sz val="10"/>
            <color rgb="FF000000"/>
            <rFont val="Tahoma"/>
            <family val="2"/>
          </rPr>
          <t xml:space="preserve">
Source: Forbes team page, historical operating income for Forbes 2020 list (Feb 2021 list; 2019–20 season, net of revenue sharing and arena debt service), https://www.forbes.com/teams/detroit-pistons/</t>
        </r>
      </text>
    </comment>
    <comment ref="G13" authorId="0" shapeId="0" xr:uid="{65C53BC4-4FDD-7B49-9359-4D3446F02A9F}">
      <text>
        <r>
          <rPr>
            <b/>
            <sz val="10"/>
            <color rgb="FF000000"/>
            <rFont val="Tahoma"/>
            <family val="2"/>
          </rPr>
          <t>Keller, Zach:</t>
        </r>
        <r>
          <rPr>
            <sz val="10"/>
            <color rgb="FF000000"/>
            <rFont val="Tahoma"/>
            <family val="2"/>
          </rPr>
          <t xml:space="preserve">
Source: Forbes team page, historical operating income for Forbes 2021 list (Oct 2021 list; 2020–21 season, net of revenue sharing and arena debt service), https://www.forbes.com/teams/detroit-pistons/</t>
        </r>
      </text>
    </comment>
    <comment ref="H13" authorId="0" shapeId="0" xr:uid="{5FBEF58F-D467-E341-8FDE-25A5396136BA}">
      <text>
        <r>
          <rPr>
            <b/>
            <sz val="10"/>
            <color rgb="FF000000"/>
            <rFont val="Tahoma"/>
            <family val="2"/>
          </rPr>
          <t>Keller, Zach:</t>
        </r>
        <r>
          <rPr>
            <sz val="10"/>
            <color rgb="FF000000"/>
            <rFont val="Tahoma"/>
            <family val="2"/>
          </rPr>
          <t xml:space="preserve">
Source: Forbes team page, historical operating income for Forbes 2022 list (Oct 2022 list; 2021–22 season, net of revenue sharing and arena debt service), https://www.forbes.com/teams/detroit-pistons/</t>
        </r>
      </text>
    </comment>
    <comment ref="I13" authorId="0" shapeId="0" xr:uid="{431CCB65-B216-7E4E-8E9A-064EDC691729}">
      <text>
        <r>
          <rPr>
            <b/>
            <sz val="10"/>
            <color rgb="FF000000"/>
            <rFont val="Tahoma"/>
            <family val="2"/>
          </rPr>
          <t>Keller, Zach:</t>
        </r>
        <r>
          <rPr>
            <sz val="10"/>
            <color rgb="FF000000"/>
            <rFont val="Tahoma"/>
            <family val="2"/>
          </rPr>
          <t xml:space="preserve">
Source: Forbes team page, historical operating income for Forbes 2023 list (Oct 2023 list; 2022–23 season, net of revenue sharing and arena debt service), https://www.forbes.com/teams/detroit-pistons/</t>
        </r>
      </text>
    </comment>
    <comment ref="J13" authorId="0" shapeId="0" xr:uid="{A45C0360-548D-3744-9722-8AB297187FC5}">
      <text>
        <r>
          <rPr>
            <b/>
            <sz val="10"/>
            <color rgb="FF000000"/>
            <rFont val="Tahoma"/>
            <family val="2"/>
          </rPr>
          <t>Keller, Zach:</t>
        </r>
        <r>
          <rPr>
            <sz val="10"/>
            <color rgb="FF000000"/>
            <rFont val="Tahoma"/>
            <family val="2"/>
          </rPr>
          <t xml:space="preserve">
Source: Forbes, The Most Valuable NBA Teams 2024 list article (Oct 2024; 2023–24 operating income, net of revenue sharing and arena debt service), https://www.forbes.com/sites/justinteitelbaum/2024/10/24/the-most-valuable-nba-teams-2024/. Note: Forbes team page shows $88M for this year; list article value used.</t>
        </r>
      </text>
    </comment>
    <comment ref="K13" authorId="0" shapeId="0" xr:uid="{98C67F7B-C590-5E47-8C2E-FBFBB3FF6971}">
      <text>
        <r>
          <rPr>
            <b/>
            <sz val="10"/>
            <color rgb="FF000000"/>
            <rFont val="Tahoma"/>
            <family val="2"/>
          </rPr>
          <t>Keller, Zach:</t>
        </r>
        <r>
          <rPr>
            <sz val="10"/>
            <color rgb="FF000000"/>
            <rFont val="Tahoma"/>
            <family val="2"/>
          </rPr>
          <t xml:space="preserve">
Source: Forbes, The Most Valuable NBA Teams 2025 list article (Oct 2025; 2024–25 operating income, net of revenue sharing and arena debt service), https://www.forbes.com/sites/justinteitelbaum/2025/10/23/the-most-valuable-nba-teams-2025/</t>
        </r>
      </text>
    </comment>
    <comment ref="B14" authorId="0" shapeId="0" xr:uid="{BBA586EF-6DE4-8F41-A123-1251474B3ABB}">
      <text>
        <r>
          <rPr>
            <b/>
            <sz val="10"/>
            <color rgb="FF000000"/>
            <rFont val="Tahoma"/>
            <family val="2"/>
          </rPr>
          <t>Keller, Zach:</t>
        </r>
        <r>
          <rPr>
            <sz val="10"/>
            <color rgb="FF000000"/>
            <rFont val="Tahoma"/>
            <family val="2"/>
          </rPr>
          <t xml:space="preserve">
Source: Forbes team page, historical operating income for Forbes 2016 list (Feb 2017 list; 2015–16 season, net of revenue sharing and arena debt service), https://www.forbes.com/teams/golden-state-warriors/</t>
        </r>
      </text>
    </comment>
    <comment ref="C14" authorId="0" shapeId="0" xr:uid="{5D56C29F-DBF9-9745-91C4-8D991C370573}">
      <text>
        <r>
          <rPr>
            <b/>
            <sz val="10"/>
            <color rgb="FF000000"/>
            <rFont val="Tahoma"/>
            <family val="2"/>
          </rPr>
          <t>Keller, Zach:</t>
        </r>
        <r>
          <rPr>
            <sz val="10"/>
            <color rgb="FF000000"/>
            <rFont val="Tahoma"/>
            <family val="2"/>
          </rPr>
          <t xml:space="preserve">
Source: Forbes team page, historical operating income for Forbes 2017 list (Feb 2018 list; 2016–17 season, net of revenue sharing and arena debt service), https://www.forbes.com/teams/golden-state-warriors/</t>
        </r>
      </text>
    </comment>
    <comment ref="D14" authorId="0" shapeId="0" xr:uid="{48E46328-CDF8-0242-99EE-0ECF86AC6977}">
      <text>
        <r>
          <rPr>
            <b/>
            <sz val="10"/>
            <color rgb="FF000000"/>
            <rFont val="Tahoma"/>
            <family val="2"/>
          </rPr>
          <t>Keller, Zach:</t>
        </r>
        <r>
          <rPr>
            <sz val="10"/>
            <color rgb="FF000000"/>
            <rFont val="Tahoma"/>
            <family val="2"/>
          </rPr>
          <t xml:space="preserve">
Source: Forbes team page, historical operating income for Forbes 2018 list (Feb 2019 list; 2017–18 season, net of revenue sharing and arena debt service), https://www.forbes.com/teams/golden-state-warriors/</t>
        </r>
      </text>
    </comment>
    <comment ref="E14" authorId="0" shapeId="0" xr:uid="{1BF982CB-94FC-3942-ADB6-48E410383BF1}">
      <text>
        <r>
          <rPr>
            <b/>
            <sz val="10"/>
            <color rgb="FF000000"/>
            <rFont val="Tahoma"/>
            <family val="2"/>
          </rPr>
          <t>Keller, Zach:</t>
        </r>
        <r>
          <rPr>
            <sz val="10"/>
            <color rgb="FF000000"/>
            <rFont val="Tahoma"/>
            <family val="2"/>
          </rPr>
          <t xml:space="preserve">
Source: Forbes team page, historical operating income for Forbes 2019 list (Feb 2020 list; 2018–19 season, net of revenue sharing and arena debt service), https://www.forbes.com/teams/golden-state-warriors/</t>
        </r>
      </text>
    </comment>
    <comment ref="F14" authorId="0" shapeId="0" xr:uid="{ED4BE246-68C5-6748-B655-58213E1CD634}">
      <text>
        <r>
          <rPr>
            <b/>
            <sz val="10"/>
            <color rgb="FF000000"/>
            <rFont val="Tahoma"/>
            <family val="2"/>
          </rPr>
          <t>Keller, Zach:</t>
        </r>
        <r>
          <rPr>
            <sz val="10"/>
            <color rgb="FF000000"/>
            <rFont val="Tahoma"/>
            <family val="2"/>
          </rPr>
          <t xml:space="preserve">
Source: Forbes team page, historical operating income for Forbes 2020 list (Feb 2021 list; 2019–20 season, net of revenue sharing and arena debt service), https://www.forbes.com/teams/golden-state-warriors/</t>
        </r>
      </text>
    </comment>
    <comment ref="G14" authorId="0" shapeId="0" xr:uid="{B585D8C3-26FE-B248-A765-7C5B25C94150}">
      <text>
        <r>
          <rPr>
            <b/>
            <sz val="10"/>
            <color rgb="FF000000"/>
            <rFont val="Tahoma"/>
            <family val="2"/>
          </rPr>
          <t>Keller, Zach:</t>
        </r>
        <r>
          <rPr>
            <sz val="10"/>
            <color rgb="FF000000"/>
            <rFont val="Tahoma"/>
            <family val="2"/>
          </rPr>
          <t xml:space="preserve">
Source: Forbes team page, historical operating income for Forbes 2021 list (Oct 2021 list; 2020–21 season, net of revenue sharing and arena debt service), https://www.forbes.com/teams/golden-state-warriors/</t>
        </r>
      </text>
    </comment>
    <comment ref="H14" authorId="0" shapeId="0" xr:uid="{DD0A9239-F6AC-E94E-802B-B504E563350E}">
      <text>
        <r>
          <rPr>
            <b/>
            <sz val="10"/>
            <color rgb="FF000000"/>
            <rFont val="Tahoma"/>
            <family val="2"/>
          </rPr>
          <t>Keller, Zach:</t>
        </r>
        <r>
          <rPr>
            <sz val="10"/>
            <color rgb="FF000000"/>
            <rFont val="Tahoma"/>
            <family val="2"/>
          </rPr>
          <t xml:space="preserve">
Source: Forbes team page, historical operating income for Forbes 2022 list (Oct 2022 list; 2021–22 season, net of revenue sharing and arena debt service), https://www.forbes.com/teams/golden-state-warriors/</t>
        </r>
      </text>
    </comment>
    <comment ref="I14" authorId="0" shapeId="0" xr:uid="{40FE2C56-8B58-BD43-BD5D-0BDD1B777BF1}">
      <text>
        <r>
          <rPr>
            <b/>
            <sz val="10"/>
            <color rgb="FF000000"/>
            <rFont val="Tahoma"/>
            <family val="2"/>
          </rPr>
          <t>Keller, Zach:</t>
        </r>
        <r>
          <rPr>
            <sz val="10"/>
            <color rgb="FF000000"/>
            <rFont val="Tahoma"/>
            <family val="2"/>
          </rPr>
          <t xml:space="preserve">
Source: Forbes team page, historical operating income for Forbes 2023 list (Oct 2023 list; 2022–23 season, net of revenue sharing and arena debt service), https://www.forbes.com/teams/golden-state-warriors/</t>
        </r>
      </text>
    </comment>
    <comment ref="J14" authorId="0" shapeId="0" xr:uid="{ECBE1D06-35B9-F347-9066-FD65A60A3205}">
      <text>
        <r>
          <rPr>
            <b/>
            <sz val="10"/>
            <color rgb="FF000000"/>
            <rFont val="Tahoma"/>
            <family val="2"/>
          </rPr>
          <t>Keller, Zach:</t>
        </r>
        <r>
          <rPr>
            <sz val="10"/>
            <color rgb="FF000000"/>
            <rFont val="Tahoma"/>
            <family val="2"/>
          </rPr>
          <t xml:space="preserve">
Source: Forbes, The Most Valuable NBA Teams 2024 list article (Oct 2024; 2023–24 operating income, net of revenue sharing and arena debt service), https://www.forbes.com/sites/justinteitelbaum/2024/10/24/the-most-valuable-nba-teams-2024/</t>
        </r>
      </text>
    </comment>
    <comment ref="K14" authorId="0" shapeId="0" xr:uid="{B07A691B-7D63-8A47-9E26-AB5160DDC01A}">
      <text>
        <r>
          <rPr>
            <b/>
            <sz val="10"/>
            <color rgb="FF000000"/>
            <rFont val="Tahoma"/>
            <family val="2"/>
          </rPr>
          <t>Keller, Zach:</t>
        </r>
        <r>
          <rPr>
            <sz val="10"/>
            <color rgb="FF000000"/>
            <rFont val="Tahoma"/>
            <family val="2"/>
          </rPr>
          <t xml:space="preserve">
Source: Forbes, The Most Valuable NBA Teams 2025 list article (Oct 2025; 2024–25 operating income, net of revenue sharing and arena debt service), https://www.forbes.com/sites/justinteitelbaum/2025/10/23/the-most-valuable-nba-teams-2025/</t>
        </r>
      </text>
    </comment>
    <comment ref="B15" authorId="0" shapeId="0" xr:uid="{8AFDBB1C-3A6B-FF49-8638-974830DC0D62}">
      <text>
        <r>
          <rPr>
            <b/>
            <sz val="10"/>
            <color rgb="FF000000"/>
            <rFont val="Tahoma"/>
            <family val="2"/>
          </rPr>
          <t>Keller, Zach:</t>
        </r>
        <r>
          <rPr>
            <sz val="10"/>
            <color rgb="FF000000"/>
            <rFont val="Tahoma"/>
            <family val="2"/>
          </rPr>
          <t xml:space="preserve">
Source: Forbes team page, historical operating income for Forbes 2016 list (Feb 2017 list; 2015–16 season, net of revenue sharing and arena debt service), https://www.forbes.com/teams/houston-rockets/</t>
        </r>
      </text>
    </comment>
    <comment ref="C15" authorId="0" shapeId="0" xr:uid="{483FBD9A-8CDF-1448-AFB8-51E989251EDE}">
      <text>
        <r>
          <rPr>
            <b/>
            <sz val="10"/>
            <color rgb="FF000000"/>
            <rFont val="Tahoma"/>
            <family val="2"/>
          </rPr>
          <t>Keller, Zach:</t>
        </r>
        <r>
          <rPr>
            <sz val="10"/>
            <color rgb="FF000000"/>
            <rFont val="Tahoma"/>
            <family val="2"/>
          </rPr>
          <t xml:space="preserve">
Source: Forbes team page, historical operating income for Forbes 2017 list (Feb 2018 list; 2016–17 season, net of revenue sharing and arena debt service), https://www.forbes.com/teams/houston-rockets/</t>
        </r>
      </text>
    </comment>
    <comment ref="D15" authorId="0" shapeId="0" xr:uid="{D3F35CDD-88CC-C04E-BFAA-A51A806608FC}">
      <text>
        <r>
          <rPr>
            <b/>
            <sz val="10"/>
            <color rgb="FF000000"/>
            <rFont val="Tahoma"/>
            <family val="2"/>
          </rPr>
          <t>Keller, Zach:</t>
        </r>
        <r>
          <rPr>
            <sz val="10"/>
            <color rgb="FF000000"/>
            <rFont val="Tahoma"/>
            <family val="2"/>
          </rPr>
          <t xml:space="preserve">
Source: Forbes team page, historical operating income for Forbes 2018 list (Feb 2019 list; 2017–18 season, net of revenue sharing and arena debt service), https://www.forbes.com/teams/houston-rockets/</t>
        </r>
      </text>
    </comment>
    <comment ref="E15" authorId="0" shapeId="0" xr:uid="{4738FF94-3329-6E44-B379-AF6FA29F8953}">
      <text>
        <r>
          <rPr>
            <b/>
            <sz val="10"/>
            <color rgb="FF000000"/>
            <rFont val="Tahoma"/>
            <family val="2"/>
          </rPr>
          <t>Keller, Zach:</t>
        </r>
        <r>
          <rPr>
            <sz val="10"/>
            <color rgb="FF000000"/>
            <rFont val="Tahoma"/>
            <family val="2"/>
          </rPr>
          <t xml:space="preserve">
Source: Forbes team page, historical operating income for Forbes 2019 list (Feb 2020 list; 2018–19 season, net of revenue sharing and arena debt service), https://www.forbes.com/teams/houston-rockets/</t>
        </r>
      </text>
    </comment>
    <comment ref="F15" authorId="0" shapeId="0" xr:uid="{3524DB11-2FB2-AC43-9081-C7AC3C8F0668}">
      <text>
        <r>
          <rPr>
            <b/>
            <sz val="10"/>
            <color rgb="FF000000"/>
            <rFont val="Tahoma"/>
            <family val="2"/>
          </rPr>
          <t>Keller, Zach:</t>
        </r>
        <r>
          <rPr>
            <sz val="10"/>
            <color rgb="FF000000"/>
            <rFont val="Tahoma"/>
            <family val="2"/>
          </rPr>
          <t xml:space="preserve">
Source: Forbes team page, historical operating income for Forbes 2020 list (Feb 2021 list; 2019–20 season, net of revenue sharing and arena debt service), https://www.forbes.com/teams/houston-rockets/</t>
        </r>
      </text>
    </comment>
    <comment ref="G15" authorId="0" shapeId="0" xr:uid="{C9FB3253-AC86-C44A-A274-62C8720D6731}">
      <text>
        <r>
          <rPr>
            <b/>
            <sz val="10"/>
            <color rgb="FF000000"/>
            <rFont val="Tahoma"/>
            <family val="2"/>
          </rPr>
          <t>Keller, Zach:</t>
        </r>
        <r>
          <rPr>
            <sz val="10"/>
            <color rgb="FF000000"/>
            <rFont val="Tahoma"/>
            <family val="2"/>
          </rPr>
          <t xml:space="preserve">
Source: Forbes team page, historical operating income for Forbes 2021 list (Oct 2021 list; 2020–21 season, net of revenue sharing and arena debt service), https://www.forbes.com/teams/houston-rockets/</t>
        </r>
      </text>
    </comment>
    <comment ref="H15" authorId="0" shapeId="0" xr:uid="{C8002F1F-BEB0-EE43-A8E7-2EB842244C84}">
      <text>
        <r>
          <rPr>
            <b/>
            <sz val="10"/>
            <color rgb="FF000000"/>
            <rFont val="Tahoma"/>
            <family val="2"/>
          </rPr>
          <t>Keller, Zach:</t>
        </r>
        <r>
          <rPr>
            <sz val="10"/>
            <color rgb="FF000000"/>
            <rFont val="Tahoma"/>
            <family val="2"/>
          </rPr>
          <t xml:space="preserve">
Source: Forbes team page, historical operating income for Forbes 2022 list (Oct 2022 list; 2021–22 season, net of revenue sharing and arena debt service), https://www.forbes.com/teams/houston-rockets/</t>
        </r>
      </text>
    </comment>
    <comment ref="I15" authorId="0" shapeId="0" xr:uid="{D04AD32C-81BA-E449-83F0-AFE2D98007F7}">
      <text>
        <r>
          <rPr>
            <b/>
            <sz val="10"/>
            <color rgb="FF000000"/>
            <rFont val="Tahoma"/>
            <family val="2"/>
          </rPr>
          <t>Keller, Zach:</t>
        </r>
        <r>
          <rPr>
            <sz val="10"/>
            <color rgb="FF000000"/>
            <rFont val="Tahoma"/>
            <family val="2"/>
          </rPr>
          <t xml:space="preserve">
Source: Forbes team page, historical operating income for Forbes 2023 list (Oct 2023 list; 2022–23 season, net of revenue sharing and arena debt service), https://www.forbes.com/teams/houston-rockets/</t>
        </r>
      </text>
    </comment>
    <comment ref="J15" authorId="0" shapeId="0" xr:uid="{527B6581-5300-DA47-8BED-568615DCF570}">
      <text>
        <r>
          <rPr>
            <b/>
            <sz val="10"/>
            <color rgb="FF000000"/>
            <rFont val="Tahoma"/>
            <family val="2"/>
          </rPr>
          <t>Keller, Zach:</t>
        </r>
        <r>
          <rPr>
            <sz val="10"/>
            <color rgb="FF000000"/>
            <rFont val="Tahoma"/>
            <family val="2"/>
          </rPr>
          <t xml:space="preserve">
Source: Forbes, The Most Valuable NBA Teams 2024 list article (Oct 2024; 2023–24 operating income, net of revenue sharing and arena debt service), https://www.forbes.com/sites/justinteitelbaum/2024/10/24/the-most-valuable-nba-teams-2024/</t>
        </r>
      </text>
    </comment>
    <comment ref="K15" authorId="0" shapeId="0" xr:uid="{DA1A5E8C-2D22-9C4D-BDBD-A794ECB184A3}">
      <text>
        <r>
          <rPr>
            <b/>
            <sz val="10"/>
            <color rgb="FF000000"/>
            <rFont val="Tahoma"/>
            <family val="2"/>
          </rPr>
          <t>Keller, Zach:</t>
        </r>
        <r>
          <rPr>
            <sz val="10"/>
            <color rgb="FF000000"/>
            <rFont val="Tahoma"/>
            <family val="2"/>
          </rPr>
          <t xml:space="preserve">
Source: Forbes, The Most Valuable NBA Teams 2025 list article (Oct 2025; 2024–25 operating income, net of revenue sharing and arena debt service), https://www.forbes.com/sites/justinteitelbaum/2025/10/23/the-most-valuable-nba-teams-2025/</t>
        </r>
      </text>
    </comment>
    <comment ref="B16" authorId="0" shapeId="0" xr:uid="{0D7F6EE2-1858-C64B-BEC4-036B4813F74F}">
      <text>
        <r>
          <rPr>
            <b/>
            <sz val="10"/>
            <color rgb="FF000000"/>
            <rFont val="Tahoma"/>
            <family val="2"/>
          </rPr>
          <t>Keller, Zach:</t>
        </r>
        <r>
          <rPr>
            <sz val="10"/>
            <color rgb="FF000000"/>
            <rFont val="Tahoma"/>
            <family val="2"/>
          </rPr>
          <t xml:space="preserve">
Source: Forbes team page, historical operating income for Forbes 2016 list (Feb 2017 list; 2015–16 season, net of revenue sharing and arena debt service), https://www.forbes.com/teams/indiana-pacers/</t>
        </r>
      </text>
    </comment>
    <comment ref="C16" authorId="0" shapeId="0" xr:uid="{8A5021BA-0CC7-2743-8CA5-5F295DE67531}">
      <text>
        <r>
          <rPr>
            <b/>
            <sz val="10"/>
            <color rgb="FF000000"/>
            <rFont val="Tahoma"/>
            <family val="2"/>
          </rPr>
          <t>Keller, Zach:</t>
        </r>
        <r>
          <rPr>
            <sz val="10"/>
            <color rgb="FF000000"/>
            <rFont val="Tahoma"/>
            <family val="2"/>
          </rPr>
          <t xml:space="preserve">
Source: Forbes team page, historical operating income for Forbes 2017 list (Feb 2018 list; 2016–17 season, net of revenue sharing and arena debt service), https://www.forbes.com/teams/indiana-pacers/</t>
        </r>
      </text>
    </comment>
    <comment ref="D16" authorId="0" shapeId="0" xr:uid="{B8DD1881-05C8-B241-A093-B95A525CF0DE}">
      <text>
        <r>
          <rPr>
            <b/>
            <sz val="10"/>
            <color rgb="FF000000"/>
            <rFont val="Tahoma"/>
            <family val="2"/>
          </rPr>
          <t>Keller, Zach:</t>
        </r>
        <r>
          <rPr>
            <sz val="10"/>
            <color rgb="FF000000"/>
            <rFont val="Tahoma"/>
            <family val="2"/>
          </rPr>
          <t xml:space="preserve">
Source: Forbes team page, historical operating income for Forbes 2018 list (Feb 2019 list; 2017–18 season, net of revenue sharing and arena debt service), https://www.forbes.com/teams/indiana-pacers/</t>
        </r>
      </text>
    </comment>
    <comment ref="E16" authorId="0" shapeId="0" xr:uid="{45BCE817-1CC5-A94F-8F41-E41465E18D3C}">
      <text>
        <r>
          <rPr>
            <b/>
            <sz val="10"/>
            <color rgb="FF000000"/>
            <rFont val="Tahoma"/>
            <family val="2"/>
          </rPr>
          <t>Keller, Zach:</t>
        </r>
        <r>
          <rPr>
            <sz val="10"/>
            <color rgb="FF000000"/>
            <rFont val="Tahoma"/>
            <family val="2"/>
          </rPr>
          <t xml:space="preserve">
Source: Forbes team page, historical operating income for Forbes 2019 list (Feb 2020 list; 2018–19 season, net of revenue sharing and arena debt service), https://www.forbes.com/teams/indiana-pacers/</t>
        </r>
      </text>
    </comment>
    <comment ref="F16" authorId="0" shapeId="0" xr:uid="{1100F699-B916-F04D-B915-09601956201D}">
      <text>
        <r>
          <rPr>
            <b/>
            <sz val="10"/>
            <color rgb="FF000000"/>
            <rFont val="Tahoma"/>
            <family val="2"/>
          </rPr>
          <t>Keller, Zach:</t>
        </r>
        <r>
          <rPr>
            <sz val="10"/>
            <color rgb="FF000000"/>
            <rFont val="Tahoma"/>
            <family val="2"/>
          </rPr>
          <t xml:space="preserve">
Source: Forbes team page, historical operating income for Forbes 2020 list (Feb 2021 list; 2019–20 season, net of revenue sharing and arena debt service), https://www.forbes.com/teams/indiana-pacers/</t>
        </r>
      </text>
    </comment>
    <comment ref="G16" authorId="0" shapeId="0" xr:uid="{40D3D431-044D-3D4B-A82F-6495D69A639E}">
      <text>
        <r>
          <rPr>
            <b/>
            <sz val="10"/>
            <color rgb="FF000000"/>
            <rFont val="Tahoma"/>
            <family val="2"/>
          </rPr>
          <t>Keller, Zach:</t>
        </r>
        <r>
          <rPr>
            <sz val="10"/>
            <color rgb="FF000000"/>
            <rFont val="Tahoma"/>
            <family val="2"/>
          </rPr>
          <t xml:space="preserve">
Source: Forbes team page, historical operating income for Forbes 2021 list (Oct 2021 list; 2020–21 season, net of revenue sharing and arena debt service), https://www.forbes.com/teams/indiana-pacers/</t>
        </r>
      </text>
    </comment>
    <comment ref="H16" authorId="0" shapeId="0" xr:uid="{995B6969-6CDB-4844-9DE3-43755253772A}">
      <text>
        <r>
          <rPr>
            <b/>
            <sz val="10"/>
            <color rgb="FF000000"/>
            <rFont val="Tahoma"/>
            <family val="2"/>
          </rPr>
          <t>Keller, Zach:</t>
        </r>
        <r>
          <rPr>
            <sz val="10"/>
            <color rgb="FF000000"/>
            <rFont val="Tahoma"/>
            <family val="2"/>
          </rPr>
          <t xml:space="preserve">
Source: Forbes team page, historical operating income for Forbes 2022 list (Oct 2022 list; 2021–22 season, net of revenue sharing and arena debt service), https://www.forbes.com/teams/indiana-pacers/</t>
        </r>
      </text>
    </comment>
    <comment ref="I16" authorId="0" shapeId="0" xr:uid="{C5232F83-9208-7142-9EC5-7BCD73B565A7}">
      <text>
        <r>
          <rPr>
            <b/>
            <sz val="10"/>
            <color rgb="FF000000"/>
            <rFont val="Tahoma"/>
            <family val="2"/>
          </rPr>
          <t>Keller, Zach:</t>
        </r>
        <r>
          <rPr>
            <sz val="10"/>
            <color rgb="FF000000"/>
            <rFont val="Tahoma"/>
            <family val="2"/>
          </rPr>
          <t xml:space="preserve">
Source: Forbes team page, historical operating income for Forbes 2023 list (Oct 2023 list; 2022–23 season, net of revenue sharing and arena debt service), https://www.forbes.com/teams/indiana-pacers/</t>
        </r>
      </text>
    </comment>
    <comment ref="J16" authorId="0" shapeId="0" xr:uid="{4F82EDBC-4387-014A-8BA2-7AB6605DE811}">
      <text>
        <r>
          <rPr>
            <b/>
            <sz val="10"/>
            <color rgb="FF000000"/>
            <rFont val="Tahoma"/>
            <family val="2"/>
          </rPr>
          <t>Keller, Zach:</t>
        </r>
        <r>
          <rPr>
            <sz val="10"/>
            <color rgb="FF000000"/>
            <rFont val="Tahoma"/>
            <family val="2"/>
          </rPr>
          <t xml:space="preserve">
Source: Forbes, The Most Valuable NBA Teams 2024 list article (Oct 2024; 2023–24 operating income, net of revenue sharing and arena debt service), https://www.forbes.com/sites/justinteitelbaum/2024/10/24/the-most-valuable-nba-teams-2024/</t>
        </r>
      </text>
    </comment>
    <comment ref="K16" authorId="0" shapeId="0" xr:uid="{1974EB37-05BC-C34E-B5E9-97AEC57E5A14}">
      <text>
        <r>
          <rPr>
            <b/>
            <sz val="10"/>
            <color rgb="FF000000"/>
            <rFont val="Tahoma"/>
            <family val="2"/>
          </rPr>
          <t>Keller, Zach:</t>
        </r>
        <r>
          <rPr>
            <sz val="10"/>
            <color rgb="FF000000"/>
            <rFont val="Tahoma"/>
            <family val="2"/>
          </rPr>
          <t xml:space="preserve">
Source: Forbes, The Most Valuable NBA Teams 2025 list article (Oct 2025; 2024–25 operating income, net of revenue sharing and arena debt service), https://www.forbes.com/sites/justinteitelbaum/2025/10/23/the-most-valuable-nba-teams-2025/</t>
        </r>
      </text>
    </comment>
    <comment ref="B17" authorId="0" shapeId="0" xr:uid="{E5F25B39-0890-FD47-8580-3F50662E2CE0}">
      <text>
        <r>
          <rPr>
            <b/>
            <sz val="10"/>
            <color rgb="FF000000"/>
            <rFont val="Tahoma"/>
            <family val="2"/>
          </rPr>
          <t>Keller, Zach:</t>
        </r>
        <r>
          <rPr>
            <sz val="10"/>
            <color rgb="FF000000"/>
            <rFont val="Tahoma"/>
            <family val="2"/>
          </rPr>
          <t xml:space="preserve">
Source: Forbes team page, historical operating income for Forbes 2016 list (Feb 2017 list; 2015–16 season, net of revenue sharing and arena debt service), https://www.forbes.com/teams/los-angeles-clippers/</t>
        </r>
      </text>
    </comment>
    <comment ref="C17" authorId="0" shapeId="0" xr:uid="{E95F5269-DF0B-E64C-B0FF-75DDEFBEEB02}">
      <text>
        <r>
          <rPr>
            <b/>
            <sz val="10"/>
            <color rgb="FF000000"/>
            <rFont val="Tahoma"/>
            <family val="2"/>
          </rPr>
          <t>Keller, Zach:</t>
        </r>
        <r>
          <rPr>
            <sz val="10"/>
            <color rgb="FF000000"/>
            <rFont val="Tahoma"/>
            <family val="2"/>
          </rPr>
          <t xml:space="preserve">
Source: Forbes team page, historical operating income for Forbes 2017 list (Feb 2018 list; 2016–17 season, net of revenue sharing and arena debt service), https://www.forbes.com/teams/los-angeles-clippers/</t>
        </r>
      </text>
    </comment>
    <comment ref="D17" authorId="0" shapeId="0" xr:uid="{94D97B23-0BEB-7940-B378-A6BD2EDC4823}">
      <text>
        <r>
          <rPr>
            <b/>
            <sz val="10"/>
            <color rgb="FF000000"/>
            <rFont val="Tahoma"/>
            <family val="2"/>
          </rPr>
          <t>Keller, Zach:</t>
        </r>
        <r>
          <rPr>
            <sz val="10"/>
            <color rgb="FF000000"/>
            <rFont val="Tahoma"/>
            <family val="2"/>
          </rPr>
          <t xml:space="preserve">
Source: Forbes team page, historical operating income for Forbes 2018 list (Feb 2019 list; 2017–18 season, net of revenue sharing and arena debt service), https://www.forbes.com/teams/los-angeles-clippers/</t>
        </r>
      </text>
    </comment>
    <comment ref="E17" authorId="0" shapeId="0" xr:uid="{9419685D-4ADA-0145-8E5B-D67742FCE7BD}">
      <text>
        <r>
          <rPr>
            <b/>
            <sz val="10"/>
            <color rgb="FF000000"/>
            <rFont val="Tahoma"/>
            <family val="2"/>
          </rPr>
          <t>Keller, Zach:</t>
        </r>
        <r>
          <rPr>
            <sz val="10"/>
            <color rgb="FF000000"/>
            <rFont val="Tahoma"/>
            <family val="2"/>
          </rPr>
          <t xml:space="preserve">
Source: Forbes team page, historical operating income for Forbes 2019 list (Feb 2020 list; 2018–19 season, net of revenue sharing and arena debt service), https://www.forbes.com/teams/los-angeles-clippers/</t>
        </r>
      </text>
    </comment>
    <comment ref="F17" authorId="0" shapeId="0" xr:uid="{EE88C599-BFB4-9B45-BE72-848864C55C0A}">
      <text>
        <r>
          <rPr>
            <b/>
            <sz val="10"/>
            <color rgb="FF000000"/>
            <rFont val="Tahoma"/>
            <family val="2"/>
          </rPr>
          <t>Keller, Zach:</t>
        </r>
        <r>
          <rPr>
            <sz val="10"/>
            <color rgb="FF000000"/>
            <rFont val="Tahoma"/>
            <family val="2"/>
          </rPr>
          <t xml:space="preserve">
Source: Forbes team page, historical operating income for Forbes 2020 list (Feb 2021 list; 2019–20 season, net of revenue sharing and arena debt service), https://www.forbes.com/teams/los-angeles-clippers/</t>
        </r>
      </text>
    </comment>
    <comment ref="G17" authorId="0" shapeId="0" xr:uid="{FD5FC1B5-ECAF-BB48-840B-C125169C60E7}">
      <text>
        <r>
          <rPr>
            <b/>
            <sz val="10"/>
            <color rgb="FF000000"/>
            <rFont val="Tahoma"/>
            <family val="2"/>
          </rPr>
          <t>Keller, Zach:</t>
        </r>
        <r>
          <rPr>
            <sz val="10"/>
            <color rgb="FF000000"/>
            <rFont val="Tahoma"/>
            <family val="2"/>
          </rPr>
          <t xml:space="preserve">
Source: Forbes team page, historical operating income for Forbes 2021 list (Oct 2021 list; 2020–21 season, net of revenue sharing and arena debt service), https://www.forbes.com/teams/los-angeles-clippers/</t>
        </r>
      </text>
    </comment>
    <comment ref="H17" authorId="0" shapeId="0" xr:uid="{CB92E7F6-0668-4A48-AF8D-BAEF7E5D6C97}">
      <text>
        <r>
          <rPr>
            <b/>
            <sz val="10"/>
            <color rgb="FF000000"/>
            <rFont val="Tahoma"/>
            <family val="2"/>
          </rPr>
          <t>Keller, Zach:</t>
        </r>
        <r>
          <rPr>
            <sz val="10"/>
            <color rgb="FF000000"/>
            <rFont val="Tahoma"/>
            <family val="2"/>
          </rPr>
          <t xml:space="preserve">
Source: Forbes team page, historical operating income for Forbes 2022 list (Oct 2022 list; 2021–22 season, net of revenue sharing and arena debt service), https://www.forbes.com/teams/los-angeles-clippers/</t>
        </r>
      </text>
    </comment>
    <comment ref="I17" authorId="0" shapeId="0" xr:uid="{591686AF-ACBB-7541-B41B-F104BA856DB3}">
      <text>
        <r>
          <rPr>
            <b/>
            <sz val="10"/>
            <color rgb="FF000000"/>
            <rFont val="Tahoma"/>
            <family val="2"/>
          </rPr>
          <t>Keller, Zach:</t>
        </r>
        <r>
          <rPr>
            <sz val="10"/>
            <color rgb="FF000000"/>
            <rFont val="Tahoma"/>
            <family val="2"/>
          </rPr>
          <t xml:space="preserve">
Source: Forbes team page, historical operating income for Forbes 2023 list (Oct 2023 list; 2022–23 season, net of revenue sharing and arena debt service), https://www.forbes.com/teams/los-angeles-clippers/</t>
        </r>
      </text>
    </comment>
    <comment ref="J17" authorId="0" shapeId="0" xr:uid="{BFCAC521-3B2D-8F49-B801-5E817DABF96D}">
      <text>
        <r>
          <rPr>
            <b/>
            <sz val="10"/>
            <color rgb="FF000000"/>
            <rFont val="Tahoma"/>
            <family val="2"/>
          </rPr>
          <t>Keller, Zach:</t>
        </r>
        <r>
          <rPr>
            <sz val="10"/>
            <color rgb="FF000000"/>
            <rFont val="Tahoma"/>
            <family val="2"/>
          </rPr>
          <t xml:space="preserve">
Source: Forbes, The Most Valuable NBA Teams 2024 list article (Oct 2024; 2023–24 operating income, net of revenue sharing and arena debt service), https://www.forbes.com/sites/justinteitelbaum/2024/10/24/the-most-valuable-nba-teams-2024/</t>
        </r>
      </text>
    </comment>
    <comment ref="K17" authorId="0" shapeId="0" xr:uid="{CF85B7A6-DBA1-8C47-8760-CA2C61F3F38F}">
      <text>
        <r>
          <rPr>
            <b/>
            <sz val="10"/>
            <color rgb="FF000000"/>
            <rFont val="Tahoma"/>
            <family val="2"/>
          </rPr>
          <t>Keller, Zach:</t>
        </r>
        <r>
          <rPr>
            <sz val="10"/>
            <color rgb="FF000000"/>
            <rFont val="Tahoma"/>
            <family val="2"/>
          </rPr>
          <t xml:space="preserve">
Source: Forbes, The Most Valuable NBA Teams 2025 list article (Oct 2025; 2024–25 operating income, net of revenue sharing and arena debt service), https://www.forbes.com/sites/justinteitelbaum/2025/10/23/the-most-valuable-nba-teams-2025/</t>
        </r>
      </text>
    </comment>
    <comment ref="B18" authorId="0" shapeId="0" xr:uid="{123EB1E7-CE4A-E64F-9D78-FF292B544CE0}">
      <text>
        <r>
          <rPr>
            <b/>
            <sz val="10"/>
            <color rgb="FF000000"/>
            <rFont val="Tahoma"/>
            <family val="2"/>
          </rPr>
          <t>Keller, Zach:</t>
        </r>
        <r>
          <rPr>
            <sz val="10"/>
            <color rgb="FF000000"/>
            <rFont val="Tahoma"/>
            <family val="2"/>
          </rPr>
          <t xml:space="preserve">
Source: Forbes team page, historical operating income for Forbes 2016 list (Feb 2017 list; 2015–16 season, net of revenue sharing and arena debt service), https://www.forbes.com/teams/los-angeles-lakers/</t>
        </r>
      </text>
    </comment>
    <comment ref="C18" authorId="0" shapeId="0" xr:uid="{82C0C314-1D35-714F-9C24-B27B1BCD5652}">
      <text>
        <r>
          <rPr>
            <b/>
            <sz val="10"/>
            <color rgb="FF000000"/>
            <rFont val="Tahoma"/>
            <family val="2"/>
          </rPr>
          <t>Keller, Zach:</t>
        </r>
        <r>
          <rPr>
            <sz val="10"/>
            <color rgb="FF000000"/>
            <rFont val="Tahoma"/>
            <family val="2"/>
          </rPr>
          <t xml:space="preserve">
Source: Forbes team page, historical operating income for Forbes 2017 list (Feb 2018 list; 2016–17 season, net of revenue sharing and arena debt service), https://www.forbes.com/teams/los-angeles-lakers/</t>
        </r>
      </text>
    </comment>
    <comment ref="D18" authorId="0" shapeId="0" xr:uid="{12216D31-1A0C-F945-AAD0-EE14223648BD}">
      <text>
        <r>
          <rPr>
            <b/>
            <sz val="10"/>
            <color rgb="FF000000"/>
            <rFont val="Tahoma"/>
            <family val="2"/>
          </rPr>
          <t>Keller, Zach:</t>
        </r>
        <r>
          <rPr>
            <sz val="10"/>
            <color rgb="FF000000"/>
            <rFont val="Tahoma"/>
            <family val="2"/>
          </rPr>
          <t xml:space="preserve">
Source: Forbes team page, historical operating income for Forbes 2018 list (Feb 2019 list; 2017–18 season, net of revenue sharing and arena debt service), https://www.forbes.com/teams/los-angeles-lakers/</t>
        </r>
      </text>
    </comment>
    <comment ref="E18" authorId="0" shapeId="0" xr:uid="{FBCE9B14-032E-614F-888B-465F6B9BC6EC}">
      <text>
        <r>
          <rPr>
            <b/>
            <sz val="10"/>
            <color rgb="FF000000"/>
            <rFont val="Tahoma"/>
            <family val="2"/>
          </rPr>
          <t>Keller, Zach:</t>
        </r>
        <r>
          <rPr>
            <sz val="10"/>
            <color rgb="FF000000"/>
            <rFont val="Tahoma"/>
            <family val="2"/>
          </rPr>
          <t xml:space="preserve">
Source: Forbes team page, historical operating income for Forbes 2019 list (Feb 2020 list; 2018–19 season, net of revenue sharing and arena debt service), https://www.forbes.com/teams/los-angeles-lakers/</t>
        </r>
      </text>
    </comment>
    <comment ref="F18" authorId="0" shapeId="0" xr:uid="{10CF2589-2CB8-AD43-AFCE-BF9B0E8AB5A4}">
      <text>
        <r>
          <rPr>
            <b/>
            <sz val="10"/>
            <color rgb="FF000000"/>
            <rFont val="Tahoma"/>
            <family val="2"/>
          </rPr>
          <t>Keller, Zach:</t>
        </r>
        <r>
          <rPr>
            <sz val="10"/>
            <color rgb="FF000000"/>
            <rFont val="Tahoma"/>
            <family val="2"/>
          </rPr>
          <t xml:space="preserve">
Source: Forbes team page, historical operating income for Forbes 2020 list (Feb 2021 list; 2019–20 season, net of revenue sharing and arena debt service), https://www.forbes.com/teams/los-angeles-lakers/</t>
        </r>
      </text>
    </comment>
    <comment ref="G18" authorId="0" shapeId="0" xr:uid="{8A1B55BA-2349-A34E-8CC0-E1576F7513EB}">
      <text>
        <r>
          <rPr>
            <b/>
            <sz val="10"/>
            <color rgb="FF000000"/>
            <rFont val="Tahoma"/>
            <family val="2"/>
          </rPr>
          <t>Keller, Zach:</t>
        </r>
        <r>
          <rPr>
            <sz val="10"/>
            <color rgb="FF000000"/>
            <rFont val="Tahoma"/>
            <family val="2"/>
          </rPr>
          <t xml:space="preserve">
Source: Forbes team page, historical operating income for Forbes 2021 list (Oct 2021 list; 2020–21 season, net of revenue sharing and arena debt service), https://www.forbes.com/teams/los-angeles-lakers/</t>
        </r>
      </text>
    </comment>
    <comment ref="H18" authorId="0" shapeId="0" xr:uid="{89C819CE-7F05-8644-8C8E-FC457030A184}">
      <text>
        <r>
          <rPr>
            <b/>
            <sz val="10"/>
            <color rgb="FF000000"/>
            <rFont val="Tahoma"/>
            <family val="2"/>
          </rPr>
          <t>Keller, Zach:</t>
        </r>
        <r>
          <rPr>
            <sz val="10"/>
            <color rgb="FF000000"/>
            <rFont val="Tahoma"/>
            <family val="2"/>
          </rPr>
          <t xml:space="preserve">
Source: Forbes team page, historical operating income for Forbes 2022 list (Oct 2022 list; 2021–22 season, net of revenue sharing and arena debt service), https://www.forbes.com/teams/los-angeles-lakers/</t>
        </r>
      </text>
    </comment>
    <comment ref="I18" authorId="0" shapeId="0" xr:uid="{6E886249-F21F-1B49-94BC-7898033E0F30}">
      <text>
        <r>
          <rPr>
            <b/>
            <sz val="10"/>
            <color rgb="FF000000"/>
            <rFont val="Tahoma"/>
            <family val="2"/>
          </rPr>
          <t>Keller, Zach:</t>
        </r>
        <r>
          <rPr>
            <sz val="10"/>
            <color rgb="FF000000"/>
            <rFont val="Tahoma"/>
            <family val="2"/>
          </rPr>
          <t xml:space="preserve">
Source: Forbes team page, historical operating income for Forbes 2023 list (Oct 2023 list; 2022–23 season, net of revenue sharing and arena debt service), https://www.forbes.com/teams/los-angeles-lakers/</t>
        </r>
      </text>
    </comment>
    <comment ref="J18" authorId="0" shapeId="0" xr:uid="{4C3D8027-727F-EF4E-BF97-908E2F1114F1}">
      <text>
        <r>
          <rPr>
            <b/>
            <sz val="10"/>
            <color rgb="FF000000"/>
            <rFont val="Tahoma"/>
            <family val="2"/>
          </rPr>
          <t>Keller, Zach:</t>
        </r>
        <r>
          <rPr>
            <sz val="10"/>
            <color rgb="FF000000"/>
            <rFont val="Tahoma"/>
            <family val="2"/>
          </rPr>
          <t xml:space="preserve">
Source: Forbes, The Most Valuable NBA Teams 2024 list article (Oct 2024; 2023–24 operating income, net of revenue sharing and arena debt service), https://www.forbes.com/sites/justinteitelbaum/2024/10/24/the-most-valuable-nba-teams-2024/</t>
        </r>
      </text>
    </comment>
    <comment ref="K18" authorId="0" shapeId="0" xr:uid="{A1AEFDE1-EB99-8442-B2BB-BC03847AF80B}">
      <text>
        <r>
          <rPr>
            <b/>
            <sz val="10"/>
            <color rgb="FF000000"/>
            <rFont val="Tahoma"/>
            <family val="2"/>
          </rPr>
          <t>Keller, Zach:</t>
        </r>
        <r>
          <rPr>
            <sz val="10"/>
            <color rgb="FF000000"/>
            <rFont val="Tahoma"/>
            <family val="2"/>
          </rPr>
          <t xml:space="preserve">
Source: Forbes, The Most Valuable NBA Teams 2025 list article (Oct 2025; 2024–25 operating income, net of revenue sharing and arena debt service), https://www.forbes.com/sites/justinteitelbaum/2025/10/23/the-most-valuable-nba-teams-2025/</t>
        </r>
      </text>
    </comment>
    <comment ref="B19" authorId="0" shapeId="0" xr:uid="{D0840D75-C6BC-6A42-BDDE-8C1D533DB277}">
      <text>
        <r>
          <rPr>
            <b/>
            <sz val="10"/>
            <color rgb="FF000000"/>
            <rFont val="Tahoma"/>
            <family val="2"/>
          </rPr>
          <t>Keller, Zach:</t>
        </r>
        <r>
          <rPr>
            <sz val="10"/>
            <color rgb="FF000000"/>
            <rFont val="Tahoma"/>
            <family val="2"/>
          </rPr>
          <t xml:space="preserve">
Source: Forbes team page, historical operating income for Forbes 2016 list (Feb 2017 list; 2015–16 season, net of revenue sharing and arena debt service), https://www.forbes.com/teams/memphis-grizzlies/</t>
        </r>
      </text>
    </comment>
    <comment ref="C19" authorId="0" shapeId="0" xr:uid="{E05CFFFD-DD9C-884D-AFA8-8939734E53B9}">
      <text>
        <r>
          <rPr>
            <b/>
            <sz val="10"/>
            <color rgb="FF000000"/>
            <rFont val="Tahoma"/>
            <family val="2"/>
          </rPr>
          <t>Keller, Zach:</t>
        </r>
        <r>
          <rPr>
            <sz val="10"/>
            <color rgb="FF000000"/>
            <rFont val="Tahoma"/>
            <family val="2"/>
          </rPr>
          <t xml:space="preserve">
Source: Forbes team page, historical operating income for Forbes 2017 list (Feb 2018 list; 2016–17 season, net of revenue sharing and arena debt service), https://www.forbes.com/teams/memphis-grizzlies/</t>
        </r>
      </text>
    </comment>
    <comment ref="D19" authorId="0" shapeId="0" xr:uid="{E6EE8748-1631-084F-8577-AF1845B9E95E}">
      <text>
        <r>
          <rPr>
            <b/>
            <sz val="10"/>
            <color rgb="FF000000"/>
            <rFont val="Tahoma"/>
            <family val="2"/>
          </rPr>
          <t>Keller, Zach:</t>
        </r>
        <r>
          <rPr>
            <sz val="10"/>
            <color rgb="FF000000"/>
            <rFont val="Tahoma"/>
            <family val="2"/>
          </rPr>
          <t xml:space="preserve">
Source: Forbes team page, historical operating income for Forbes 2018 list (Feb 2019 list; 2017–18 season, net of revenue sharing and arena debt service), https://www.forbes.com/teams/memphis-grizzlies/</t>
        </r>
      </text>
    </comment>
    <comment ref="E19" authorId="0" shapeId="0" xr:uid="{AA0854FF-94EB-2E42-AB5A-894D929542A0}">
      <text>
        <r>
          <rPr>
            <b/>
            <sz val="10"/>
            <color rgb="FF000000"/>
            <rFont val="Tahoma"/>
            <family val="2"/>
          </rPr>
          <t>Keller, Zach:</t>
        </r>
        <r>
          <rPr>
            <sz val="10"/>
            <color rgb="FF000000"/>
            <rFont val="Tahoma"/>
            <family val="2"/>
          </rPr>
          <t xml:space="preserve">
Source: Forbes team page, historical operating income for Forbes 2019 list (Feb 2020 list; 2018–19 season, net of revenue sharing and arena debt service), https://www.forbes.com/teams/memphis-grizzlies/</t>
        </r>
      </text>
    </comment>
    <comment ref="F19" authorId="0" shapeId="0" xr:uid="{71FB1407-FFD0-FB47-A1EF-22BB49C23F62}">
      <text>
        <r>
          <rPr>
            <b/>
            <sz val="10"/>
            <color rgb="FF000000"/>
            <rFont val="Tahoma"/>
            <family val="2"/>
          </rPr>
          <t>Keller, Zach:</t>
        </r>
        <r>
          <rPr>
            <sz val="10"/>
            <color rgb="FF000000"/>
            <rFont val="Tahoma"/>
            <family val="2"/>
          </rPr>
          <t xml:space="preserve">
Source: Forbes team page, historical operating income for Forbes 2020 list (Feb 2021 list; 2019–20 season, net of revenue sharing and arena debt service), https://www.forbes.com/teams/memphis-grizzlies/</t>
        </r>
      </text>
    </comment>
    <comment ref="G19" authorId="0" shapeId="0" xr:uid="{D3FF63F2-B207-D940-9EC2-6096E606BE6F}">
      <text>
        <r>
          <rPr>
            <b/>
            <sz val="10"/>
            <color rgb="FF000000"/>
            <rFont val="Tahoma"/>
            <family val="2"/>
          </rPr>
          <t>Keller, Zach:</t>
        </r>
        <r>
          <rPr>
            <sz val="10"/>
            <color rgb="FF000000"/>
            <rFont val="Tahoma"/>
            <family val="2"/>
          </rPr>
          <t xml:space="preserve">
Source: Forbes team page, historical operating income for Forbes 2021 list (Oct 2021 list; 2020–21 season, net of revenue sharing and arena debt service), https://www.forbes.com/teams/memphis-grizzlies/</t>
        </r>
      </text>
    </comment>
    <comment ref="H19" authorId="0" shapeId="0" xr:uid="{CC998A38-59B4-DD45-ACB8-B8BF1B2855A5}">
      <text>
        <r>
          <rPr>
            <b/>
            <sz val="10"/>
            <color rgb="FF000000"/>
            <rFont val="Tahoma"/>
            <family val="2"/>
          </rPr>
          <t>Keller, Zach:</t>
        </r>
        <r>
          <rPr>
            <sz val="10"/>
            <color rgb="FF000000"/>
            <rFont val="Tahoma"/>
            <family val="2"/>
          </rPr>
          <t xml:space="preserve">
Source: Forbes team page, historical operating income for Forbes 2022 list (Oct 2022 list; 2021–22 season, net of revenue sharing and arena debt service), https://www.forbes.com/teams/memphis-grizzlies/</t>
        </r>
      </text>
    </comment>
    <comment ref="I19" authorId="0" shapeId="0" xr:uid="{1C1DDC57-CDA0-E843-B381-EDA0E5FF9500}">
      <text>
        <r>
          <rPr>
            <b/>
            <sz val="10"/>
            <color rgb="FF000000"/>
            <rFont val="Tahoma"/>
            <family val="2"/>
          </rPr>
          <t>Keller, Zach:</t>
        </r>
        <r>
          <rPr>
            <sz val="10"/>
            <color rgb="FF000000"/>
            <rFont val="Tahoma"/>
            <family val="2"/>
          </rPr>
          <t xml:space="preserve">
Source: Forbes team page, historical operating income for Forbes 2023 list (Oct 2023 list; 2022–23 season, net of revenue sharing and arena debt service), https://www.forbes.com/teams/memphis-grizzlies/</t>
        </r>
      </text>
    </comment>
    <comment ref="J19" authorId="0" shapeId="0" xr:uid="{A23BC515-ED9C-DC47-8566-1F8367C4411D}">
      <text>
        <r>
          <rPr>
            <b/>
            <sz val="10"/>
            <color rgb="FF000000"/>
            <rFont val="Tahoma"/>
            <family val="2"/>
          </rPr>
          <t>Keller, Zach:</t>
        </r>
        <r>
          <rPr>
            <sz val="10"/>
            <color rgb="FF000000"/>
            <rFont val="Tahoma"/>
            <family val="2"/>
          </rPr>
          <t xml:space="preserve">
Source: Forbes, The Most Valuable NBA Teams 2024 list article (Oct 2024; 2023–24 operating income, net of revenue sharing and arena debt service), https://www.forbes.com/sites/justinteitelbaum/2024/10/24/the-most-valuable-nba-teams-2024/</t>
        </r>
      </text>
    </comment>
    <comment ref="K19" authorId="0" shapeId="0" xr:uid="{06735AD3-3316-A441-B1CF-1A26A54C2048}">
      <text>
        <r>
          <rPr>
            <b/>
            <sz val="10"/>
            <color rgb="FF000000"/>
            <rFont val="Tahoma"/>
            <family val="2"/>
          </rPr>
          <t>Keller, Zach:</t>
        </r>
        <r>
          <rPr>
            <sz val="10"/>
            <color rgb="FF000000"/>
            <rFont val="Tahoma"/>
            <family val="2"/>
          </rPr>
          <t xml:space="preserve">
Source: Forbes, The Most Valuable NBA Teams 2025 list article (Oct 2025; 2024–25 operating income, net of revenue sharing and arena debt service), https://www.forbes.com/sites/justinteitelbaum/2025/10/23/the-most-valuable-nba-teams-2025/</t>
        </r>
      </text>
    </comment>
    <comment ref="B20" authorId="0" shapeId="0" xr:uid="{D59122F0-5514-0245-AB95-3EBB3CB9AAB5}">
      <text>
        <r>
          <rPr>
            <b/>
            <sz val="10"/>
            <color rgb="FF000000"/>
            <rFont val="Tahoma"/>
            <family val="2"/>
          </rPr>
          <t>Keller, Zach:</t>
        </r>
        <r>
          <rPr>
            <sz val="10"/>
            <color rgb="FF000000"/>
            <rFont val="Tahoma"/>
            <family val="2"/>
          </rPr>
          <t xml:space="preserve">
Source: Forbes team page, historical operating income for Forbes 2016 list (Feb 2017 list; 2015–16 season, net of revenue sharing and arena debt service), https://www.forbes.com/teams/miami-heat/</t>
        </r>
      </text>
    </comment>
    <comment ref="C20" authorId="0" shapeId="0" xr:uid="{B8163C86-DD01-2343-84A9-D9ED6C694FCF}">
      <text>
        <r>
          <rPr>
            <b/>
            <sz val="10"/>
            <color rgb="FF000000"/>
            <rFont val="Tahoma"/>
            <family val="2"/>
          </rPr>
          <t>Keller, Zach:</t>
        </r>
        <r>
          <rPr>
            <sz val="10"/>
            <color rgb="FF000000"/>
            <rFont val="Tahoma"/>
            <family val="2"/>
          </rPr>
          <t xml:space="preserve">
Source: Forbes team page, historical operating income for Forbes 2017 list (Feb 2018 list; 2016–17 season, net of revenue sharing and arena debt service), https://www.forbes.com/teams/miami-heat/</t>
        </r>
      </text>
    </comment>
    <comment ref="D20" authorId="0" shapeId="0" xr:uid="{CB37701D-FD2A-5D43-A3E7-AD0D8DF48638}">
      <text>
        <r>
          <rPr>
            <b/>
            <sz val="10"/>
            <color rgb="FF000000"/>
            <rFont val="Tahoma"/>
            <family val="2"/>
          </rPr>
          <t>Keller, Zach:</t>
        </r>
        <r>
          <rPr>
            <sz val="10"/>
            <color rgb="FF000000"/>
            <rFont val="Tahoma"/>
            <family val="2"/>
          </rPr>
          <t xml:space="preserve">
Source: Forbes team page, historical operating income for Forbes 2018 list (Feb 2019 list; 2017–18 season, net of revenue sharing and arena debt service), https://www.forbes.com/teams/miami-heat/</t>
        </r>
      </text>
    </comment>
    <comment ref="E20" authorId="0" shapeId="0" xr:uid="{274C81AF-07DD-3E4C-B95E-12934A5E1B4A}">
      <text>
        <r>
          <rPr>
            <b/>
            <sz val="10"/>
            <color rgb="FF000000"/>
            <rFont val="Tahoma"/>
            <family val="2"/>
          </rPr>
          <t>Keller, Zach:</t>
        </r>
        <r>
          <rPr>
            <sz val="10"/>
            <color rgb="FF000000"/>
            <rFont val="Tahoma"/>
            <family val="2"/>
          </rPr>
          <t xml:space="preserve">
Source: Forbes team page, historical operating income for Forbes 2019 list (Feb 2020 list; 2018–19 season, net of revenue sharing and arena debt service), https://www.forbes.com/teams/miami-heat/</t>
        </r>
      </text>
    </comment>
    <comment ref="F20" authorId="0" shapeId="0" xr:uid="{1CFD0602-75F2-D245-9079-44766A4F0811}">
      <text>
        <r>
          <rPr>
            <b/>
            <sz val="10"/>
            <color rgb="FF000000"/>
            <rFont val="Tahoma"/>
            <family val="2"/>
          </rPr>
          <t>Keller, Zach:</t>
        </r>
        <r>
          <rPr>
            <sz val="10"/>
            <color rgb="FF000000"/>
            <rFont val="Tahoma"/>
            <family val="2"/>
          </rPr>
          <t xml:space="preserve">
Source: Forbes team page, historical operating income for Forbes 2020 list (Feb 2021 list; 2019–20 season, net of revenue sharing and arena debt service), https://www.forbes.com/teams/miami-heat/</t>
        </r>
      </text>
    </comment>
    <comment ref="G20" authorId="0" shapeId="0" xr:uid="{5B7361BC-AA73-AA4C-8660-C2D0E1B6F087}">
      <text>
        <r>
          <rPr>
            <b/>
            <sz val="10"/>
            <color rgb="FF000000"/>
            <rFont val="Tahoma"/>
            <family val="2"/>
          </rPr>
          <t>Keller, Zach:</t>
        </r>
        <r>
          <rPr>
            <sz val="10"/>
            <color rgb="FF000000"/>
            <rFont val="Tahoma"/>
            <family val="2"/>
          </rPr>
          <t xml:space="preserve">
Source: Forbes team page, historical operating income for Forbes 2021 list (Oct 2021 list; 2020–21 season, net of revenue sharing and arena debt service), https://www.forbes.com/teams/miami-heat/</t>
        </r>
      </text>
    </comment>
    <comment ref="H20" authorId="0" shapeId="0" xr:uid="{5B3AA419-251E-5749-BF01-F7C0BF559775}">
      <text>
        <r>
          <rPr>
            <b/>
            <sz val="10"/>
            <color rgb="FF000000"/>
            <rFont val="Tahoma"/>
            <family val="2"/>
          </rPr>
          <t>Keller, Zach:</t>
        </r>
        <r>
          <rPr>
            <sz val="10"/>
            <color rgb="FF000000"/>
            <rFont val="Tahoma"/>
            <family val="2"/>
          </rPr>
          <t xml:space="preserve">
Source: Forbes team page, historical operating income for Forbes 2022 list (Oct 2022 list; 2021–22 season, net of revenue sharing and arena debt service), https://www.forbes.com/teams/miami-heat/</t>
        </r>
      </text>
    </comment>
    <comment ref="I20" authorId="0" shapeId="0" xr:uid="{FC079163-A942-E947-8A6E-7F5E22D8FD1F}">
      <text>
        <r>
          <rPr>
            <b/>
            <sz val="10"/>
            <color rgb="FF000000"/>
            <rFont val="Tahoma"/>
            <family val="2"/>
          </rPr>
          <t>Keller, Zach:</t>
        </r>
        <r>
          <rPr>
            <sz val="10"/>
            <color rgb="FF000000"/>
            <rFont val="Tahoma"/>
            <family val="2"/>
          </rPr>
          <t xml:space="preserve">
Source: Forbes team page, historical operating income for Forbes 2023 list (Oct 2023 list; 2022–23 season, net of revenue sharing and arena debt service), https://www.forbes.com/teams/miami-heat/</t>
        </r>
      </text>
    </comment>
    <comment ref="J20" authorId="0" shapeId="0" xr:uid="{A9BB67F7-4B03-6D42-BCCF-3383272932F8}">
      <text>
        <r>
          <rPr>
            <b/>
            <sz val="10"/>
            <color rgb="FF000000"/>
            <rFont val="Tahoma"/>
            <family val="2"/>
          </rPr>
          <t>Keller, Zach:</t>
        </r>
        <r>
          <rPr>
            <sz val="10"/>
            <color rgb="FF000000"/>
            <rFont val="Tahoma"/>
            <family val="2"/>
          </rPr>
          <t xml:space="preserve">
Source: Forbes, The Most Valuable NBA Teams 2024 list article (Oct 2024; 2023–24 operating income, net of revenue sharing and arena debt service), https://www.forbes.com/sites/justinteitelbaum/2024/10/24/the-most-valuable-nba-teams-2024/</t>
        </r>
      </text>
    </comment>
    <comment ref="K20" authorId="0" shapeId="0" xr:uid="{58A8E6DF-3AB4-E441-AE79-3829DBC47560}">
      <text>
        <r>
          <rPr>
            <b/>
            <sz val="10"/>
            <color rgb="FF000000"/>
            <rFont val="Tahoma"/>
            <family val="2"/>
          </rPr>
          <t>Keller, Zach:</t>
        </r>
        <r>
          <rPr>
            <sz val="10"/>
            <color rgb="FF000000"/>
            <rFont val="Tahoma"/>
            <family val="2"/>
          </rPr>
          <t xml:space="preserve">
Source: Forbes, The Most Valuable NBA Teams 2025 list article (Oct 2025; 2024–25 operating income, net of revenue sharing and arena debt service), https://www.forbes.com/sites/justinteitelbaum/2025/10/23/the-most-valuable-nba-teams-2025/</t>
        </r>
      </text>
    </comment>
    <comment ref="B21" authorId="0" shapeId="0" xr:uid="{A627AD71-AC8F-DA41-8067-F7E2AD6A1020}">
      <text>
        <r>
          <rPr>
            <b/>
            <sz val="10"/>
            <color rgb="FF000000"/>
            <rFont val="Tahoma"/>
            <family val="2"/>
          </rPr>
          <t>Keller, Zach:</t>
        </r>
        <r>
          <rPr>
            <sz val="10"/>
            <color rgb="FF000000"/>
            <rFont val="Tahoma"/>
            <family val="2"/>
          </rPr>
          <t xml:space="preserve">
Source: Forbes team page, historical operating income for Forbes 2016 list (Feb 2017 list; 2015–16 season, net of revenue sharing and arena debt service), https://www.forbes.com/teams/milwaukee-bucks/</t>
        </r>
      </text>
    </comment>
    <comment ref="C21" authorId="0" shapeId="0" xr:uid="{EFC842AA-67BA-6C46-A637-8ECC6B6006EA}">
      <text>
        <r>
          <rPr>
            <b/>
            <sz val="10"/>
            <color rgb="FF000000"/>
            <rFont val="Tahoma"/>
            <family val="2"/>
          </rPr>
          <t>Keller, Zach:</t>
        </r>
        <r>
          <rPr>
            <sz val="10"/>
            <color rgb="FF000000"/>
            <rFont val="Tahoma"/>
            <family val="2"/>
          </rPr>
          <t xml:space="preserve">
Source: Forbes team page, historical operating income for Forbes 2017 list (Feb 2018 list; 2016–17 season, net of revenue sharing and arena debt service), https://www.forbes.com/teams/milwaukee-bucks/</t>
        </r>
      </text>
    </comment>
    <comment ref="D21" authorId="0" shapeId="0" xr:uid="{DBD410F8-424D-A845-B387-7304C6A838CB}">
      <text>
        <r>
          <rPr>
            <b/>
            <sz val="10"/>
            <color rgb="FF000000"/>
            <rFont val="Tahoma"/>
            <family val="2"/>
          </rPr>
          <t>Keller, Zach:</t>
        </r>
        <r>
          <rPr>
            <sz val="10"/>
            <color rgb="FF000000"/>
            <rFont val="Tahoma"/>
            <family val="2"/>
          </rPr>
          <t xml:space="preserve">
Source: Forbes team page, historical operating income for Forbes 2018 list (Feb 2019 list; 2017–18 season, net of revenue sharing and arena debt service), https://www.forbes.com/teams/milwaukee-bucks/</t>
        </r>
      </text>
    </comment>
    <comment ref="E21" authorId="0" shapeId="0" xr:uid="{62D1B3A9-167B-5843-B0C5-C8BBAAFED640}">
      <text>
        <r>
          <rPr>
            <b/>
            <sz val="10"/>
            <color rgb="FF000000"/>
            <rFont val="Tahoma"/>
            <family val="2"/>
          </rPr>
          <t>Keller, Zach:</t>
        </r>
        <r>
          <rPr>
            <sz val="10"/>
            <color rgb="FF000000"/>
            <rFont val="Tahoma"/>
            <family val="2"/>
          </rPr>
          <t xml:space="preserve">
Source: Forbes team page, historical operating income for Forbes 2019 list (Feb 2020 list; 2018–19 season, net of revenue sharing and arena debt service), https://www.forbes.com/teams/milwaukee-bucks/</t>
        </r>
      </text>
    </comment>
    <comment ref="F21" authorId="0" shapeId="0" xr:uid="{65155B27-5C84-184B-9949-A289AA2A27A5}">
      <text>
        <r>
          <rPr>
            <b/>
            <sz val="10"/>
            <color rgb="FF000000"/>
            <rFont val="Tahoma"/>
            <family val="2"/>
          </rPr>
          <t>Keller, Zach:</t>
        </r>
        <r>
          <rPr>
            <sz val="10"/>
            <color rgb="FF000000"/>
            <rFont val="Tahoma"/>
            <family val="2"/>
          </rPr>
          <t xml:space="preserve">
Source: Forbes team page, historical operating income for Forbes 2020 list (Feb 2021 list; 2019–20 season, net of revenue sharing and arena debt service), https://www.forbes.com/teams/milwaukee-bucks/</t>
        </r>
      </text>
    </comment>
    <comment ref="G21" authorId="0" shapeId="0" xr:uid="{28470C69-1C9E-C442-A5E0-315ECA66CA63}">
      <text>
        <r>
          <rPr>
            <b/>
            <sz val="10"/>
            <color rgb="FF000000"/>
            <rFont val="Tahoma"/>
            <family val="2"/>
          </rPr>
          <t>Keller, Zach:</t>
        </r>
        <r>
          <rPr>
            <sz val="10"/>
            <color rgb="FF000000"/>
            <rFont val="Tahoma"/>
            <family val="2"/>
          </rPr>
          <t xml:space="preserve">
Source: Forbes team page, historical operating income for Forbes 2021 list (Oct 2021 list; 2020–21 season, net of revenue sharing and arena debt service), https://www.forbes.com/teams/milwaukee-bucks/</t>
        </r>
      </text>
    </comment>
    <comment ref="H21" authorId="0" shapeId="0" xr:uid="{FF8CA386-443E-5F4F-8D15-435377F64E33}">
      <text>
        <r>
          <rPr>
            <b/>
            <sz val="10"/>
            <color rgb="FF000000"/>
            <rFont val="Tahoma"/>
            <family val="2"/>
          </rPr>
          <t>Keller, Zach:</t>
        </r>
        <r>
          <rPr>
            <sz val="10"/>
            <color rgb="FF000000"/>
            <rFont val="Tahoma"/>
            <family val="2"/>
          </rPr>
          <t xml:space="preserve">
Source: Forbes team page, historical operating income for Forbes 2022 list (Oct 2022 list; 2021–22 season, net of revenue sharing and arena debt service), https://www.forbes.com/teams/milwaukee-bucks/</t>
        </r>
      </text>
    </comment>
    <comment ref="I21" authorId="0" shapeId="0" xr:uid="{EF4974B9-F0DB-214D-B923-11EB2FC3B5AC}">
      <text>
        <r>
          <rPr>
            <b/>
            <sz val="10"/>
            <color rgb="FF000000"/>
            <rFont val="Tahoma"/>
            <family val="2"/>
          </rPr>
          <t>Keller, Zach:</t>
        </r>
        <r>
          <rPr>
            <sz val="10"/>
            <color rgb="FF000000"/>
            <rFont val="Tahoma"/>
            <family val="2"/>
          </rPr>
          <t xml:space="preserve">
Source: Forbes team page, historical operating income for Forbes 2023 list (Oct 2023 list; 2022–23 season, net of revenue sharing and arena debt service), https://www.forbes.com/teams/milwaukee-bucks/</t>
        </r>
      </text>
    </comment>
    <comment ref="J21" authorId="0" shapeId="0" xr:uid="{95B95753-3C3B-E248-AF27-561DD0FF3614}">
      <text>
        <r>
          <rPr>
            <b/>
            <sz val="10"/>
            <color rgb="FF000000"/>
            <rFont val="Tahoma"/>
            <family val="2"/>
          </rPr>
          <t>Keller, Zach:</t>
        </r>
        <r>
          <rPr>
            <sz val="10"/>
            <color rgb="FF000000"/>
            <rFont val="Tahoma"/>
            <family val="2"/>
          </rPr>
          <t xml:space="preserve">
Source: Forbes, The Most Valuable NBA Teams 2024 list article (Oct 2024; 2023–24 operating income, net of revenue sharing and arena debt service), https://www.forbes.com/sites/justinteitelbaum/2024/10/24/the-most-valuable-nba-teams-2024/</t>
        </r>
      </text>
    </comment>
    <comment ref="K21" authorId="0" shapeId="0" xr:uid="{BB6AC9F6-7515-864A-8D13-E3B93EED731F}">
      <text>
        <r>
          <rPr>
            <b/>
            <sz val="10"/>
            <color rgb="FF000000"/>
            <rFont val="Tahoma"/>
            <family val="2"/>
          </rPr>
          <t>Keller, Zach:</t>
        </r>
        <r>
          <rPr>
            <sz val="10"/>
            <color rgb="FF000000"/>
            <rFont val="Tahoma"/>
            <family val="2"/>
          </rPr>
          <t xml:space="preserve">
Source: Forbes, The Most Valuable NBA Teams 2025 list article (Oct 2025; 2024–25 operating income, net of revenue sharing and arena debt service), https://www.forbes.com/sites/justinteitelbaum/2025/10/23/the-most-valuable-nba-teams-2025/</t>
        </r>
      </text>
    </comment>
    <comment ref="B22" authorId="0" shapeId="0" xr:uid="{B397CD0A-CEA0-524A-89FF-7F5E6B261C30}">
      <text>
        <r>
          <rPr>
            <b/>
            <sz val="10"/>
            <color rgb="FF000000"/>
            <rFont val="Tahoma"/>
            <family val="2"/>
          </rPr>
          <t>Keller, Zach:</t>
        </r>
        <r>
          <rPr>
            <sz val="10"/>
            <color rgb="FF000000"/>
            <rFont val="Tahoma"/>
            <family val="2"/>
          </rPr>
          <t xml:space="preserve">
Source: Forbes team page, historical operating income for Forbes 2016 list (Feb 2017 list; 2015–16 season, net of revenue sharing and arena debt service), https://www.forbes.com/teams/minnesota-timberwolves/</t>
        </r>
      </text>
    </comment>
    <comment ref="C22" authorId="0" shapeId="0" xr:uid="{4B644966-17D5-894D-83BF-9EC5A7E49DFC}">
      <text>
        <r>
          <rPr>
            <b/>
            <sz val="10"/>
            <color rgb="FF000000"/>
            <rFont val="Tahoma"/>
            <family val="2"/>
          </rPr>
          <t>Keller, Zach:</t>
        </r>
        <r>
          <rPr>
            <sz val="10"/>
            <color rgb="FF000000"/>
            <rFont val="Tahoma"/>
            <family val="2"/>
          </rPr>
          <t xml:space="preserve">
Source: Forbes team page, historical operating income for Forbes 2017 list (Feb 2018 list; 2016–17 season, net of revenue sharing and arena debt service), https://www.forbes.com/teams/minnesota-timberwolves/</t>
        </r>
      </text>
    </comment>
    <comment ref="D22" authorId="0" shapeId="0" xr:uid="{FE1F295C-C925-9D4C-B7CF-B41E2E64C0EB}">
      <text>
        <r>
          <rPr>
            <b/>
            <sz val="10"/>
            <color rgb="FF000000"/>
            <rFont val="Tahoma"/>
            <family val="2"/>
          </rPr>
          <t>Keller, Zach:</t>
        </r>
        <r>
          <rPr>
            <sz val="10"/>
            <color rgb="FF000000"/>
            <rFont val="Tahoma"/>
            <family val="2"/>
          </rPr>
          <t xml:space="preserve">
Source: Forbes team page, historical operating income for Forbes 2018 list (Feb 2019 list; 2017–18 season, net of revenue sharing and arena debt service), https://www.forbes.com/teams/minnesota-timberwolves/</t>
        </r>
      </text>
    </comment>
    <comment ref="E22" authorId="0" shapeId="0" xr:uid="{3CA0524D-997F-454B-A93E-13E722194B65}">
      <text>
        <r>
          <rPr>
            <b/>
            <sz val="10"/>
            <color rgb="FF000000"/>
            <rFont val="Tahoma"/>
            <family val="2"/>
          </rPr>
          <t>Keller, Zach:</t>
        </r>
        <r>
          <rPr>
            <sz val="10"/>
            <color rgb="FF000000"/>
            <rFont val="Tahoma"/>
            <family val="2"/>
          </rPr>
          <t xml:space="preserve">
Source: Forbes team page, historical operating income for Forbes 2019 list (Feb 2020 list; 2018–19 season, net of revenue sharing and arena debt service), https://www.forbes.com/teams/minnesota-timberwolves/</t>
        </r>
      </text>
    </comment>
    <comment ref="F22" authorId="0" shapeId="0" xr:uid="{259899EF-4DEC-094D-996B-66588F764B17}">
      <text>
        <r>
          <rPr>
            <b/>
            <sz val="10"/>
            <color rgb="FF000000"/>
            <rFont val="Tahoma"/>
            <family val="2"/>
          </rPr>
          <t>Keller, Zach:</t>
        </r>
        <r>
          <rPr>
            <sz val="10"/>
            <color rgb="FF000000"/>
            <rFont val="Tahoma"/>
            <family val="2"/>
          </rPr>
          <t xml:space="preserve">
Source: Forbes team page, historical operating income for Forbes 2020 list (Feb 2021 list; 2019–20 season, net of revenue sharing and arena debt service), https://www.forbes.com/teams/minnesota-timberwolves/</t>
        </r>
      </text>
    </comment>
    <comment ref="G22" authorId="0" shapeId="0" xr:uid="{F426E50D-5428-5A40-95E1-3C7276FCC0CF}">
      <text>
        <r>
          <rPr>
            <b/>
            <sz val="10"/>
            <color rgb="FF000000"/>
            <rFont val="Tahoma"/>
            <family val="2"/>
          </rPr>
          <t>Keller, Zach:</t>
        </r>
        <r>
          <rPr>
            <sz val="10"/>
            <color rgb="FF000000"/>
            <rFont val="Tahoma"/>
            <family val="2"/>
          </rPr>
          <t xml:space="preserve">
Source: Forbes team page, historical operating income for Forbes 2021 list (Oct 2021 list; 2020–21 season, net of revenue sharing and arena debt service), https://www.forbes.com/teams/minnesota-timberwolves/</t>
        </r>
      </text>
    </comment>
    <comment ref="H22" authorId="0" shapeId="0" xr:uid="{1B8BE41D-A65F-AF49-93F6-773815EC1DCF}">
      <text>
        <r>
          <rPr>
            <b/>
            <sz val="10"/>
            <color rgb="FF000000"/>
            <rFont val="Tahoma"/>
            <family val="2"/>
          </rPr>
          <t>Keller, Zach:</t>
        </r>
        <r>
          <rPr>
            <sz val="10"/>
            <color rgb="FF000000"/>
            <rFont val="Tahoma"/>
            <family val="2"/>
          </rPr>
          <t xml:space="preserve">
Source: Forbes team page, historical operating income for Forbes 2022 list (Oct 2022 list; 2021–22 season, net of revenue sharing and arena debt service), https://www.forbes.com/teams/minnesota-timberwolves/</t>
        </r>
      </text>
    </comment>
    <comment ref="I22" authorId="0" shapeId="0" xr:uid="{C1A149EA-A78D-EF40-8757-F52D435D8328}">
      <text>
        <r>
          <rPr>
            <b/>
            <sz val="10"/>
            <color rgb="FF000000"/>
            <rFont val="Tahoma"/>
            <family val="2"/>
          </rPr>
          <t>Keller, Zach:</t>
        </r>
        <r>
          <rPr>
            <sz val="10"/>
            <color rgb="FF000000"/>
            <rFont val="Tahoma"/>
            <family val="2"/>
          </rPr>
          <t xml:space="preserve">
Source: Forbes team page, historical operating income for Forbes 2023 list (Oct 2023 list; 2022–23 season, net of revenue sharing and arena debt service), https://www.forbes.com/teams/minnesota-timberwolves/</t>
        </r>
      </text>
    </comment>
    <comment ref="J22" authorId="0" shapeId="0" xr:uid="{10D00448-904C-EE4D-8329-188615B230F8}">
      <text>
        <r>
          <rPr>
            <b/>
            <sz val="10"/>
            <color rgb="FF000000"/>
            <rFont val="Tahoma"/>
            <family val="2"/>
          </rPr>
          <t>Keller, Zach:</t>
        </r>
        <r>
          <rPr>
            <sz val="10"/>
            <color rgb="FF000000"/>
            <rFont val="Tahoma"/>
            <family val="2"/>
          </rPr>
          <t xml:space="preserve">
Source: Forbes, The Most Valuable NBA Teams 2024 list article (Oct 2024; 2023–24 operating income, net of revenue sharing and arena debt service), https://www.forbes.com/sites/justinteitelbaum/2024/10/24/the-most-valuable-nba-teams-2024/. Note: Forbes team page shows $71M for this year; list article value used.</t>
        </r>
      </text>
    </comment>
    <comment ref="K22" authorId="0" shapeId="0" xr:uid="{1450F528-1EE7-3F42-B6B2-E31C895A8F04}">
      <text>
        <r>
          <rPr>
            <b/>
            <sz val="10"/>
            <color rgb="FF000000"/>
            <rFont val="Tahoma"/>
            <family val="2"/>
          </rPr>
          <t>Keller, Zach:</t>
        </r>
        <r>
          <rPr>
            <sz val="10"/>
            <color rgb="FF000000"/>
            <rFont val="Tahoma"/>
            <family val="2"/>
          </rPr>
          <t xml:space="preserve">
Source: Forbes, The Most Valuable NBA Teams 2025 list article (Oct 2025; 2024–25 operating income, net of revenue sharing and arena debt service), https://www.forbes.com/sites/justinteitelbaum/2025/10/23/the-most-valuable-nba-teams-2025/</t>
        </r>
      </text>
    </comment>
    <comment ref="B23" authorId="0" shapeId="0" xr:uid="{D9B5B79A-694F-7A44-A133-CA4ABF62B3C3}">
      <text>
        <r>
          <rPr>
            <b/>
            <sz val="10"/>
            <color rgb="FF000000"/>
            <rFont val="Tahoma"/>
            <family val="2"/>
          </rPr>
          <t>Keller, Zach:</t>
        </r>
        <r>
          <rPr>
            <sz val="10"/>
            <color rgb="FF000000"/>
            <rFont val="Tahoma"/>
            <family val="2"/>
          </rPr>
          <t xml:space="preserve">
Source: Forbes team page, historical operating income for Forbes 2016 list (Feb 2017 list; 2015–16 season, net of revenue sharing and arena debt service), https://www.forbes.com/teams/new-orleans-pelicans/</t>
        </r>
      </text>
    </comment>
    <comment ref="C23" authorId="0" shapeId="0" xr:uid="{A9283E13-C049-DE42-B60C-381BBD4525D6}">
      <text>
        <r>
          <rPr>
            <b/>
            <sz val="10"/>
            <color rgb="FF000000"/>
            <rFont val="Tahoma"/>
            <family val="2"/>
          </rPr>
          <t>Keller, Zach:</t>
        </r>
        <r>
          <rPr>
            <sz val="10"/>
            <color rgb="FF000000"/>
            <rFont val="Tahoma"/>
            <family val="2"/>
          </rPr>
          <t xml:space="preserve">
Source: Forbes team page, historical operating income for Forbes 2017 list (Feb 2018 list; 2016–17 season, net of revenue sharing and arena debt service), https://www.forbes.com/teams/new-orleans-pelicans/</t>
        </r>
      </text>
    </comment>
    <comment ref="D23" authorId="0" shapeId="0" xr:uid="{4C9937DC-36AA-0149-B325-5047422C59D8}">
      <text>
        <r>
          <rPr>
            <b/>
            <sz val="10"/>
            <color rgb="FF000000"/>
            <rFont val="Tahoma"/>
            <family val="2"/>
          </rPr>
          <t>Keller, Zach:</t>
        </r>
        <r>
          <rPr>
            <sz val="10"/>
            <color rgb="FF000000"/>
            <rFont val="Tahoma"/>
            <family val="2"/>
          </rPr>
          <t xml:space="preserve">
Source: Forbes team page, historical operating income for Forbes 2018 list (Feb 2019 list; 2017–18 season, net of revenue sharing and arena debt service), https://www.forbes.com/teams/new-orleans-pelicans/</t>
        </r>
      </text>
    </comment>
    <comment ref="E23" authorId="0" shapeId="0" xr:uid="{D6B44BB4-B206-C244-9F67-78DB486588E4}">
      <text>
        <r>
          <rPr>
            <b/>
            <sz val="10"/>
            <color rgb="FF000000"/>
            <rFont val="Tahoma"/>
            <family val="2"/>
          </rPr>
          <t>Keller, Zach:</t>
        </r>
        <r>
          <rPr>
            <sz val="10"/>
            <color rgb="FF000000"/>
            <rFont val="Tahoma"/>
            <family val="2"/>
          </rPr>
          <t xml:space="preserve">
Source: Forbes team page, historical operating income for Forbes 2019 list (Feb 2020 list; 2018–19 season, net of revenue sharing and arena debt service), https://www.forbes.com/teams/new-orleans-pelicans/</t>
        </r>
      </text>
    </comment>
    <comment ref="F23" authorId="0" shapeId="0" xr:uid="{A1C59BFF-6C3B-234A-8197-7A624AFE5A93}">
      <text>
        <r>
          <rPr>
            <b/>
            <sz val="10"/>
            <color rgb="FF000000"/>
            <rFont val="Tahoma"/>
            <family val="2"/>
          </rPr>
          <t>Keller, Zach:</t>
        </r>
        <r>
          <rPr>
            <sz val="10"/>
            <color rgb="FF000000"/>
            <rFont val="Tahoma"/>
            <family val="2"/>
          </rPr>
          <t xml:space="preserve">
Source: Forbes team page, historical operating income for Forbes 2020 list (Feb 2021 list; 2019–20 season, net of revenue sharing and arena debt service), https://www.forbes.com/teams/new-orleans-pelicans/</t>
        </r>
      </text>
    </comment>
    <comment ref="G23" authorId="0" shapeId="0" xr:uid="{DB146908-438F-2D47-941D-6E80C0F4540D}">
      <text>
        <r>
          <rPr>
            <b/>
            <sz val="10"/>
            <color rgb="FF000000"/>
            <rFont val="Tahoma"/>
            <family val="2"/>
          </rPr>
          <t>Keller, Zach:</t>
        </r>
        <r>
          <rPr>
            <sz val="10"/>
            <color rgb="FF000000"/>
            <rFont val="Tahoma"/>
            <family val="2"/>
          </rPr>
          <t xml:space="preserve">
Source: Forbes team page, historical operating income for Forbes 2021 list (Oct 2021 list; 2020–21 season, net of revenue sharing and arena debt service), https://www.forbes.com/teams/new-orleans-pelicans/</t>
        </r>
      </text>
    </comment>
    <comment ref="H23" authorId="0" shapeId="0" xr:uid="{C2EF3E86-9E1C-234B-BD93-9CA49D1104FF}">
      <text>
        <r>
          <rPr>
            <b/>
            <sz val="10"/>
            <color rgb="FF000000"/>
            <rFont val="Tahoma"/>
            <family val="2"/>
          </rPr>
          <t>Keller, Zach:</t>
        </r>
        <r>
          <rPr>
            <sz val="10"/>
            <color rgb="FF000000"/>
            <rFont val="Tahoma"/>
            <family val="2"/>
          </rPr>
          <t xml:space="preserve">
Source: Forbes team page, historical operating income for Forbes 2022 list (Oct 2022 list; 2021–22 season, net of revenue sharing and arena debt service), https://www.forbes.com/teams/new-orleans-pelicans/</t>
        </r>
      </text>
    </comment>
    <comment ref="I23" authorId="0" shapeId="0" xr:uid="{C03A38FB-27C8-9843-9576-97C5F12D4241}">
      <text>
        <r>
          <rPr>
            <b/>
            <sz val="10"/>
            <color rgb="FF000000"/>
            <rFont val="Tahoma"/>
            <family val="2"/>
          </rPr>
          <t>Keller, Zach:</t>
        </r>
        <r>
          <rPr>
            <sz val="10"/>
            <color rgb="FF000000"/>
            <rFont val="Tahoma"/>
            <family val="2"/>
          </rPr>
          <t xml:space="preserve">
Source: Forbes team page, historical operating income for Forbes 2023 list (Oct 2023 list; 2022–23 season, net of revenue sharing and arena debt service), https://www.forbes.com/teams/new-orleans-pelicans/</t>
        </r>
      </text>
    </comment>
    <comment ref="J23" authorId="0" shapeId="0" xr:uid="{B20B83B2-806A-434B-8FBE-B8860130472C}">
      <text>
        <r>
          <rPr>
            <b/>
            <sz val="10"/>
            <color rgb="FF000000"/>
            <rFont val="Tahoma"/>
            <family val="2"/>
          </rPr>
          <t>Keller, Zach:</t>
        </r>
        <r>
          <rPr>
            <sz val="10"/>
            <color rgb="FF000000"/>
            <rFont val="Tahoma"/>
            <family val="2"/>
          </rPr>
          <t xml:space="preserve">
Source: Forbes, The Most Valuable NBA Teams 2024 list article (Oct 2024; 2023–24 operating income, net of revenue sharing and arena debt service), https://www.forbes.com/sites/justinteitelbaum/2024/10/24/the-most-valuable-nba-teams-2024/</t>
        </r>
      </text>
    </comment>
    <comment ref="K23" authorId="0" shapeId="0" xr:uid="{5DAB9525-F2C3-B34A-AB3D-41B9C35FEF0F}">
      <text>
        <r>
          <rPr>
            <b/>
            <sz val="10"/>
            <color rgb="FF000000"/>
            <rFont val="Tahoma"/>
            <family val="2"/>
          </rPr>
          <t>Keller, Zach:</t>
        </r>
        <r>
          <rPr>
            <sz val="10"/>
            <color rgb="FF000000"/>
            <rFont val="Tahoma"/>
            <family val="2"/>
          </rPr>
          <t xml:space="preserve">
Source: Forbes, The Most Valuable NBA Teams 2025 list article (Oct 2025; 2024–25 operating income, net of revenue sharing and arena debt service), https://www.forbes.com/sites/justinteitelbaum/2025/10/23/the-most-valuable-nba-teams-2025/. Note: Forbes team page shows $77M for this year; list article value used.</t>
        </r>
      </text>
    </comment>
    <comment ref="B24" authorId="0" shapeId="0" xr:uid="{B73B569D-E2C1-5F43-BBF1-3181DFE9593F}">
      <text>
        <r>
          <rPr>
            <b/>
            <sz val="10"/>
            <color rgb="FF000000"/>
            <rFont val="Tahoma"/>
            <family val="2"/>
          </rPr>
          <t>Keller, Zach:</t>
        </r>
        <r>
          <rPr>
            <sz val="10"/>
            <color rgb="FF000000"/>
            <rFont val="Tahoma"/>
            <family val="2"/>
          </rPr>
          <t xml:space="preserve">
Source: Forbes team page, historical operating income for Forbes 2016 list (Feb 2017 list; 2015–16 season, net of revenue sharing and arena debt service), https://www.forbes.com/teams/new-york-knicks/</t>
        </r>
      </text>
    </comment>
    <comment ref="C24" authorId="0" shapeId="0" xr:uid="{6E2D771D-8E72-3647-A00E-4B751098BA67}">
      <text>
        <r>
          <rPr>
            <b/>
            <sz val="10"/>
            <color rgb="FF000000"/>
            <rFont val="Tahoma"/>
            <family val="2"/>
          </rPr>
          <t>Keller, Zach:</t>
        </r>
        <r>
          <rPr>
            <sz val="10"/>
            <color rgb="FF000000"/>
            <rFont val="Tahoma"/>
            <family val="2"/>
          </rPr>
          <t xml:space="preserve">
Source: Forbes team page, historical operating income for Forbes 2017 list (Feb 2018 list; 2016–17 season, net of revenue sharing and arena debt service), https://www.forbes.com/teams/new-york-knicks/</t>
        </r>
      </text>
    </comment>
    <comment ref="D24" authorId="0" shapeId="0" xr:uid="{C487B2E2-579D-C749-8956-12686244C1E8}">
      <text>
        <r>
          <rPr>
            <b/>
            <sz val="10"/>
            <color rgb="FF000000"/>
            <rFont val="Tahoma"/>
            <family val="2"/>
          </rPr>
          <t>Keller, Zach:</t>
        </r>
        <r>
          <rPr>
            <sz val="10"/>
            <color rgb="FF000000"/>
            <rFont val="Tahoma"/>
            <family val="2"/>
          </rPr>
          <t xml:space="preserve">
Source: Forbes team page, historical operating income for Forbes 2018 list (Feb 2019 list; 2017–18 season, net of revenue sharing and arena debt service), https://www.forbes.com/teams/new-york-knicks/</t>
        </r>
      </text>
    </comment>
    <comment ref="E24" authorId="0" shapeId="0" xr:uid="{BA7E9102-452C-8E4C-A609-392AC018AAEC}">
      <text>
        <r>
          <rPr>
            <b/>
            <sz val="10"/>
            <color rgb="FF000000"/>
            <rFont val="Tahoma"/>
            <family val="2"/>
          </rPr>
          <t>Keller, Zach:</t>
        </r>
        <r>
          <rPr>
            <sz val="10"/>
            <color rgb="FF000000"/>
            <rFont val="Tahoma"/>
            <family val="2"/>
          </rPr>
          <t xml:space="preserve">
Source: Forbes team page, historical operating income for Forbes 2019 list (Feb 2020 list; 2018–19 season, net of revenue sharing and arena debt service), https://www.forbes.com/teams/new-york-knicks/</t>
        </r>
      </text>
    </comment>
    <comment ref="F24" authorId="0" shapeId="0" xr:uid="{27C9E5A5-7E60-9F4D-8139-581908AF6EA7}">
      <text>
        <r>
          <rPr>
            <b/>
            <sz val="10"/>
            <color rgb="FF000000"/>
            <rFont val="Tahoma"/>
            <family val="2"/>
          </rPr>
          <t>Keller, Zach:</t>
        </r>
        <r>
          <rPr>
            <sz val="10"/>
            <color rgb="FF000000"/>
            <rFont val="Tahoma"/>
            <family val="2"/>
          </rPr>
          <t xml:space="preserve">
Source: Forbes team page, historical operating income for Forbes 2020 list (Feb 2021 list; 2019–20 season, net of revenue sharing and arena debt service), https://www.forbes.com/teams/new-york-knicks/</t>
        </r>
      </text>
    </comment>
    <comment ref="G24" authorId="0" shapeId="0" xr:uid="{7EC621BB-E6A2-964A-BB42-E083B463988C}">
      <text>
        <r>
          <rPr>
            <b/>
            <sz val="10"/>
            <color rgb="FF000000"/>
            <rFont val="Tahoma"/>
            <family val="2"/>
          </rPr>
          <t>Keller, Zach:</t>
        </r>
        <r>
          <rPr>
            <sz val="10"/>
            <color rgb="FF000000"/>
            <rFont val="Tahoma"/>
            <family val="2"/>
          </rPr>
          <t xml:space="preserve">
Source: Forbes team page, historical operating income for Forbes 2021 list (Oct 2021 list; 2020–21 season, net of revenue sharing and arena debt service), https://www.forbes.com/teams/new-york-knicks/</t>
        </r>
      </text>
    </comment>
    <comment ref="H24" authorId="0" shapeId="0" xr:uid="{A707A977-D237-DA46-9B27-49798A138245}">
      <text>
        <r>
          <rPr>
            <b/>
            <sz val="10"/>
            <color rgb="FF000000"/>
            <rFont val="Tahoma"/>
            <family val="2"/>
          </rPr>
          <t>Keller, Zach:</t>
        </r>
        <r>
          <rPr>
            <sz val="10"/>
            <color rgb="FF000000"/>
            <rFont val="Tahoma"/>
            <family val="2"/>
          </rPr>
          <t xml:space="preserve">
Source: Forbes team page, historical operating income for Forbes 2022 list (Oct 2022 list; 2021–22 season, net of revenue sharing and arena debt service), https://www.forbes.com/teams/new-york-knicks/</t>
        </r>
      </text>
    </comment>
    <comment ref="I24" authorId="0" shapeId="0" xr:uid="{1D3332A3-B25E-0241-A643-2E3193FEF9FD}">
      <text>
        <r>
          <rPr>
            <b/>
            <sz val="10"/>
            <color rgb="FF000000"/>
            <rFont val="Tahoma"/>
            <family val="2"/>
          </rPr>
          <t>Keller, Zach:</t>
        </r>
        <r>
          <rPr>
            <sz val="10"/>
            <color rgb="FF000000"/>
            <rFont val="Tahoma"/>
            <family val="2"/>
          </rPr>
          <t xml:space="preserve">
Source: Forbes team page, historical operating income for Forbes 2023 list (Oct 2023 list; 2022–23 season, net of revenue sharing and arena debt service), https://www.forbes.com/teams/new-york-knicks/</t>
        </r>
      </text>
    </comment>
    <comment ref="J24" authorId="0" shapeId="0" xr:uid="{F6BE36D2-9D10-0742-89BA-BC0C397F1B47}">
      <text>
        <r>
          <rPr>
            <b/>
            <sz val="10"/>
            <color rgb="FF000000"/>
            <rFont val="Tahoma"/>
            <family val="2"/>
          </rPr>
          <t>Keller, Zach:</t>
        </r>
        <r>
          <rPr>
            <sz val="10"/>
            <color rgb="FF000000"/>
            <rFont val="Tahoma"/>
            <family val="2"/>
          </rPr>
          <t xml:space="preserve">
Source: Forbes, The Most Valuable NBA Teams 2024 list article (Oct 2024; 2023–24 operating income, net of revenue sharing and arena debt service), https://www.forbes.com/sites/justinteitelbaum/2024/10/24/the-most-valuable-nba-teams-2024/</t>
        </r>
      </text>
    </comment>
    <comment ref="K24" authorId="0" shapeId="0" xr:uid="{EC4093BC-5941-8A48-AA91-0867D14FB3EA}">
      <text>
        <r>
          <rPr>
            <b/>
            <sz val="10"/>
            <color rgb="FF000000"/>
            <rFont val="Tahoma"/>
            <family val="2"/>
          </rPr>
          <t>Keller, Zach:</t>
        </r>
        <r>
          <rPr>
            <sz val="10"/>
            <color rgb="FF000000"/>
            <rFont val="Tahoma"/>
            <family val="2"/>
          </rPr>
          <t xml:space="preserve">
Source: Forbes, The Most Valuable NBA Teams 2025 list article (Oct 2025; 2024–25 operating income, net of revenue sharing and arena debt service), https://www.forbes.com/sites/justinteitelbaum/2025/10/23/the-most-valuable-nba-teams-2025/</t>
        </r>
      </text>
    </comment>
    <comment ref="B25" authorId="0" shapeId="0" xr:uid="{E37B8743-4C33-F34A-8005-5C72B8592DDB}">
      <text>
        <r>
          <rPr>
            <b/>
            <sz val="10"/>
            <color rgb="FF000000"/>
            <rFont val="Tahoma"/>
            <family val="2"/>
          </rPr>
          <t>Keller, Zach:</t>
        </r>
        <r>
          <rPr>
            <sz val="10"/>
            <color rgb="FF000000"/>
            <rFont val="Tahoma"/>
            <family val="2"/>
          </rPr>
          <t xml:space="preserve">
Source: Forbes team page, historical operating income for Forbes 2016 list (Feb 2017 list; 2015–16 season, net of revenue sharing and arena debt service), https://www.forbes.com/teams/oklahoma-city-thunder/</t>
        </r>
      </text>
    </comment>
    <comment ref="C25" authorId="0" shapeId="0" xr:uid="{A90E31F5-A58C-034D-BBA5-0BEF20ACC28E}">
      <text>
        <r>
          <rPr>
            <b/>
            <sz val="10"/>
            <color rgb="FF000000"/>
            <rFont val="Tahoma"/>
            <family val="2"/>
          </rPr>
          <t>Keller, Zach:</t>
        </r>
        <r>
          <rPr>
            <sz val="10"/>
            <color rgb="FF000000"/>
            <rFont val="Tahoma"/>
            <family val="2"/>
          </rPr>
          <t xml:space="preserve">
Source: Forbes team page, historical operating income for Forbes 2017 list (Feb 2018 list; 2016–17 season, net of revenue sharing and arena debt service), https://www.forbes.com/teams/oklahoma-city-thunder/</t>
        </r>
      </text>
    </comment>
    <comment ref="D25" authorId="0" shapeId="0" xr:uid="{1E0A1A90-8202-4543-AB80-CE63200CF0B2}">
      <text>
        <r>
          <rPr>
            <b/>
            <sz val="10"/>
            <color rgb="FF000000"/>
            <rFont val="Tahoma"/>
            <family val="2"/>
          </rPr>
          <t>Keller, Zach:</t>
        </r>
        <r>
          <rPr>
            <sz val="10"/>
            <color rgb="FF000000"/>
            <rFont val="Tahoma"/>
            <family val="2"/>
          </rPr>
          <t xml:space="preserve">
Source: Forbes team page, historical operating income for Forbes 2018 list (Feb 2019 list; 2017–18 season, net of revenue sharing and arena debt service), https://www.forbes.com/teams/oklahoma-city-thunder/</t>
        </r>
      </text>
    </comment>
    <comment ref="E25" authorId="0" shapeId="0" xr:uid="{12823018-B646-264E-A4E9-34E5028508E7}">
      <text>
        <r>
          <rPr>
            <b/>
            <sz val="10"/>
            <color rgb="FF000000"/>
            <rFont val="Tahoma"/>
            <family val="2"/>
          </rPr>
          <t>Keller, Zach:</t>
        </r>
        <r>
          <rPr>
            <sz val="10"/>
            <color rgb="FF000000"/>
            <rFont val="Tahoma"/>
            <family val="2"/>
          </rPr>
          <t xml:space="preserve">
Source: Forbes team page, historical operating income for Forbes 2019 list (Feb 2020 list; 2018–19 season, net of revenue sharing and arena debt service), https://www.forbes.com/teams/oklahoma-city-thunder/</t>
        </r>
      </text>
    </comment>
    <comment ref="F25" authorId="0" shapeId="0" xr:uid="{AFCFCFE2-655D-594E-973F-727224118C7C}">
      <text>
        <r>
          <rPr>
            <b/>
            <sz val="10"/>
            <color rgb="FF000000"/>
            <rFont val="Tahoma"/>
            <family val="2"/>
          </rPr>
          <t>Keller, Zach:</t>
        </r>
        <r>
          <rPr>
            <sz val="10"/>
            <color rgb="FF000000"/>
            <rFont val="Tahoma"/>
            <family val="2"/>
          </rPr>
          <t xml:space="preserve">
Source: Forbes team page, historical operating income for Forbes 2020 list (Feb 2021 list; 2019–20 season, net of revenue sharing and arena debt service), https://www.forbes.com/teams/oklahoma-city-thunder/</t>
        </r>
      </text>
    </comment>
    <comment ref="G25" authorId="0" shapeId="0" xr:uid="{7B839E19-4125-7848-8AAA-029801ACABB4}">
      <text>
        <r>
          <rPr>
            <b/>
            <sz val="10"/>
            <color rgb="FF000000"/>
            <rFont val="Tahoma"/>
            <family val="2"/>
          </rPr>
          <t>Keller, Zach:</t>
        </r>
        <r>
          <rPr>
            <sz val="10"/>
            <color rgb="FF000000"/>
            <rFont val="Tahoma"/>
            <family val="2"/>
          </rPr>
          <t xml:space="preserve">
Source: Forbes team page, historical operating income for Forbes 2021 list (Oct 2021 list; 2020–21 season, net of revenue sharing and arena debt service), https://www.forbes.com/teams/oklahoma-city-thunder/</t>
        </r>
      </text>
    </comment>
    <comment ref="H25" authorId="0" shapeId="0" xr:uid="{335E66EB-E7C8-4142-B606-316A1E1DD98C}">
      <text>
        <r>
          <rPr>
            <b/>
            <sz val="10"/>
            <color rgb="FF000000"/>
            <rFont val="Tahoma"/>
            <family val="2"/>
          </rPr>
          <t>Keller, Zach:</t>
        </r>
        <r>
          <rPr>
            <sz val="10"/>
            <color rgb="FF000000"/>
            <rFont val="Tahoma"/>
            <family val="2"/>
          </rPr>
          <t xml:space="preserve">
Source: Forbes team page, historical operating income for Forbes 2022 list (Oct 2022 list; 2021–22 season, net of revenue sharing and arena debt service), https://www.forbes.com/teams/oklahoma-city-thunder/</t>
        </r>
      </text>
    </comment>
    <comment ref="I25" authorId="0" shapeId="0" xr:uid="{99B4E935-3486-0B4E-AACD-B789BD556193}">
      <text>
        <r>
          <rPr>
            <b/>
            <sz val="10"/>
            <color rgb="FF000000"/>
            <rFont val="Tahoma"/>
            <family val="2"/>
          </rPr>
          <t>Keller, Zach:</t>
        </r>
        <r>
          <rPr>
            <sz val="10"/>
            <color rgb="FF000000"/>
            <rFont val="Tahoma"/>
            <family val="2"/>
          </rPr>
          <t xml:space="preserve">
Source: Forbes team page, historical operating income for Forbes 2023 list (Oct 2023 list; 2022–23 season, net of revenue sharing and arena debt service), https://www.forbes.com/teams/oklahoma-city-thunder/</t>
        </r>
      </text>
    </comment>
    <comment ref="J25" authorId="0" shapeId="0" xr:uid="{4C013E5E-D789-6A42-A70B-F2D280953577}">
      <text>
        <r>
          <rPr>
            <b/>
            <sz val="10"/>
            <color rgb="FF000000"/>
            <rFont val="Tahoma"/>
            <family val="2"/>
          </rPr>
          <t>Keller, Zach:</t>
        </r>
        <r>
          <rPr>
            <sz val="10"/>
            <color rgb="FF000000"/>
            <rFont val="Tahoma"/>
            <family val="2"/>
          </rPr>
          <t xml:space="preserve">
Source: Forbes, The Most Valuable NBA Teams 2024 list article (Oct 2024; 2023–24 operating income, net of revenue sharing and arena debt service), https://www.forbes.com/sites/justinteitelbaum/2024/10/24/the-most-valuable-nba-teams-2024/</t>
        </r>
      </text>
    </comment>
    <comment ref="K25" authorId="0" shapeId="0" xr:uid="{75BA629D-0D6C-DA42-A4D6-F2D70A005238}">
      <text>
        <r>
          <rPr>
            <b/>
            <sz val="10"/>
            <color rgb="FF000000"/>
            <rFont val="Tahoma"/>
            <family val="2"/>
          </rPr>
          <t>Keller, Zach:</t>
        </r>
        <r>
          <rPr>
            <sz val="10"/>
            <color rgb="FF000000"/>
            <rFont val="Tahoma"/>
            <family val="2"/>
          </rPr>
          <t xml:space="preserve">
Source: Forbes, The Most Valuable NBA Teams 2025 list article (Oct 2025; 2024–25 operating income, net of revenue sharing and arena debt service), https://www.forbes.com/sites/justinteitelbaum/2025/10/23/the-most-valuable-nba-teams-2025/</t>
        </r>
      </text>
    </comment>
    <comment ref="B26" authorId="0" shapeId="0" xr:uid="{9173D529-5480-E74E-81EC-2ABE336BAF55}">
      <text>
        <r>
          <rPr>
            <b/>
            <sz val="10"/>
            <color rgb="FF000000"/>
            <rFont val="Tahoma"/>
            <family val="2"/>
          </rPr>
          <t>Keller, Zach:</t>
        </r>
        <r>
          <rPr>
            <sz val="10"/>
            <color rgb="FF000000"/>
            <rFont val="Tahoma"/>
            <family val="2"/>
          </rPr>
          <t xml:space="preserve">
Source: Forbes team page, historical operating income for Forbes 2016 list (Feb 2017 list; 2015–16 season, net of revenue sharing and arena debt service), https://www.forbes.com/teams/orlando-magic/</t>
        </r>
      </text>
    </comment>
    <comment ref="C26" authorId="0" shapeId="0" xr:uid="{F8BA397C-0363-E14F-9DAA-F7C34AEC5496}">
      <text>
        <r>
          <rPr>
            <b/>
            <sz val="10"/>
            <color rgb="FF000000"/>
            <rFont val="Tahoma"/>
            <family val="2"/>
          </rPr>
          <t>Keller, Zach:</t>
        </r>
        <r>
          <rPr>
            <sz val="10"/>
            <color rgb="FF000000"/>
            <rFont val="Tahoma"/>
            <family val="2"/>
          </rPr>
          <t xml:space="preserve">
Source: Forbes team page, historical operating income for Forbes 2017 list (Feb 2018 list; 2016–17 season, net of revenue sharing and arena debt service), https://www.forbes.com/teams/orlando-magic/</t>
        </r>
      </text>
    </comment>
    <comment ref="D26" authorId="0" shapeId="0" xr:uid="{817EA4CE-CE02-224E-A3B8-3D6BB7A65730}">
      <text>
        <r>
          <rPr>
            <b/>
            <sz val="10"/>
            <color rgb="FF000000"/>
            <rFont val="Tahoma"/>
            <family val="2"/>
          </rPr>
          <t>Keller, Zach:</t>
        </r>
        <r>
          <rPr>
            <sz val="10"/>
            <color rgb="FF000000"/>
            <rFont val="Tahoma"/>
            <family val="2"/>
          </rPr>
          <t xml:space="preserve">
Source: Forbes team page, historical operating income for Forbes 2018 list (Feb 2019 list; 2017–18 season, net of revenue sharing and arena debt service), https://www.forbes.com/teams/orlando-magic/</t>
        </r>
      </text>
    </comment>
    <comment ref="E26" authorId="0" shapeId="0" xr:uid="{C2B9988D-4544-EC4E-928E-CBF0E1CF8941}">
      <text>
        <r>
          <rPr>
            <b/>
            <sz val="10"/>
            <color rgb="FF000000"/>
            <rFont val="Tahoma"/>
            <family val="2"/>
          </rPr>
          <t>Keller, Zach:</t>
        </r>
        <r>
          <rPr>
            <sz val="10"/>
            <color rgb="FF000000"/>
            <rFont val="Tahoma"/>
            <family val="2"/>
          </rPr>
          <t xml:space="preserve">
Source: Forbes team page, historical operating income for Forbes 2019 list (Feb 2020 list; 2018–19 season, net of revenue sharing and arena debt service), https://www.forbes.com/teams/orlando-magic/</t>
        </r>
      </text>
    </comment>
    <comment ref="F26" authorId="0" shapeId="0" xr:uid="{49995CFC-5A30-A643-9E31-C3865421FE2A}">
      <text>
        <r>
          <rPr>
            <b/>
            <sz val="10"/>
            <color rgb="FF000000"/>
            <rFont val="Tahoma"/>
            <family val="2"/>
          </rPr>
          <t>Keller, Zach:</t>
        </r>
        <r>
          <rPr>
            <sz val="10"/>
            <color rgb="FF000000"/>
            <rFont val="Tahoma"/>
            <family val="2"/>
          </rPr>
          <t xml:space="preserve">
Source: Forbes team page, historical operating income for Forbes 2020 list (Feb 2021 list; 2019–20 season, net of revenue sharing and arena debt service), https://www.forbes.com/teams/orlando-magic/</t>
        </r>
      </text>
    </comment>
    <comment ref="G26" authorId="0" shapeId="0" xr:uid="{11BFD52D-FFA4-BE48-8721-33D61E2CA294}">
      <text>
        <r>
          <rPr>
            <b/>
            <sz val="10"/>
            <color rgb="FF000000"/>
            <rFont val="Tahoma"/>
            <family val="2"/>
          </rPr>
          <t>Keller, Zach:</t>
        </r>
        <r>
          <rPr>
            <sz val="10"/>
            <color rgb="FF000000"/>
            <rFont val="Tahoma"/>
            <family val="2"/>
          </rPr>
          <t xml:space="preserve">
Source: Forbes team page, historical operating income for Forbes 2021 list (Oct 2021 list; 2020–21 season, net of revenue sharing and arena debt service), https://www.forbes.com/teams/orlando-magic/</t>
        </r>
      </text>
    </comment>
    <comment ref="H26" authorId="0" shapeId="0" xr:uid="{D2A53FA2-D547-6343-8F5F-AE5B54974F61}">
      <text>
        <r>
          <rPr>
            <b/>
            <sz val="10"/>
            <color rgb="FF000000"/>
            <rFont val="Tahoma"/>
            <family val="2"/>
          </rPr>
          <t>Keller, Zach:</t>
        </r>
        <r>
          <rPr>
            <sz val="10"/>
            <color rgb="FF000000"/>
            <rFont val="Tahoma"/>
            <family val="2"/>
          </rPr>
          <t xml:space="preserve">
Source: Forbes team page, historical operating income for Forbes 2022 list (Oct 2022 list; 2021–22 season, net of revenue sharing and arena debt service), https://www.forbes.com/teams/orlando-magic/</t>
        </r>
      </text>
    </comment>
    <comment ref="I26" authorId="0" shapeId="0" xr:uid="{1641A1BA-9417-CD4C-AE25-2927B2BDD814}">
      <text>
        <r>
          <rPr>
            <b/>
            <sz val="10"/>
            <color rgb="FF000000"/>
            <rFont val="Tahoma"/>
            <family val="2"/>
          </rPr>
          <t>Keller, Zach:</t>
        </r>
        <r>
          <rPr>
            <sz val="10"/>
            <color rgb="FF000000"/>
            <rFont val="Tahoma"/>
            <family val="2"/>
          </rPr>
          <t xml:space="preserve">
Source: Forbes team page, historical operating income for Forbes 2023 list (Oct 2023 list; 2022–23 season, net of revenue sharing and arena debt service), https://www.forbes.com/teams/orlando-magic/</t>
        </r>
      </text>
    </comment>
    <comment ref="J26" authorId="0" shapeId="0" xr:uid="{3D1944A2-6E74-4948-A7AD-C03EA1E0E47F}">
      <text>
        <r>
          <rPr>
            <b/>
            <sz val="10"/>
            <color rgb="FF000000"/>
            <rFont val="Tahoma"/>
            <family val="2"/>
          </rPr>
          <t>Keller, Zach:</t>
        </r>
        <r>
          <rPr>
            <sz val="10"/>
            <color rgb="FF000000"/>
            <rFont val="Tahoma"/>
            <family val="2"/>
          </rPr>
          <t xml:space="preserve">
Source: Forbes, The Most Valuable NBA Teams 2024 list article (Oct 2024; 2023–24 operating income, net of revenue sharing and arena debt service), https://www.forbes.com/sites/justinteitelbaum/2024/10/24/the-most-valuable-nba-teams-2024/</t>
        </r>
      </text>
    </comment>
    <comment ref="K26" authorId="0" shapeId="0" xr:uid="{EDF1C0BC-71C7-2842-B0DA-05190CA917C9}">
      <text>
        <r>
          <rPr>
            <b/>
            <sz val="10"/>
            <color rgb="FF000000"/>
            <rFont val="Tahoma"/>
            <family val="2"/>
          </rPr>
          <t>Keller, Zach:</t>
        </r>
        <r>
          <rPr>
            <sz val="10"/>
            <color rgb="FF000000"/>
            <rFont val="Tahoma"/>
            <family val="2"/>
          </rPr>
          <t xml:space="preserve">
Source: Forbes, The Most Valuable NBA Teams 2025 list article (Oct 2025; 2024–25 operating income, net of revenue sharing and arena debt service), https://www.forbes.com/sites/justinteitelbaum/2025/10/23/the-most-valuable-nba-teams-2025/</t>
        </r>
      </text>
    </comment>
    <comment ref="B27" authorId="0" shapeId="0" xr:uid="{05655BCE-A072-004E-9CF3-2839D171EA39}">
      <text>
        <r>
          <rPr>
            <b/>
            <sz val="10"/>
            <color rgb="FF000000"/>
            <rFont val="Tahoma"/>
            <family val="2"/>
          </rPr>
          <t>Keller, Zach:</t>
        </r>
        <r>
          <rPr>
            <sz val="10"/>
            <color rgb="FF000000"/>
            <rFont val="Tahoma"/>
            <family val="2"/>
          </rPr>
          <t xml:space="preserve">
Source: Forbes team page, historical operating income for Forbes 2016 list (Feb 2017 list; 2015–16 season, net of revenue sharing and arena debt service), https://www.forbes.com/teams/philadelphia-76ers/</t>
        </r>
      </text>
    </comment>
    <comment ref="C27" authorId="0" shapeId="0" xr:uid="{D87AD818-DE04-D040-825B-734433715DBD}">
      <text>
        <r>
          <rPr>
            <b/>
            <sz val="10"/>
            <color rgb="FF000000"/>
            <rFont val="Tahoma"/>
            <family val="2"/>
          </rPr>
          <t>Keller, Zach:</t>
        </r>
        <r>
          <rPr>
            <sz val="10"/>
            <color rgb="FF000000"/>
            <rFont val="Tahoma"/>
            <family val="2"/>
          </rPr>
          <t xml:space="preserve">
Source: Forbes team page, historical operating income for Forbes 2017 list (Feb 2018 list; 2016–17 season, net of revenue sharing and arena debt service), https://www.forbes.com/teams/philadelphia-76ers/</t>
        </r>
      </text>
    </comment>
    <comment ref="D27" authorId="0" shapeId="0" xr:uid="{9DDBC898-9178-D84B-BD64-99ABFFF97562}">
      <text>
        <r>
          <rPr>
            <b/>
            <sz val="10"/>
            <color rgb="FF000000"/>
            <rFont val="Tahoma"/>
            <family val="2"/>
          </rPr>
          <t>Keller, Zach:</t>
        </r>
        <r>
          <rPr>
            <sz val="10"/>
            <color rgb="FF000000"/>
            <rFont val="Tahoma"/>
            <family val="2"/>
          </rPr>
          <t xml:space="preserve">
Source: Forbes team page, historical operating income for Forbes 2018 list (Feb 2019 list; 2017–18 season, net of revenue sharing and arena debt service), https://www.forbes.com/teams/philadelphia-76ers/</t>
        </r>
      </text>
    </comment>
    <comment ref="E27" authorId="0" shapeId="0" xr:uid="{5CF42799-8FDF-AC46-85A1-BFDC656BB3FE}">
      <text>
        <r>
          <rPr>
            <b/>
            <sz val="10"/>
            <color rgb="FF000000"/>
            <rFont val="Tahoma"/>
            <family val="2"/>
          </rPr>
          <t>Keller, Zach:</t>
        </r>
        <r>
          <rPr>
            <sz val="10"/>
            <color rgb="FF000000"/>
            <rFont val="Tahoma"/>
            <family val="2"/>
          </rPr>
          <t xml:space="preserve">
Source: Forbes team page, historical operating income for Forbes 2019 list (Feb 2020 list; 2018–19 season, net of revenue sharing and arena debt service), https://www.forbes.com/teams/philadelphia-76ers/</t>
        </r>
      </text>
    </comment>
    <comment ref="F27" authorId="0" shapeId="0" xr:uid="{B160BA90-D9B8-DB4D-8F7B-E03295FB9650}">
      <text>
        <r>
          <rPr>
            <b/>
            <sz val="10"/>
            <color rgb="FF000000"/>
            <rFont val="Tahoma"/>
            <family val="2"/>
          </rPr>
          <t>Keller, Zach:</t>
        </r>
        <r>
          <rPr>
            <sz val="10"/>
            <color rgb="FF000000"/>
            <rFont val="Tahoma"/>
            <family val="2"/>
          </rPr>
          <t xml:space="preserve">
Source: Forbes team page, historical operating income for Forbes 2020 list (Feb 2021 list; 2019–20 season, net of revenue sharing and arena debt service), https://www.forbes.com/teams/philadelphia-76ers/</t>
        </r>
      </text>
    </comment>
    <comment ref="G27" authorId="0" shapeId="0" xr:uid="{96F32894-571B-994D-A305-E855F106F6F6}">
      <text>
        <r>
          <rPr>
            <b/>
            <sz val="10"/>
            <color rgb="FF000000"/>
            <rFont val="Tahoma"/>
            <family val="2"/>
          </rPr>
          <t>Keller, Zach:</t>
        </r>
        <r>
          <rPr>
            <sz val="10"/>
            <color rgb="FF000000"/>
            <rFont val="Tahoma"/>
            <family val="2"/>
          </rPr>
          <t xml:space="preserve">
Source: Forbes team page, historical operating income for Forbes 2021 list (Oct 2021 list; 2020–21 season, net of revenue sharing and arena debt service), https://www.forbes.com/teams/philadelphia-76ers/</t>
        </r>
      </text>
    </comment>
    <comment ref="H27" authorId="0" shapeId="0" xr:uid="{F04D1FEA-40CE-8B49-9F57-63B3F6F90E7D}">
      <text>
        <r>
          <rPr>
            <b/>
            <sz val="10"/>
            <color rgb="FF000000"/>
            <rFont val="Tahoma"/>
            <family val="2"/>
          </rPr>
          <t>Keller, Zach:</t>
        </r>
        <r>
          <rPr>
            <sz val="10"/>
            <color rgb="FF000000"/>
            <rFont val="Tahoma"/>
            <family val="2"/>
          </rPr>
          <t xml:space="preserve">
Source: Forbes team page, historical operating income for Forbes 2022 list (Oct 2022 list; 2021–22 season, net of revenue sharing and arena debt service), https://www.forbes.com/teams/philadelphia-76ers/</t>
        </r>
      </text>
    </comment>
    <comment ref="I27" authorId="0" shapeId="0" xr:uid="{22EAD3F1-A6AA-6740-B1FB-2CA1DFC36C27}">
      <text>
        <r>
          <rPr>
            <b/>
            <sz val="10"/>
            <color rgb="FF000000"/>
            <rFont val="Tahoma"/>
            <family val="2"/>
          </rPr>
          <t>Keller, Zach:</t>
        </r>
        <r>
          <rPr>
            <sz val="10"/>
            <color rgb="FF000000"/>
            <rFont val="Tahoma"/>
            <family val="2"/>
          </rPr>
          <t xml:space="preserve">
Source: Forbes team page, historical operating income for Forbes 2023 list (Oct 2023 list; 2022–23 season, net of revenue sharing and arena debt service), https://www.forbes.com/teams/philadelphia-76ers/</t>
        </r>
      </text>
    </comment>
    <comment ref="J27" authorId="0" shapeId="0" xr:uid="{6CEE4B35-EB2F-914D-98FF-F89E5FBC3F9E}">
      <text>
        <r>
          <rPr>
            <b/>
            <sz val="10"/>
            <color rgb="FF000000"/>
            <rFont val="Tahoma"/>
            <family val="2"/>
          </rPr>
          <t>Keller, Zach:</t>
        </r>
        <r>
          <rPr>
            <sz val="10"/>
            <color rgb="FF000000"/>
            <rFont val="Tahoma"/>
            <family val="2"/>
          </rPr>
          <t xml:space="preserve">
Source: Forbes, The Most Valuable NBA Teams 2024 list article (Oct 2024; 2023–24 operating income, net of revenue sharing and arena debt service), https://www.forbes.com/sites/justinteitelbaum/2024/10/24/the-most-valuable-nba-teams-2024/</t>
        </r>
      </text>
    </comment>
    <comment ref="K27" authorId="0" shapeId="0" xr:uid="{7C43E69D-A0EF-524D-A0D0-27E2D6D55CC6}">
      <text>
        <r>
          <rPr>
            <b/>
            <sz val="10"/>
            <color rgb="FF000000"/>
            <rFont val="Tahoma"/>
            <family val="2"/>
          </rPr>
          <t>Keller, Zach:</t>
        </r>
        <r>
          <rPr>
            <sz val="10"/>
            <color rgb="FF000000"/>
            <rFont val="Tahoma"/>
            <family val="2"/>
          </rPr>
          <t xml:space="preserve">
Source: Forbes, The Most Valuable NBA Teams 2025 list article (Oct 2025; 2024–25 operating income, net of revenue sharing and arena debt service), https://www.forbes.com/sites/justinteitelbaum/2025/10/23/the-most-valuable-nba-teams-2025/</t>
        </r>
      </text>
    </comment>
    <comment ref="B28" authorId="0" shapeId="0" xr:uid="{03DE927F-0DB4-FC4B-B368-5643E59167E2}">
      <text>
        <r>
          <rPr>
            <b/>
            <sz val="10"/>
            <color rgb="FF000000"/>
            <rFont val="Tahoma"/>
            <family val="2"/>
          </rPr>
          <t>Keller, Zach:</t>
        </r>
        <r>
          <rPr>
            <sz val="10"/>
            <color rgb="FF000000"/>
            <rFont val="Tahoma"/>
            <family val="2"/>
          </rPr>
          <t xml:space="preserve">
Source: Forbes team page, historical operating income for Forbes 2016 list (Feb 2017 list; 2015–16 season, net of revenue sharing and arena debt service), https://www.forbes.com/teams/phoenix-suns/</t>
        </r>
      </text>
    </comment>
    <comment ref="C28" authorId="0" shapeId="0" xr:uid="{F68BBEC2-8EEA-6547-9B1C-220EBA7A4015}">
      <text>
        <r>
          <rPr>
            <b/>
            <sz val="10"/>
            <color rgb="FF000000"/>
            <rFont val="Tahoma"/>
            <family val="2"/>
          </rPr>
          <t>Keller, Zach:</t>
        </r>
        <r>
          <rPr>
            <sz val="10"/>
            <color rgb="FF000000"/>
            <rFont val="Tahoma"/>
            <family val="2"/>
          </rPr>
          <t xml:space="preserve">
Source: Forbes team page, historical operating income for Forbes 2017 list (Feb 2018 list; 2016–17 season, net of revenue sharing and arena debt service), https://www.forbes.com/teams/phoenix-suns/</t>
        </r>
      </text>
    </comment>
    <comment ref="D28" authorId="0" shapeId="0" xr:uid="{732CF8F9-0515-E047-B9A3-EC44F3864B66}">
      <text>
        <r>
          <rPr>
            <b/>
            <sz val="10"/>
            <color rgb="FF000000"/>
            <rFont val="Tahoma"/>
            <family val="2"/>
          </rPr>
          <t>Keller, Zach:</t>
        </r>
        <r>
          <rPr>
            <sz val="10"/>
            <color rgb="FF000000"/>
            <rFont val="Tahoma"/>
            <family val="2"/>
          </rPr>
          <t xml:space="preserve">
Source: Forbes team page, historical operating income for Forbes 2018 list (Feb 2019 list; 2017–18 season, net of revenue sharing and arena debt service), https://www.forbes.com/teams/phoenix-suns/</t>
        </r>
      </text>
    </comment>
    <comment ref="E28" authorId="0" shapeId="0" xr:uid="{EB68CBDD-F84D-8F45-B74B-7E04B69F91ED}">
      <text>
        <r>
          <rPr>
            <b/>
            <sz val="10"/>
            <color rgb="FF000000"/>
            <rFont val="Tahoma"/>
            <family val="2"/>
          </rPr>
          <t>Keller, Zach:</t>
        </r>
        <r>
          <rPr>
            <sz val="10"/>
            <color rgb="FF000000"/>
            <rFont val="Tahoma"/>
            <family val="2"/>
          </rPr>
          <t xml:space="preserve">
Source: Forbes team page, historical operating income for Forbes 2019 list (Feb 2020 list; 2018–19 season, net of revenue sharing and arena debt service), https://www.forbes.com/teams/phoenix-suns/</t>
        </r>
      </text>
    </comment>
    <comment ref="F28" authorId="0" shapeId="0" xr:uid="{82C5668D-B351-694D-8746-9E9EEA83D91C}">
      <text>
        <r>
          <rPr>
            <b/>
            <sz val="10"/>
            <color rgb="FF000000"/>
            <rFont val="Tahoma"/>
            <family val="2"/>
          </rPr>
          <t>Keller, Zach:</t>
        </r>
        <r>
          <rPr>
            <sz val="10"/>
            <color rgb="FF000000"/>
            <rFont val="Tahoma"/>
            <family val="2"/>
          </rPr>
          <t xml:space="preserve">
Source: Forbes team page, historical operating income for Forbes 2020 list (Feb 2021 list; 2019–20 season, net of revenue sharing and arena debt service), https://www.forbes.com/teams/phoenix-suns/</t>
        </r>
      </text>
    </comment>
    <comment ref="G28" authorId="0" shapeId="0" xr:uid="{718E7F8B-05CF-E44F-A742-0BA028A9DEE2}">
      <text>
        <r>
          <rPr>
            <b/>
            <sz val="10"/>
            <color rgb="FF000000"/>
            <rFont val="Tahoma"/>
            <family val="2"/>
          </rPr>
          <t>Keller, Zach:</t>
        </r>
        <r>
          <rPr>
            <sz val="10"/>
            <color rgb="FF000000"/>
            <rFont val="Tahoma"/>
            <family val="2"/>
          </rPr>
          <t xml:space="preserve">
Source: Forbes team page, historical operating income for Forbes 2021 list (Oct 2021 list; 2020–21 season, net of revenue sharing and arena debt service), https://www.forbes.com/teams/phoenix-suns/</t>
        </r>
      </text>
    </comment>
    <comment ref="H28" authorId="0" shapeId="0" xr:uid="{86FE0F2D-6202-CD47-861B-4D0CD8CA7C71}">
      <text>
        <r>
          <rPr>
            <b/>
            <sz val="10"/>
            <color rgb="FF000000"/>
            <rFont val="Tahoma"/>
            <family val="2"/>
          </rPr>
          <t>Keller, Zach:</t>
        </r>
        <r>
          <rPr>
            <sz val="10"/>
            <color rgb="FF000000"/>
            <rFont val="Tahoma"/>
            <family val="2"/>
          </rPr>
          <t xml:space="preserve">
Source: Forbes team page, historical operating income for Forbes 2022 list (Oct 2022 list; 2021–22 season, net of revenue sharing and arena debt service), https://www.forbes.com/teams/phoenix-suns/</t>
        </r>
      </text>
    </comment>
    <comment ref="I28" authorId="0" shapeId="0" xr:uid="{407C1905-5D29-704A-B989-827308C6D034}">
      <text>
        <r>
          <rPr>
            <b/>
            <sz val="10"/>
            <color rgb="FF000000"/>
            <rFont val="Tahoma"/>
            <family val="2"/>
          </rPr>
          <t>Keller, Zach:</t>
        </r>
        <r>
          <rPr>
            <sz val="10"/>
            <color rgb="FF000000"/>
            <rFont val="Tahoma"/>
            <family val="2"/>
          </rPr>
          <t xml:space="preserve">
Source: Forbes team page, historical operating income for Forbes 2023 list (Oct 2023 list; 2022–23 season, net of revenue sharing and arena debt service), https://www.forbes.com/teams/phoenix-suns/</t>
        </r>
      </text>
    </comment>
    <comment ref="J28" authorId="0" shapeId="0" xr:uid="{5563D5F1-2AEF-A84F-812B-6211FF232BB4}">
      <text>
        <r>
          <rPr>
            <b/>
            <sz val="10"/>
            <color rgb="FF000000"/>
            <rFont val="Tahoma"/>
            <family val="2"/>
          </rPr>
          <t>Keller, Zach:</t>
        </r>
        <r>
          <rPr>
            <sz val="10"/>
            <color rgb="FF000000"/>
            <rFont val="Tahoma"/>
            <family val="2"/>
          </rPr>
          <t xml:space="preserve">
Source: Forbes, The Most Valuable NBA Teams 2024 list article (Oct 2024; 2023–24 operating income, net of revenue sharing and arena debt service), https://www.forbes.com/sites/justinteitelbaum/2024/10/24/the-most-valuable-nba-teams-2024/</t>
        </r>
      </text>
    </comment>
    <comment ref="K28" authorId="0" shapeId="0" xr:uid="{9B9F658B-8102-334E-8C8B-CF12189E25A6}">
      <text>
        <r>
          <rPr>
            <b/>
            <sz val="10"/>
            <color rgb="FF000000"/>
            <rFont val="Tahoma"/>
            <family val="2"/>
          </rPr>
          <t>Keller, Zach:</t>
        </r>
        <r>
          <rPr>
            <sz val="10"/>
            <color rgb="FF000000"/>
            <rFont val="Tahoma"/>
            <family val="2"/>
          </rPr>
          <t xml:space="preserve">
Source: Forbes, The Most Valuable NBA Teams 2025 list article (Oct 2025; 2024–25 operating income, net of revenue sharing and arena debt service), https://www.forbes.com/sites/justinteitelbaum/2025/10/23/the-most-valuable-nba-teams-2025/</t>
        </r>
      </text>
    </comment>
    <comment ref="B29" authorId="0" shapeId="0" xr:uid="{B140C89D-66F1-DA4B-AABF-8FE98445E91B}">
      <text>
        <r>
          <rPr>
            <b/>
            <sz val="10"/>
            <color rgb="FF000000"/>
            <rFont val="Tahoma"/>
            <family val="2"/>
          </rPr>
          <t>Keller, Zach:</t>
        </r>
        <r>
          <rPr>
            <sz val="10"/>
            <color rgb="FF000000"/>
            <rFont val="Tahoma"/>
            <family val="2"/>
          </rPr>
          <t xml:space="preserve">
Source: Forbes team page, historical operating income for Forbes 2016 list (Feb 2017 list; 2015–16 season, net of revenue sharing and arena debt service), https://www.forbes.com/teams/portland-trail-blazers/</t>
        </r>
      </text>
    </comment>
    <comment ref="C29" authorId="0" shapeId="0" xr:uid="{BF6D83CB-7106-A145-867B-487388CA0201}">
      <text>
        <r>
          <rPr>
            <b/>
            <sz val="10"/>
            <color rgb="FF000000"/>
            <rFont val="Tahoma"/>
            <family val="2"/>
          </rPr>
          <t>Keller, Zach:</t>
        </r>
        <r>
          <rPr>
            <sz val="10"/>
            <color rgb="FF000000"/>
            <rFont val="Tahoma"/>
            <family val="2"/>
          </rPr>
          <t xml:space="preserve">
Source: Forbes team page, historical operating income for Forbes 2017 list (Feb 2018 list; 2016–17 season, net of revenue sharing and arena debt service), https://www.forbes.com/teams/portland-trail-blazers/</t>
        </r>
      </text>
    </comment>
    <comment ref="D29" authorId="0" shapeId="0" xr:uid="{1EBBE608-981D-9545-85CA-D5C71C471633}">
      <text>
        <r>
          <rPr>
            <b/>
            <sz val="10"/>
            <color rgb="FF000000"/>
            <rFont val="Tahoma"/>
            <family val="2"/>
          </rPr>
          <t>Keller, Zach:</t>
        </r>
        <r>
          <rPr>
            <sz val="10"/>
            <color rgb="FF000000"/>
            <rFont val="Tahoma"/>
            <family val="2"/>
          </rPr>
          <t xml:space="preserve">
Source: Forbes team page, historical operating income for Forbes 2018 list (Feb 2019 list; 2017–18 season, net of revenue sharing and arena debt service), https://www.forbes.com/teams/portland-trail-blazers/</t>
        </r>
      </text>
    </comment>
    <comment ref="E29" authorId="0" shapeId="0" xr:uid="{DE20A335-5E4A-DD4D-B59F-AC5843EAADBD}">
      <text>
        <r>
          <rPr>
            <b/>
            <sz val="10"/>
            <color rgb="FF000000"/>
            <rFont val="Tahoma"/>
            <family val="2"/>
          </rPr>
          <t>Keller, Zach:</t>
        </r>
        <r>
          <rPr>
            <sz val="10"/>
            <color rgb="FF000000"/>
            <rFont val="Tahoma"/>
            <family val="2"/>
          </rPr>
          <t xml:space="preserve">
Source: Forbes team page, historical operating income for Forbes 2019 list (Feb 2020 list; 2018–19 season, net of revenue sharing and arena debt service), https://www.forbes.com/teams/portland-trail-blazers/</t>
        </r>
      </text>
    </comment>
    <comment ref="F29" authorId="0" shapeId="0" xr:uid="{7BCC3C2E-2CCB-424F-8BE8-7C0D833FD24F}">
      <text>
        <r>
          <rPr>
            <b/>
            <sz val="10"/>
            <color rgb="FF000000"/>
            <rFont val="Tahoma"/>
            <family val="2"/>
          </rPr>
          <t>Keller, Zach:</t>
        </r>
        <r>
          <rPr>
            <sz val="10"/>
            <color rgb="FF000000"/>
            <rFont val="Tahoma"/>
            <family val="2"/>
          </rPr>
          <t xml:space="preserve">
Source: Forbes team page, historical operating income for Forbes 2020 list (Feb 2021 list; 2019–20 season, net of revenue sharing and arena debt service), https://www.forbes.com/teams/portland-trail-blazers/</t>
        </r>
      </text>
    </comment>
    <comment ref="G29" authorId="0" shapeId="0" xr:uid="{7A9E1C28-9346-E347-8720-E371545C283C}">
      <text>
        <r>
          <rPr>
            <b/>
            <sz val="10"/>
            <color rgb="FF000000"/>
            <rFont val="Tahoma"/>
            <family val="2"/>
          </rPr>
          <t>Keller, Zach:</t>
        </r>
        <r>
          <rPr>
            <sz val="10"/>
            <color rgb="FF000000"/>
            <rFont val="Tahoma"/>
            <family val="2"/>
          </rPr>
          <t xml:space="preserve">
</t>
        </r>
        <r>
          <rPr>
            <sz val="10"/>
            <color rgb="FF000000"/>
            <rFont val="Tahoma"/>
            <family val="2"/>
          </rPr>
          <t>Source: Forbes team page, historical operating income for Forbes 2021 list (Oct 2021 list; 2020–21 season, net of revenue sharing and arena debt service), https://www.forbes.com/teams/portland-trail-blazers/</t>
        </r>
      </text>
    </comment>
    <comment ref="H29" authorId="0" shapeId="0" xr:uid="{6A4AF138-5854-2642-AF37-471E0B3DEC96}">
      <text>
        <r>
          <rPr>
            <b/>
            <sz val="10"/>
            <color rgb="FF000000"/>
            <rFont val="Tahoma"/>
            <family val="2"/>
          </rPr>
          <t>Keller, Zach:</t>
        </r>
        <r>
          <rPr>
            <sz val="10"/>
            <color rgb="FF000000"/>
            <rFont val="Tahoma"/>
            <family val="2"/>
          </rPr>
          <t xml:space="preserve">
Source: Forbes team page, historical operating income for Forbes 2022 list (Oct 2022 list; 2021–22 season, net of revenue sharing and arena debt service), https://www.forbes.com/teams/portland-trail-blazers/</t>
        </r>
      </text>
    </comment>
    <comment ref="I29" authorId="0" shapeId="0" xr:uid="{552AD92C-11CF-F44D-AA52-C9A228434CBF}">
      <text>
        <r>
          <rPr>
            <b/>
            <sz val="10"/>
            <color rgb="FF000000"/>
            <rFont val="Tahoma"/>
            <family val="2"/>
          </rPr>
          <t>Keller, Zach:</t>
        </r>
        <r>
          <rPr>
            <sz val="10"/>
            <color rgb="FF000000"/>
            <rFont val="Tahoma"/>
            <family val="2"/>
          </rPr>
          <t xml:space="preserve">
Source: Forbes team page, historical operating income for Forbes 2023 list (Oct 2023 list; 2022–23 season, net of revenue sharing and arena debt service), https://www.forbes.com/teams/portland-trail-blazers/</t>
        </r>
      </text>
    </comment>
    <comment ref="J29" authorId="0" shapeId="0" xr:uid="{113FFE72-3905-3849-9C4F-0116096E2CE2}">
      <text>
        <r>
          <rPr>
            <b/>
            <sz val="10"/>
            <color rgb="FF000000"/>
            <rFont val="Tahoma"/>
            <family val="2"/>
          </rPr>
          <t>Keller, Zach:</t>
        </r>
        <r>
          <rPr>
            <sz val="10"/>
            <color rgb="FF000000"/>
            <rFont val="Tahoma"/>
            <family val="2"/>
          </rPr>
          <t xml:space="preserve">
Source: Forbes, The Most Valuable NBA Teams 2024 list article (Oct 2024; 2023–24 operating income, net of revenue sharing and arena debt service), https://www.forbes.com/sites/justinteitelbaum/2024/10/24/the-most-valuable-nba-teams-2024/</t>
        </r>
      </text>
    </comment>
    <comment ref="K29" authorId="0" shapeId="0" xr:uid="{72CB7C62-F451-A644-8867-A8E1C35CED3C}">
      <text>
        <r>
          <rPr>
            <b/>
            <sz val="10"/>
            <color rgb="FF000000"/>
            <rFont val="Tahoma"/>
            <family val="2"/>
          </rPr>
          <t>Keller, Zach:</t>
        </r>
        <r>
          <rPr>
            <sz val="10"/>
            <color rgb="FF000000"/>
            <rFont val="Tahoma"/>
            <family val="2"/>
          </rPr>
          <t xml:space="preserve">
Source: Forbes, The Most Valuable NBA Teams 2025 list article (Oct 2025; 2024–25 operating income, net of revenue sharing and arena debt service), https://www.forbes.com/sites/justinteitelbaum/2025/10/23/the-most-valuable-nba-teams-2025/</t>
        </r>
      </text>
    </comment>
    <comment ref="B30" authorId="0" shapeId="0" xr:uid="{5594FC55-137C-0445-BB72-49F88E1AACA4}">
      <text>
        <r>
          <rPr>
            <b/>
            <sz val="10"/>
            <color rgb="FF000000"/>
            <rFont val="Tahoma"/>
            <family val="2"/>
          </rPr>
          <t>Keller, Zach:</t>
        </r>
        <r>
          <rPr>
            <sz val="10"/>
            <color rgb="FF000000"/>
            <rFont val="Tahoma"/>
            <family val="2"/>
          </rPr>
          <t xml:space="preserve">
Source: Forbes team page, historical operating income for Forbes 2016 list (Feb 2017 list; 2015–16 season, net of revenue sharing and arena debt service), https://www.forbes.com/teams/sacramento-kings/</t>
        </r>
      </text>
    </comment>
    <comment ref="C30" authorId="0" shapeId="0" xr:uid="{FA26CC32-F99A-3643-97A1-301935B962D5}">
      <text>
        <r>
          <rPr>
            <b/>
            <sz val="10"/>
            <color rgb="FF000000"/>
            <rFont val="Tahoma"/>
            <family val="2"/>
          </rPr>
          <t>Keller, Zach:</t>
        </r>
        <r>
          <rPr>
            <sz val="10"/>
            <color rgb="FF000000"/>
            <rFont val="Tahoma"/>
            <family val="2"/>
          </rPr>
          <t xml:space="preserve">
Source: Forbes team page, historical operating income for Forbes 2017 list (Feb 2018 list; 2016–17 season, net of revenue sharing and arena debt service), https://www.forbes.com/teams/sacramento-kings/</t>
        </r>
      </text>
    </comment>
    <comment ref="D30" authorId="0" shapeId="0" xr:uid="{BA018751-2361-3F4D-B7F2-8D98EC62DD64}">
      <text>
        <r>
          <rPr>
            <b/>
            <sz val="10"/>
            <color rgb="FF000000"/>
            <rFont val="Tahoma"/>
            <family val="2"/>
          </rPr>
          <t>Keller, Zach:</t>
        </r>
        <r>
          <rPr>
            <sz val="10"/>
            <color rgb="FF000000"/>
            <rFont val="Tahoma"/>
            <family val="2"/>
          </rPr>
          <t xml:space="preserve">
Source: Forbes team page, historical operating income for Forbes 2018 list (Feb 2019 list; 2017–18 season, net of revenue sharing and arena debt service), https://www.forbes.com/teams/sacramento-kings/</t>
        </r>
      </text>
    </comment>
    <comment ref="E30" authorId="0" shapeId="0" xr:uid="{02E6EA05-3B67-B84A-B8B0-A5EA3D2E64EE}">
      <text>
        <r>
          <rPr>
            <b/>
            <sz val="10"/>
            <color rgb="FF000000"/>
            <rFont val="Tahoma"/>
            <family val="2"/>
          </rPr>
          <t>Keller, Zach:</t>
        </r>
        <r>
          <rPr>
            <sz val="10"/>
            <color rgb="FF000000"/>
            <rFont val="Tahoma"/>
            <family val="2"/>
          </rPr>
          <t xml:space="preserve">
Source: Forbes team page, historical operating income for Forbes 2019 list (Feb 2020 list; 2018–19 season, net of revenue sharing and arena debt service), https://www.forbes.com/teams/sacramento-kings/</t>
        </r>
      </text>
    </comment>
    <comment ref="F30" authorId="0" shapeId="0" xr:uid="{A0323123-5E64-0E4B-99C3-E183F3AEC417}">
      <text>
        <r>
          <rPr>
            <b/>
            <sz val="10"/>
            <color rgb="FF000000"/>
            <rFont val="Tahoma"/>
            <family val="2"/>
          </rPr>
          <t>Keller, Zach:</t>
        </r>
        <r>
          <rPr>
            <sz val="10"/>
            <color rgb="FF000000"/>
            <rFont val="Tahoma"/>
            <family val="2"/>
          </rPr>
          <t xml:space="preserve">
Source: Forbes team page, historical operating income for Forbes 2020 list (Feb 2021 list; 2019–20 season, net of revenue sharing and arena debt service), https://www.forbes.com/teams/sacramento-kings/</t>
        </r>
      </text>
    </comment>
    <comment ref="G30" authorId="0" shapeId="0" xr:uid="{4A5D9FE2-1FDB-B34E-A032-DC4C2B60CB22}">
      <text>
        <r>
          <rPr>
            <b/>
            <sz val="10"/>
            <color rgb="FF000000"/>
            <rFont val="Tahoma"/>
            <family val="2"/>
          </rPr>
          <t>Keller, Zach:</t>
        </r>
        <r>
          <rPr>
            <sz val="10"/>
            <color rgb="FF000000"/>
            <rFont val="Tahoma"/>
            <family val="2"/>
          </rPr>
          <t xml:space="preserve">
Source: Forbes team page, historical operating income for Forbes 2021 list (Oct 2021 list; 2020–21 season, net of revenue sharing and arena debt service), https://www.forbes.com/teams/sacramento-kings/</t>
        </r>
      </text>
    </comment>
    <comment ref="H30" authorId="0" shapeId="0" xr:uid="{76D83548-7D50-2C4E-B900-4B562CD7E80E}">
      <text>
        <r>
          <rPr>
            <b/>
            <sz val="10"/>
            <color rgb="FF000000"/>
            <rFont val="Tahoma"/>
            <family val="2"/>
          </rPr>
          <t>Keller, Zach:</t>
        </r>
        <r>
          <rPr>
            <sz val="10"/>
            <color rgb="FF000000"/>
            <rFont val="Tahoma"/>
            <family val="2"/>
          </rPr>
          <t xml:space="preserve">
Source: Forbes team page, historical operating income for Forbes 2022 list (Oct 2022 list; 2021–22 season, net of revenue sharing and arena debt service), https://www.forbes.com/teams/sacramento-kings/</t>
        </r>
      </text>
    </comment>
    <comment ref="I30" authorId="0" shapeId="0" xr:uid="{48EECE4A-DD75-0B45-885A-1C9F54D57C10}">
      <text>
        <r>
          <rPr>
            <b/>
            <sz val="10"/>
            <color rgb="FF000000"/>
            <rFont val="Tahoma"/>
            <family val="2"/>
          </rPr>
          <t>Keller, Zach:</t>
        </r>
        <r>
          <rPr>
            <sz val="10"/>
            <color rgb="FF000000"/>
            <rFont val="Tahoma"/>
            <family val="2"/>
          </rPr>
          <t xml:space="preserve">
Source: Forbes team page, historical operating income for Forbes 2023 list (Oct 2023 list; 2022–23 season, net of revenue sharing and arena debt service), https://www.forbes.com/teams/sacramento-kings/</t>
        </r>
      </text>
    </comment>
    <comment ref="J30" authorId="0" shapeId="0" xr:uid="{1EF70A8B-CAFD-864C-89ED-E7342285F105}">
      <text>
        <r>
          <rPr>
            <b/>
            <sz val="10"/>
            <color rgb="FF000000"/>
            <rFont val="Tahoma"/>
            <family val="2"/>
          </rPr>
          <t>Keller, Zach:</t>
        </r>
        <r>
          <rPr>
            <sz val="10"/>
            <color rgb="FF000000"/>
            <rFont val="Tahoma"/>
            <family val="2"/>
          </rPr>
          <t xml:space="preserve">
Source: Forbes, The Most Valuable NBA Teams 2024 list article (Oct 2024; 2023–24 operating income, net of revenue sharing and arena debt service), https://www.forbes.com/sites/justinteitelbaum/2024/10/24/the-most-valuable-nba-teams-2024/</t>
        </r>
      </text>
    </comment>
    <comment ref="K30" authorId="0" shapeId="0" xr:uid="{DD2265EC-BE9F-F847-8DA5-D80DDFE72F06}">
      <text>
        <r>
          <rPr>
            <b/>
            <sz val="10"/>
            <color rgb="FF000000"/>
            <rFont val="Tahoma"/>
            <family val="2"/>
          </rPr>
          <t>Keller, Zach:</t>
        </r>
        <r>
          <rPr>
            <sz val="10"/>
            <color rgb="FF000000"/>
            <rFont val="Tahoma"/>
            <family val="2"/>
          </rPr>
          <t xml:space="preserve">
Source: Forbes, The Most Valuable NBA Teams 2025 list article (Oct 2025; 2024–25 operating income, net of revenue sharing and arena debt service), https://www.forbes.com/sites/justinteitelbaum/2025/10/23/the-most-valuable-nba-teams-2025/. Note: Forbes team page shows $75M for this year; list article value used.</t>
        </r>
      </text>
    </comment>
    <comment ref="B31" authorId="0" shapeId="0" xr:uid="{638A36D3-D068-904C-8C1C-209714C07141}">
      <text>
        <r>
          <rPr>
            <b/>
            <sz val="10"/>
            <color rgb="FF000000"/>
            <rFont val="Tahoma"/>
            <family val="2"/>
          </rPr>
          <t>Keller, Zach:</t>
        </r>
        <r>
          <rPr>
            <sz val="10"/>
            <color rgb="FF000000"/>
            <rFont val="Tahoma"/>
            <family val="2"/>
          </rPr>
          <t xml:space="preserve">
Source: Forbes team page, historical operating income for Forbes 2016 list (Feb 2017 list; 2015–16 season, net of revenue sharing and arena debt service), https://www.forbes.com/teams/san-antonio-spurs/</t>
        </r>
      </text>
    </comment>
    <comment ref="C31" authorId="0" shapeId="0" xr:uid="{E11EE39B-E7F9-3A4A-8A4E-3C7A02BF834B}">
      <text>
        <r>
          <rPr>
            <b/>
            <sz val="10"/>
            <color rgb="FF000000"/>
            <rFont val="Tahoma"/>
            <family val="2"/>
          </rPr>
          <t>Keller, Zach:</t>
        </r>
        <r>
          <rPr>
            <sz val="10"/>
            <color rgb="FF000000"/>
            <rFont val="Tahoma"/>
            <family val="2"/>
          </rPr>
          <t xml:space="preserve">
Source: Forbes team page, historical operating income for Forbes 2017 list (Feb 2018 list; 2016–17 season, net of revenue sharing and arena debt service), https://www.forbes.com/teams/san-antonio-spurs/</t>
        </r>
      </text>
    </comment>
    <comment ref="D31" authorId="0" shapeId="0" xr:uid="{BBA02666-42F5-5749-B9EE-04EFA96D2F1B}">
      <text>
        <r>
          <rPr>
            <b/>
            <sz val="10"/>
            <color rgb="FF000000"/>
            <rFont val="Tahoma"/>
            <family val="2"/>
          </rPr>
          <t>Keller, Zach:</t>
        </r>
        <r>
          <rPr>
            <sz val="10"/>
            <color rgb="FF000000"/>
            <rFont val="Tahoma"/>
            <family val="2"/>
          </rPr>
          <t xml:space="preserve">
Source: Forbes team page, historical operating income for Forbes 2018 list (Feb 2019 list; 2017–18 season, net of revenue sharing and arena debt service), https://www.forbes.com/teams/san-antonio-spurs/</t>
        </r>
      </text>
    </comment>
    <comment ref="E31" authorId="0" shapeId="0" xr:uid="{41388BA5-1C34-354B-9BE5-7CF3D68BD713}">
      <text>
        <r>
          <rPr>
            <b/>
            <sz val="10"/>
            <color rgb="FF000000"/>
            <rFont val="Tahoma"/>
            <family val="2"/>
          </rPr>
          <t>Keller, Zach:</t>
        </r>
        <r>
          <rPr>
            <sz val="10"/>
            <color rgb="FF000000"/>
            <rFont val="Tahoma"/>
            <family val="2"/>
          </rPr>
          <t xml:space="preserve">
Source: Forbes team page, historical operating income for Forbes 2019 list (Feb 2020 list; 2018–19 season, net of revenue sharing and arena debt service), https://www.forbes.com/teams/san-antonio-spurs/</t>
        </r>
      </text>
    </comment>
    <comment ref="F31" authorId="0" shapeId="0" xr:uid="{DA8A94C7-1974-CB42-A9EC-83362629A541}">
      <text>
        <r>
          <rPr>
            <b/>
            <sz val="10"/>
            <color rgb="FF000000"/>
            <rFont val="Tahoma"/>
            <family val="2"/>
          </rPr>
          <t>Keller, Zach:</t>
        </r>
        <r>
          <rPr>
            <sz val="10"/>
            <color rgb="FF000000"/>
            <rFont val="Tahoma"/>
            <family val="2"/>
          </rPr>
          <t xml:space="preserve">
Source: Forbes team page, historical operating income for Forbes 2020 list (Feb 2021 list; 2019–20 season, net of revenue sharing and arena debt service), https://www.forbes.com/teams/san-antonio-spurs/</t>
        </r>
      </text>
    </comment>
    <comment ref="G31" authorId="0" shapeId="0" xr:uid="{4AB67784-B350-5846-9EDD-1F411D2C8E4A}">
      <text>
        <r>
          <rPr>
            <b/>
            <sz val="10"/>
            <color rgb="FF000000"/>
            <rFont val="Tahoma"/>
            <family val="2"/>
          </rPr>
          <t>Keller, Zach:</t>
        </r>
        <r>
          <rPr>
            <sz val="10"/>
            <color rgb="FF000000"/>
            <rFont val="Tahoma"/>
            <family val="2"/>
          </rPr>
          <t xml:space="preserve">
Source: Forbes team page, historical operating income for Forbes 2021 list (Oct 2021 list; 2020–21 season, net of revenue sharing and arena debt service), https://www.forbes.com/teams/san-antonio-spurs/</t>
        </r>
      </text>
    </comment>
    <comment ref="H31" authorId="0" shapeId="0" xr:uid="{DB39E40D-1DD1-2648-A7C1-380DB2442A3C}">
      <text>
        <r>
          <rPr>
            <b/>
            <sz val="10"/>
            <color rgb="FF000000"/>
            <rFont val="Tahoma"/>
            <family val="2"/>
          </rPr>
          <t>Keller, Zach:</t>
        </r>
        <r>
          <rPr>
            <sz val="10"/>
            <color rgb="FF000000"/>
            <rFont val="Tahoma"/>
            <family val="2"/>
          </rPr>
          <t xml:space="preserve">
Source: Forbes team page, historical operating income for Forbes 2022 list (Oct 2022 list; 2021–22 season, net of revenue sharing and arena debt service), https://www.forbes.com/teams/san-antonio-spurs/</t>
        </r>
      </text>
    </comment>
    <comment ref="I31" authorId="0" shapeId="0" xr:uid="{5F3453CA-15A3-4441-82D1-D84C33E351D8}">
      <text>
        <r>
          <rPr>
            <b/>
            <sz val="10"/>
            <color rgb="FF000000"/>
            <rFont val="Tahoma"/>
            <family val="2"/>
          </rPr>
          <t>Keller, Zach:</t>
        </r>
        <r>
          <rPr>
            <sz val="10"/>
            <color rgb="FF000000"/>
            <rFont val="Tahoma"/>
            <family val="2"/>
          </rPr>
          <t xml:space="preserve">
Source: Forbes team page, historical operating income for Forbes 2023 list (Oct 2023 list; 2022–23 season, net of revenue sharing and arena debt service), https://www.forbes.com/teams/san-antonio-spurs/</t>
        </r>
      </text>
    </comment>
    <comment ref="J31" authorId="0" shapeId="0" xr:uid="{9B95DA58-3A6A-C840-9AC0-274AC9DB75DD}">
      <text>
        <r>
          <rPr>
            <b/>
            <sz val="10"/>
            <color rgb="FF000000"/>
            <rFont val="Tahoma"/>
            <family val="2"/>
          </rPr>
          <t>Keller, Zach:</t>
        </r>
        <r>
          <rPr>
            <sz val="10"/>
            <color rgb="FF000000"/>
            <rFont val="Tahoma"/>
            <family val="2"/>
          </rPr>
          <t xml:space="preserve">
Source: Forbes, The Most Valuable NBA Teams 2024 list article (Oct 2024; 2023–24 operating income, net of revenue sharing and arena debt service), https://www.forbes.com/sites/justinteitelbaum/2024/10/24/the-most-valuable-nba-teams-2024/</t>
        </r>
      </text>
    </comment>
    <comment ref="K31" authorId="0" shapeId="0" xr:uid="{AD7D3B90-8294-A84A-A054-5F91FF111A28}">
      <text>
        <r>
          <rPr>
            <b/>
            <sz val="10"/>
            <color rgb="FF000000"/>
            <rFont val="Tahoma"/>
            <family val="2"/>
          </rPr>
          <t>Keller, Zach:</t>
        </r>
        <r>
          <rPr>
            <sz val="10"/>
            <color rgb="FF000000"/>
            <rFont val="Tahoma"/>
            <family val="2"/>
          </rPr>
          <t xml:space="preserve">
Source: Forbes, The Most Valuable NBA Teams 2025 list article (Oct 2025; 2024–25 operating income, net of revenue sharing and arena debt service), https://www.forbes.com/sites/justinteitelbaum/2025/10/23/the-most-valuable-nba-teams-2025/</t>
        </r>
      </text>
    </comment>
    <comment ref="B32" authorId="0" shapeId="0" xr:uid="{F2C5A5BA-F123-0046-A193-9B7801573337}">
      <text>
        <r>
          <rPr>
            <b/>
            <sz val="10"/>
            <color rgb="FF000000"/>
            <rFont val="Tahoma"/>
            <family val="2"/>
          </rPr>
          <t>Keller, Zach:</t>
        </r>
        <r>
          <rPr>
            <sz val="10"/>
            <color rgb="FF000000"/>
            <rFont val="Tahoma"/>
            <family val="2"/>
          </rPr>
          <t xml:space="preserve">
Source: Forbes team page, historical operating income for Forbes 2016 list (Feb 2017 list; 2015–16 season, net of revenue sharing and arena debt service), https://www.forbes.com/teams/toronto-raptors/</t>
        </r>
      </text>
    </comment>
    <comment ref="C32" authorId="0" shapeId="0" xr:uid="{BDE0871C-0F37-8C4A-93FF-BAC46A75F631}">
      <text>
        <r>
          <rPr>
            <b/>
            <sz val="10"/>
            <color rgb="FF000000"/>
            <rFont val="Tahoma"/>
            <family val="2"/>
          </rPr>
          <t>Keller, Zach:</t>
        </r>
        <r>
          <rPr>
            <sz val="10"/>
            <color rgb="FF000000"/>
            <rFont val="Tahoma"/>
            <family val="2"/>
          </rPr>
          <t xml:space="preserve">
Source: Forbes team page, historical operating income for Forbes 2017 list (Feb 2018 list; 2016–17 season, net of revenue sharing and arena debt service), https://www.forbes.com/teams/toronto-raptors/</t>
        </r>
      </text>
    </comment>
    <comment ref="D32" authorId="0" shapeId="0" xr:uid="{5BD4BB89-94C7-C148-889F-5FE7AD96E8F5}">
      <text>
        <r>
          <rPr>
            <b/>
            <sz val="10"/>
            <color rgb="FF000000"/>
            <rFont val="Tahoma"/>
            <family val="2"/>
          </rPr>
          <t>Keller, Zach:</t>
        </r>
        <r>
          <rPr>
            <sz val="10"/>
            <color rgb="FF000000"/>
            <rFont val="Tahoma"/>
            <family val="2"/>
          </rPr>
          <t xml:space="preserve">
Source: Forbes team page, historical operating income for Forbes 2018 list (Feb 2019 list; 2017–18 season, net of revenue sharing and arena debt service), https://www.forbes.com/teams/toronto-raptors/</t>
        </r>
      </text>
    </comment>
    <comment ref="E32" authorId="0" shapeId="0" xr:uid="{86A44B72-F8BA-5B40-8A36-1F27A18B17B2}">
      <text>
        <r>
          <rPr>
            <b/>
            <sz val="10"/>
            <color rgb="FF000000"/>
            <rFont val="Tahoma"/>
            <family val="2"/>
          </rPr>
          <t>Keller, Zach:</t>
        </r>
        <r>
          <rPr>
            <sz val="10"/>
            <color rgb="FF000000"/>
            <rFont val="Tahoma"/>
            <family val="2"/>
          </rPr>
          <t xml:space="preserve">
Source: Forbes team page, historical operating income for Forbes 2019 list (Feb 2020 list; 2018–19 season, net of revenue sharing and arena debt service), https://www.forbes.com/teams/toronto-raptors/</t>
        </r>
      </text>
    </comment>
    <comment ref="F32" authorId="0" shapeId="0" xr:uid="{993BAAB2-0116-7043-99A7-6521F16685CC}">
      <text>
        <r>
          <rPr>
            <b/>
            <sz val="10"/>
            <color rgb="FF000000"/>
            <rFont val="Tahoma"/>
            <family val="2"/>
          </rPr>
          <t>Keller, Zach:</t>
        </r>
        <r>
          <rPr>
            <sz val="10"/>
            <color rgb="FF000000"/>
            <rFont val="Tahoma"/>
            <family val="2"/>
          </rPr>
          <t xml:space="preserve">
Source: Forbes team page, historical operating income for Forbes 2020 list (Feb 2021 list; 2019–20 season, net of revenue sharing and arena debt service), https://www.forbes.com/teams/toronto-raptors/</t>
        </r>
      </text>
    </comment>
    <comment ref="G32" authorId="0" shapeId="0" xr:uid="{687DC74B-DF48-FC4D-97A3-61C9B512679B}">
      <text>
        <r>
          <rPr>
            <b/>
            <sz val="10"/>
            <color rgb="FF000000"/>
            <rFont val="Tahoma"/>
            <family val="2"/>
          </rPr>
          <t>Keller, Zach:</t>
        </r>
        <r>
          <rPr>
            <sz val="10"/>
            <color rgb="FF000000"/>
            <rFont val="Tahoma"/>
            <family val="2"/>
          </rPr>
          <t xml:space="preserve">
Source: Forbes team page, historical operating income for Forbes 2021 list (Oct 2021 list; 2020–21 season, net of revenue sharing and arena debt service), https://www.forbes.com/teams/toronto-raptors/</t>
        </r>
      </text>
    </comment>
    <comment ref="H32" authorId="0" shapeId="0" xr:uid="{A98741D6-9558-9544-8FD7-3466792D5F2E}">
      <text>
        <r>
          <rPr>
            <b/>
            <sz val="10"/>
            <color rgb="FF000000"/>
            <rFont val="Tahoma"/>
            <family val="2"/>
          </rPr>
          <t>Keller, Zach:</t>
        </r>
        <r>
          <rPr>
            <sz val="10"/>
            <color rgb="FF000000"/>
            <rFont val="Tahoma"/>
            <family val="2"/>
          </rPr>
          <t xml:space="preserve">
Source: Forbes team page, historical operating income for Forbes 2022 list (Oct 2022 list; 2021–22 season, net of revenue sharing and arena debt service), https://www.forbes.com/teams/toronto-raptors/</t>
        </r>
      </text>
    </comment>
    <comment ref="I32" authorId="0" shapeId="0" xr:uid="{2B83ABB0-B089-6743-AD37-563A7578A87B}">
      <text>
        <r>
          <rPr>
            <b/>
            <sz val="10"/>
            <color rgb="FF000000"/>
            <rFont val="Tahoma"/>
            <family val="2"/>
          </rPr>
          <t>Keller, Zach:</t>
        </r>
        <r>
          <rPr>
            <sz val="10"/>
            <color rgb="FF000000"/>
            <rFont val="Tahoma"/>
            <family val="2"/>
          </rPr>
          <t xml:space="preserve">
Source: Forbes team page, historical operating income for Forbes 2023 list (Oct 2023 list; 2022–23 season, net of revenue sharing and arena debt service), https://www.forbes.com/teams/toronto-raptors/</t>
        </r>
      </text>
    </comment>
    <comment ref="J32" authorId="0" shapeId="0" xr:uid="{2C88132D-4343-7B43-B085-41B017EEF5B4}">
      <text>
        <r>
          <rPr>
            <b/>
            <sz val="10"/>
            <color rgb="FF000000"/>
            <rFont val="Tahoma"/>
            <family val="2"/>
          </rPr>
          <t>Keller, Zach:</t>
        </r>
        <r>
          <rPr>
            <sz val="10"/>
            <color rgb="FF000000"/>
            <rFont val="Tahoma"/>
            <family val="2"/>
          </rPr>
          <t xml:space="preserve">
Source: Forbes, The Most Valuable NBA Teams 2024 list article (Oct 2024; 2023–24 operating income, net of revenue sharing and arena debt service), https://www.forbes.com/sites/justinteitelbaum/2024/10/24/the-most-valuable-nba-teams-2024/</t>
        </r>
      </text>
    </comment>
    <comment ref="K32" authorId="0" shapeId="0" xr:uid="{7E3252B5-6081-CE40-A8C1-8C957771C32A}">
      <text>
        <r>
          <rPr>
            <b/>
            <sz val="10"/>
            <color rgb="FF000000"/>
            <rFont val="Tahoma"/>
            <family val="2"/>
          </rPr>
          <t>Keller, Zach:</t>
        </r>
        <r>
          <rPr>
            <sz val="10"/>
            <color rgb="FF000000"/>
            <rFont val="Tahoma"/>
            <family val="2"/>
          </rPr>
          <t xml:space="preserve">
Source: Forbes, The Most Valuable NBA Teams 2025 list article (Oct 2025; 2024–25 operating income, net of revenue sharing and arena debt service), https://www.forbes.com/sites/justinteitelbaum/2025/10/23/the-most-valuable-nba-teams-2025/</t>
        </r>
      </text>
    </comment>
    <comment ref="B33" authorId="0" shapeId="0" xr:uid="{1C6E837B-3292-B444-8AEB-AFEDD9C079A4}">
      <text>
        <r>
          <rPr>
            <b/>
            <sz val="10"/>
            <color rgb="FF000000"/>
            <rFont val="Tahoma"/>
            <family val="2"/>
          </rPr>
          <t>Keller, Zach:</t>
        </r>
        <r>
          <rPr>
            <sz val="10"/>
            <color rgb="FF000000"/>
            <rFont val="Tahoma"/>
            <family val="2"/>
          </rPr>
          <t xml:space="preserve">
Source: Forbes team page, historical operating income for Forbes 2016 list (Feb 2017 list; 2015–16 season, net of revenue sharing and arena debt service), https://www.forbes.com/teams/utah-jazz/</t>
        </r>
      </text>
    </comment>
    <comment ref="C33" authorId="0" shapeId="0" xr:uid="{FF06A28D-B2DB-CE4A-8D14-A900682C5CFB}">
      <text>
        <r>
          <rPr>
            <b/>
            <sz val="10"/>
            <color rgb="FF000000"/>
            <rFont val="Tahoma"/>
            <family val="2"/>
          </rPr>
          <t>Keller, Zach:</t>
        </r>
        <r>
          <rPr>
            <sz val="10"/>
            <color rgb="FF000000"/>
            <rFont val="Tahoma"/>
            <family val="2"/>
          </rPr>
          <t xml:space="preserve">
Source: Forbes team page, historical operating income for Forbes 2017 list (Feb 2018 list; 2016–17 season, net of revenue sharing and arena debt service), https://www.forbes.com/teams/utah-jazz/</t>
        </r>
      </text>
    </comment>
    <comment ref="D33" authorId="0" shapeId="0" xr:uid="{DCA57C61-E30B-344F-80B3-8619518F3BC3}">
      <text>
        <r>
          <rPr>
            <b/>
            <sz val="10"/>
            <color rgb="FF000000"/>
            <rFont val="Tahoma"/>
            <family val="2"/>
          </rPr>
          <t>Keller, Zach:</t>
        </r>
        <r>
          <rPr>
            <sz val="10"/>
            <color rgb="FF000000"/>
            <rFont val="Tahoma"/>
            <family val="2"/>
          </rPr>
          <t xml:space="preserve">
Source: Forbes team page, historical operating income for Forbes 2018 list (Feb 2019 list; 2017–18 season, net of revenue sharing and arena debt service), https://www.forbes.com/teams/utah-jazz/</t>
        </r>
      </text>
    </comment>
    <comment ref="E33" authorId="0" shapeId="0" xr:uid="{910F57B4-A284-594E-9514-9A2638F74AF4}">
      <text>
        <r>
          <rPr>
            <b/>
            <sz val="10"/>
            <color rgb="FF000000"/>
            <rFont val="Tahoma"/>
            <family val="2"/>
          </rPr>
          <t>Keller, Zach:</t>
        </r>
        <r>
          <rPr>
            <sz val="10"/>
            <color rgb="FF000000"/>
            <rFont val="Tahoma"/>
            <family val="2"/>
          </rPr>
          <t xml:space="preserve">
Source: Forbes team page, historical operating income for Forbes 2019 list (Feb 2020 list; 2018–19 season, net of revenue sharing and arena debt service), https://www.forbes.com/teams/utah-jazz/</t>
        </r>
      </text>
    </comment>
    <comment ref="F33" authorId="0" shapeId="0" xr:uid="{381F74D4-3A78-CF44-A35C-BAB6FB5A2EB1}">
      <text>
        <r>
          <rPr>
            <b/>
            <sz val="10"/>
            <color rgb="FF000000"/>
            <rFont val="Tahoma"/>
            <family val="2"/>
          </rPr>
          <t>Keller, Zach:</t>
        </r>
        <r>
          <rPr>
            <sz val="10"/>
            <color rgb="FF000000"/>
            <rFont val="Tahoma"/>
            <family val="2"/>
          </rPr>
          <t xml:space="preserve">
Source: Forbes team page, historical operating income for Forbes 2020 list (Feb 2021 list; 2019–20 season, net of revenue sharing and arena debt service), https://www.forbes.com/teams/utah-jazz/</t>
        </r>
      </text>
    </comment>
    <comment ref="G33" authorId="0" shapeId="0" xr:uid="{AF36CD61-7E15-C641-A315-5495F69334D9}">
      <text>
        <r>
          <rPr>
            <b/>
            <sz val="10"/>
            <color rgb="FF000000"/>
            <rFont val="Tahoma"/>
            <family val="2"/>
          </rPr>
          <t>Keller, Zach:</t>
        </r>
        <r>
          <rPr>
            <sz val="10"/>
            <color rgb="FF000000"/>
            <rFont val="Tahoma"/>
            <family val="2"/>
          </rPr>
          <t xml:space="preserve">
Source: Forbes team page, historical operating income for Forbes 2021 list (Oct 2021 list; 2020–21 season, net of revenue sharing and arena debt service), https://www.forbes.com/teams/utah-jazz/</t>
        </r>
      </text>
    </comment>
    <comment ref="H33" authorId="0" shapeId="0" xr:uid="{AE7B58C5-A0B8-3D40-B0F6-AD77BCD44A29}">
      <text>
        <r>
          <rPr>
            <b/>
            <sz val="10"/>
            <color rgb="FF000000"/>
            <rFont val="Tahoma"/>
            <family val="2"/>
          </rPr>
          <t>Keller, Zach:</t>
        </r>
        <r>
          <rPr>
            <sz val="10"/>
            <color rgb="FF000000"/>
            <rFont val="Tahoma"/>
            <family val="2"/>
          </rPr>
          <t xml:space="preserve">
Source: Forbes team page, historical operating income for Forbes 2022 list (Oct 2022 list; 2021–22 season, net of revenue sharing and arena debt service), https://www.forbes.com/teams/utah-jazz/</t>
        </r>
      </text>
    </comment>
    <comment ref="I33" authorId="0" shapeId="0" xr:uid="{B356C696-9088-C643-9CE8-04B13E0972D4}">
      <text>
        <r>
          <rPr>
            <b/>
            <sz val="10"/>
            <color rgb="FF000000"/>
            <rFont val="Tahoma"/>
            <family val="2"/>
          </rPr>
          <t>Keller, Zach:</t>
        </r>
        <r>
          <rPr>
            <sz val="10"/>
            <color rgb="FF000000"/>
            <rFont val="Tahoma"/>
            <family val="2"/>
          </rPr>
          <t xml:space="preserve">
Source: Forbes team page, historical operating income for Forbes 2023 list (Oct 2023 list; 2022–23 season, net of revenue sharing and arena debt service), https://www.forbes.com/teams/utah-jazz/</t>
        </r>
      </text>
    </comment>
    <comment ref="J33" authorId="0" shapeId="0" xr:uid="{681537CB-095A-E649-A477-00366EBE05E1}">
      <text>
        <r>
          <rPr>
            <b/>
            <sz val="10"/>
            <color rgb="FF000000"/>
            <rFont val="Tahoma"/>
            <family val="2"/>
          </rPr>
          <t>Keller, Zach:</t>
        </r>
        <r>
          <rPr>
            <sz val="10"/>
            <color rgb="FF000000"/>
            <rFont val="Tahoma"/>
            <family val="2"/>
          </rPr>
          <t xml:space="preserve">
Source: Forbes, The Most Valuable NBA Teams 2024 list article (Oct 2024; 2023–24 operating income, net of revenue sharing and arena debt service), https://www.forbes.com/sites/justinteitelbaum/2024/10/24/the-most-valuable-nba-teams-2024/</t>
        </r>
      </text>
    </comment>
    <comment ref="K33" authorId="0" shapeId="0" xr:uid="{1EB36498-0815-9747-B2EC-98ADF9B5C51D}">
      <text>
        <r>
          <rPr>
            <b/>
            <sz val="10"/>
            <color rgb="FF000000"/>
            <rFont val="Tahoma"/>
            <family val="2"/>
          </rPr>
          <t>Keller, Zach:</t>
        </r>
        <r>
          <rPr>
            <sz val="10"/>
            <color rgb="FF000000"/>
            <rFont val="Tahoma"/>
            <family val="2"/>
          </rPr>
          <t xml:space="preserve">
Source: Forbes, The Most Valuable NBA Teams 2025 list article (Oct 2025; 2024–25 operating income, net of revenue sharing and arena debt service), https://www.forbes.com/sites/justinteitelbaum/2025/10/23/the-most-valuable-nba-teams-2025/</t>
        </r>
      </text>
    </comment>
    <comment ref="B34" authorId="0" shapeId="0" xr:uid="{BC40966F-0E03-C941-A6FB-18C8EE40CB81}">
      <text>
        <r>
          <rPr>
            <b/>
            <sz val="10"/>
            <color rgb="FF000000"/>
            <rFont val="Tahoma"/>
            <family val="2"/>
          </rPr>
          <t>Keller, Zach:</t>
        </r>
        <r>
          <rPr>
            <sz val="10"/>
            <color rgb="FF000000"/>
            <rFont val="Tahoma"/>
            <family val="2"/>
          </rPr>
          <t xml:space="preserve">
Source: Forbes team page, historical operating income for Forbes 2016 list (Feb 2017 list; 2015–16 season, net of revenue sharing and arena debt service), https://www.forbes.com/teams/washington-wizards/</t>
        </r>
      </text>
    </comment>
    <comment ref="C34" authorId="0" shapeId="0" xr:uid="{2B9A37D1-A7C3-044E-875E-B5815D5F0987}">
      <text>
        <r>
          <rPr>
            <b/>
            <sz val="10"/>
            <color rgb="FF000000"/>
            <rFont val="Tahoma"/>
            <family val="2"/>
          </rPr>
          <t>Keller, Zach:</t>
        </r>
        <r>
          <rPr>
            <sz val="10"/>
            <color rgb="FF000000"/>
            <rFont val="Tahoma"/>
            <family val="2"/>
          </rPr>
          <t xml:space="preserve">
Source: Forbes team page, historical operating income for Forbes 2017 list (Feb 2018 list; 2016–17 season, net of revenue sharing and arena debt service), https://www.forbes.com/teams/washington-wizards/</t>
        </r>
      </text>
    </comment>
    <comment ref="D34" authorId="0" shapeId="0" xr:uid="{C58C2FE6-4076-974B-8CA9-95D25DDDCE5D}">
      <text>
        <r>
          <rPr>
            <b/>
            <sz val="10"/>
            <color rgb="FF000000"/>
            <rFont val="Tahoma"/>
            <family val="2"/>
          </rPr>
          <t>Keller, Zach:</t>
        </r>
        <r>
          <rPr>
            <sz val="10"/>
            <color rgb="FF000000"/>
            <rFont val="Tahoma"/>
            <family val="2"/>
          </rPr>
          <t xml:space="preserve">
Source: Forbes team page, historical operating income for Forbes 2018 list (Feb 2019 list; 2017–18 season, net of revenue sharing and arena debt service), https://www.forbes.com/teams/washington-wizards/</t>
        </r>
      </text>
    </comment>
    <comment ref="E34" authorId="0" shapeId="0" xr:uid="{1E84FEFF-8D6C-D543-8E44-49AA2B1D9A93}">
      <text>
        <r>
          <rPr>
            <b/>
            <sz val="10"/>
            <color rgb="FF000000"/>
            <rFont val="Tahoma"/>
            <family val="2"/>
          </rPr>
          <t>Keller, Zach:</t>
        </r>
        <r>
          <rPr>
            <sz val="10"/>
            <color rgb="FF000000"/>
            <rFont val="Tahoma"/>
            <family val="2"/>
          </rPr>
          <t xml:space="preserve">
Source: Forbes team page, historical operating income for Forbes 2019 list (Feb 2020 list; 2018–19 season, net of revenue sharing and arena debt service), https://www.forbes.com/teams/washington-wizards/</t>
        </r>
      </text>
    </comment>
    <comment ref="F34" authorId="0" shapeId="0" xr:uid="{5B2D7DFD-172B-EE4B-80AE-997AB081E034}">
      <text>
        <r>
          <rPr>
            <b/>
            <sz val="10"/>
            <color rgb="FF000000"/>
            <rFont val="Tahoma"/>
            <family val="2"/>
          </rPr>
          <t>Keller, Zach:</t>
        </r>
        <r>
          <rPr>
            <sz val="10"/>
            <color rgb="FF000000"/>
            <rFont val="Tahoma"/>
            <family val="2"/>
          </rPr>
          <t xml:space="preserve">
Source: Forbes team page, historical operating income for Forbes 2020 list (Feb 2021 list; 2019–20 season, net of revenue sharing and arena debt service), https://www.forbes.com/teams/washington-wizards/</t>
        </r>
      </text>
    </comment>
    <comment ref="G34" authorId="0" shapeId="0" xr:uid="{5A72840F-9C13-6D48-B374-D2F99AFEC93D}">
      <text>
        <r>
          <rPr>
            <b/>
            <sz val="10"/>
            <color rgb="FF000000"/>
            <rFont val="Tahoma"/>
            <family val="2"/>
          </rPr>
          <t>Keller, Zach:</t>
        </r>
        <r>
          <rPr>
            <sz val="10"/>
            <color rgb="FF000000"/>
            <rFont val="Tahoma"/>
            <family val="2"/>
          </rPr>
          <t xml:space="preserve">
Source: Forbes team page, historical operating income for Forbes 2021 list (Oct 2021 list; 2020–21 season, net of revenue sharing and arena debt service), https://www.forbes.com/teams/washington-wizards/</t>
        </r>
      </text>
    </comment>
    <comment ref="H34" authorId="0" shapeId="0" xr:uid="{6F1795F2-C99E-614E-BD3A-75933A3138D9}">
      <text>
        <r>
          <rPr>
            <b/>
            <sz val="10"/>
            <color rgb="FF000000"/>
            <rFont val="Tahoma"/>
            <family val="2"/>
          </rPr>
          <t>Keller, Zach:</t>
        </r>
        <r>
          <rPr>
            <sz val="10"/>
            <color rgb="FF000000"/>
            <rFont val="Tahoma"/>
            <family val="2"/>
          </rPr>
          <t xml:space="preserve">
Source: Forbes team page, historical operating income for Forbes 2022 list (Oct 2022 list; 2021–22 season, net of revenue sharing and arena debt service), https://www.forbes.com/teams/washington-wizards/</t>
        </r>
      </text>
    </comment>
    <comment ref="I34" authorId="0" shapeId="0" xr:uid="{F8240A78-E501-8849-849B-F71827951412}">
      <text>
        <r>
          <rPr>
            <b/>
            <sz val="10"/>
            <color rgb="FF000000"/>
            <rFont val="Tahoma"/>
            <family val="2"/>
          </rPr>
          <t>Keller, Zach:</t>
        </r>
        <r>
          <rPr>
            <sz val="10"/>
            <color rgb="FF000000"/>
            <rFont val="Tahoma"/>
            <family val="2"/>
          </rPr>
          <t xml:space="preserve">
Source: Forbes team page, historical operating income for Forbes 2023 list (Oct 2023 list; 2022–23 season, net of revenue sharing and arena debt service), https://www.forbes.com/teams/washington-wizards/</t>
        </r>
      </text>
    </comment>
    <comment ref="J34" authorId="0" shapeId="0" xr:uid="{86B46085-BAAF-BF44-AFBC-F7CBABA90183}">
      <text>
        <r>
          <rPr>
            <b/>
            <sz val="10"/>
            <color rgb="FF000000"/>
            <rFont val="Tahoma"/>
            <family val="2"/>
          </rPr>
          <t>Keller, Zach:</t>
        </r>
        <r>
          <rPr>
            <sz val="10"/>
            <color rgb="FF000000"/>
            <rFont val="Tahoma"/>
            <family val="2"/>
          </rPr>
          <t xml:space="preserve">
Source: Forbes, The Most Valuable NBA Teams 2024 list article (Oct 2024; 2023–24 operating income, net of revenue sharing and arena debt service), https://www.forbes.com/sites/justinteitelbaum/2024/10/24/the-most-valuable-nba-teams-2024/</t>
        </r>
      </text>
    </comment>
    <comment ref="K34" authorId="0" shapeId="0" xr:uid="{45559BE6-A957-B44D-8356-60DF94A03398}">
      <text>
        <r>
          <rPr>
            <b/>
            <sz val="10"/>
            <color rgb="FF000000"/>
            <rFont val="Tahoma"/>
            <family val="2"/>
          </rPr>
          <t>Keller, Zach:</t>
        </r>
        <r>
          <rPr>
            <sz val="10"/>
            <color rgb="FF000000"/>
            <rFont val="Tahoma"/>
            <family val="2"/>
          </rPr>
          <t xml:space="preserve">
Source: Forbes, The Most Valuable NBA Teams 2025 list article (Oct 2025; 2024–25 operating income, net of revenue sharing and arena debt service), https://www.forbes.com/sites/justinteitelbaum/2025/10/23/the-most-valuable-nba-teams-2025/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Keller, Zach</author>
  </authors>
  <commentList>
    <comment ref="A3" authorId="0" shapeId="0" xr:uid="{665C377A-616B-0048-9FDB-3FB65338FBDA}">
      <text>
        <r>
          <rPr>
            <b/>
            <sz val="10"/>
            <color rgb="FF000000"/>
            <rFont val="Tahoma"/>
            <family val="2"/>
          </rPr>
          <t>Keller, Zach:</t>
        </r>
        <r>
          <rPr>
            <sz val="10"/>
            <color rgb="FF000000"/>
            <rFont val="Tahoma"/>
            <family val="2"/>
          </rPr>
          <t xml:space="preserve">
Year-by-year table, kept for reference. Sources: Census Vintage 2020 (2017–2019, pre-2023 metro boundaries) and Vintage 2025 (2020–2025, July 2023 boundaries); Toronto: StatCan Table 17-10-0148-01. BOUNDARY BREAK between 2019 and 2020 — e.g., New Orleans −21%, Cleveland +7%, New York +5% at July 1 2020 — so year-to-year changes across 2019→2020 are not real growth. The Panel uses the fixed column L instead. Two-team markets (NY, LA) show the full metro for both teams.</t>
        </r>
      </text>
    </comment>
    <comment ref="L3" authorId="0" shapeId="0" xr:uid="{4474E11B-6159-1440-9FBE-8AFC6AE0CA19}">
      <text>
        <r>
          <rPr>
            <b/>
            <sz val="10"/>
            <color rgb="FF000000"/>
            <rFont val="Tahoma"/>
            <family val="2"/>
          </rPr>
          <t>Keller, Zach:</t>
        </r>
        <r>
          <rPr>
            <sz val="10"/>
            <color rgb="FF000000"/>
            <rFont val="Tahoma"/>
            <family val="2"/>
          </rPr>
          <t xml:space="preserve">
Fixed market-size measure used by the Panel's msa_pop for every season. = the July 1, 2020 value in column E: U.S. teams from the Census Vintage 2025 file (CBSA-EST2025-ALLDATA, POPESTIMATE2020, July 2023 metro boundaries); Toronto from Statistics Canada Table 17-10-0148-01 (July 1 2020 CMA). Formulas link to column E, so the source notes there apply. A fixed value avoids the 2019→2020 boundary break in the year-by-year table.</t>
        </r>
      </text>
    </comment>
    <comment ref="B5" authorId="0" shapeId="0" xr:uid="{644DD2A5-75DF-1B41-B010-BB11C0A46D91}">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POPESTIMATE2017 (July 1 2017), Atlanta-Sandy Springs-Alpharetta, GA metro area (CBSA 12060),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+0.5% (6087762 vs 6120770).</t>
        </r>
      </text>
    </comment>
    <comment ref="C5" authorId="0" shapeId="0" xr:uid="{FA5748E3-FD0E-B340-9F69-B0B2126F3BF5}">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POPESTIMATE2018 (July 1 2018), Atlanta-Sandy Springs-Alpharetta, GA metro area (CBSA 12060),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+0.5% (6087762 vs 6120770).</t>
        </r>
      </text>
    </comment>
    <comment ref="D5" authorId="0" shapeId="0" xr:uid="{EF11E18E-194D-DC46-ACCD-856C8A06610F}">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POPESTIMATE2019 (July 1 2019), Atlanta-Sandy Springs-Alpharetta, GA metro area (CBSA 12060),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+0.5% (6087762 vs 6120770).</t>
        </r>
      </text>
    </comment>
    <comment ref="E5" authorId="0" shapeId="0" xr:uid="{65771C84-246D-8149-B7A8-DABF74F0C87E}">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POPESTIMATE2020 (July 1 2020), Atlanta-Sandy Springs-Roswell, GA metro area, uploaded file cbsa-est2025-alldata.csv, https://www2.census.gov/programs-surveys/popest/datasets/2020-2025/metro/totals/cbsa-est2025-alldata.csv. July 2023 OMB delineations.</t>
        </r>
      </text>
    </comment>
    <comment ref="F5" authorId="0" shapeId="0" xr:uid="{BBF9DDC6-725E-CB44-822A-28F54D0B8F51}">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POPESTIMATE2021 (July 1 2021), Atlanta-Sandy Springs-Roswell, GA metro area, uploaded file cbsa-est2025-alldata.csv, https://www2.census.gov/programs-surveys/popest/datasets/2020-2025/metro/totals/cbsa-est2025-alldata.csv. July 2023 OMB delineations.</t>
        </r>
      </text>
    </comment>
    <comment ref="G5" authorId="0" shapeId="0" xr:uid="{33D5C425-3B45-6546-A97B-36AD3E191CDA}">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POPESTIMATE2022 (July 1 2022), Atlanta-Sandy Springs-Roswell, GA metro area, uploaded file cbsa-est2025-alldata.csv, https://www2.census.gov/programs-surveys/popest/datasets/2020-2025/metro/totals/cbsa-est2025-alldata.csv. July 2023 OMB delineations.</t>
        </r>
      </text>
    </comment>
    <comment ref="H5" authorId="0" shapeId="0" xr:uid="{CBC4C616-CC3D-BA4F-B1AC-D6F74B78F12F}">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POPESTIMATE2023 (July 1 2023), Atlanta-Sandy Springs-Roswell, GA metro area, uploaded file cbsa-est2025-alldata.csv, https://www2.census.gov/programs-surveys/popest/datasets/2020-2025/metro/totals/cbsa-est2025-alldata.csv. July 2023 OMB delineations.</t>
        </r>
      </text>
    </comment>
    <comment ref="I5" authorId="0" shapeId="0" xr:uid="{548D994B-9B7A-A34D-A59B-3B6F1C3E1C56}">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POPESTIMATE2024 (July 1 2024), Atlanta-Sandy Springs-Roswell, GA metro area, uploaded file cbsa-est2025-alldata.csv, https://www2.census.gov/programs-surveys/popest/datasets/2020-2025/metro/totals/cbsa-est2025-alldata.csv. July 2023 OMB delineations.</t>
        </r>
      </text>
    </comment>
    <comment ref="J5" authorId="0" shapeId="0" xr:uid="{ED1916E6-73F2-8745-86DF-C1464F22648F}">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POPESTIMATE2025 (July 1 2025), Atlanta-Sandy Springs-Roswell, GA metro area, uploaded file cbsa-est2025-alldata.csv, https://www2.census.gov/programs-surveys/popest/datasets/2020-2025/metro/totals/cbsa-est2025-alldata.csv. July 2023 OMB delineations.</t>
        </r>
      </text>
    </comment>
    <comment ref="B6" authorId="0" shapeId="0" xr:uid="{94E9E093-0DEC-2348-8BB3-D1F27C131908}">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POPESTIMATE2017 (July 1 2017), Boston-Cambridge-Newton, MA-NH metro area (CBSA 14460),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+0.9% (4878211 vs 4921409).</t>
        </r>
      </text>
    </comment>
    <comment ref="C6" authorId="0" shapeId="0" xr:uid="{B7183EF4-7EC9-9A4B-A6A1-14AFE08E41B4}">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POPESTIMATE2018 (July 1 2018), Boston-Cambridge-Newton, MA-NH metro area (CBSA 14460),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+0.9% (4878211 vs 4921409).</t>
        </r>
      </text>
    </comment>
    <comment ref="D6" authorId="0" shapeId="0" xr:uid="{C81D2F7E-C236-304B-91D4-09851B1CB1A5}">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POPESTIMATE2019 (July 1 2019), Boston-Cambridge-Newton, MA-NH metro area (CBSA 14460),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+0.9% (4878211 vs 4921409).</t>
        </r>
      </text>
    </comment>
    <comment ref="E6" authorId="0" shapeId="0" xr:uid="{F797B068-8C4D-A64A-84D5-5638986FDA63}">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POPESTIMATE2020 (July 1 2020), Boston-Cambridge-Newton, MA-NH metro area, uploaded file cbsa-est2025-alldata.csv, https://www2.census.gov/programs-surveys/popest/datasets/2020-2025/metro/totals/cbsa-est2025-alldata.csv. July 2023 OMB delineations.</t>
        </r>
      </text>
    </comment>
    <comment ref="F6" authorId="0" shapeId="0" xr:uid="{0B60711D-6D22-3A47-9EB5-97C684589925}">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POPESTIMATE2021 (July 1 2021), Boston-Cambridge-Newton, MA-NH metro area, uploaded file cbsa-est2025-alldata.csv, https://www2.census.gov/programs-surveys/popest/datasets/2020-2025/metro/totals/cbsa-est2025-alldata.csv. July 2023 OMB delineations.</t>
        </r>
      </text>
    </comment>
    <comment ref="G6" authorId="0" shapeId="0" xr:uid="{89413021-3CD9-F74F-9880-088C467CBF0A}">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POPESTIMATE2022 (July 1 2022), Boston-Cambridge-Newton, MA-NH metro area, uploaded file cbsa-est2025-alldata.csv, https://www2.census.gov/programs-surveys/popest/datasets/2020-2025/metro/totals/cbsa-est2025-alldata.csv. July 2023 OMB delineations.</t>
        </r>
      </text>
    </comment>
    <comment ref="H6" authorId="0" shapeId="0" xr:uid="{7E743F90-9CE0-0042-891E-0413E4CBDAA1}">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POPESTIMATE2023 (July 1 2023), Boston-Cambridge-Newton, MA-NH metro area, uploaded file cbsa-est2025-alldata.csv, https://www2.census.gov/programs-surveys/popest/datasets/2020-2025/metro/totals/cbsa-est2025-alldata.csv. July 2023 OMB delineations.</t>
        </r>
      </text>
    </comment>
    <comment ref="I6" authorId="0" shapeId="0" xr:uid="{1348C606-6B92-4143-A53D-2DB2FCFFCBCE}">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POPESTIMATE2024 (July 1 2024), Boston-Cambridge-Newton, MA-NH metro area, uploaded file cbsa-est2025-alldata.csv, https://www2.census.gov/programs-surveys/popest/datasets/2020-2025/metro/totals/cbsa-est2025-alldata.csv. July 2023 OMB delineations.</t>
        </r>
      </text>
    </comment>
    <comment ref="J6" authorId="0" shapeId="0" xr:uid="{CC19F8C7-4F4F-7948-86F4-15D768680272}">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POPESTIMATE2025 (July 1 2025), Boston-Cambridge-Newton, MA-NH metro area, uploaded file cbsa-est2025-alldata.csv, https://www2.census.gov/programs-surveys/popest/datasets/2020-2025/metro/totals/cbsa-est2025-alldata.csv. July 2023 OMB delineations.</t>
        </r>
      </text>
    </comment>
    <comment ref="B7" authorId="0" shapeId="0" xr:uid="{F8B0B3B4-9916-F644-9742-6640FD625C23}">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POPESTIMATE2017 (July 1 2017), New York-Newark-Jersey City, NY-NJ-PA metro area (CBSA 35620),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+4.6% (19124359 vs 19999993).</t>
        </r>
      </text>
    </comment>
    <comment ref="C7" authorId="0" shapeId="0" xr:uid="{54016816-A48C-894F-A2DD-D6ACD1BED22A}">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POPESTIMATE2018 (July 1 2018), New York-Newark-Jersey City, NY-NJ-PA metro area (CBSA 35620),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+4.6% (19124359 vs 19999993).</t>
        </r>
      </text>
    </comment>
    <comment ref="D7" authorId="0" shapeId="0" xr:uid="{7D71B6E7-8222-8F47-8D09-65D300DEFC90}">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POPESTIMATE2019 (July 1 2019), New York-Newark-Jersey City, NY-NJ-PA metro area (CBSA 35620),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+4.6% (19124359 vs 19999993).</t>
        </r>
      </text>
    </comment>
    <comment ref="E7" authorId="0" shapeId="0" xr:uid="{8CD7E17C-5ED6-754F-82CF-5FBB43A24478}">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POPESTIMATE2020 (July 1 2020), New York-Newark-Jersey City, NY-NJ metro area, uploaded file cbsa-est2025-alldata.csv, https://www2.census.gov/programs-surveys/popest/datasets/2020-2025/metro/totals/cbsa-est2025-alldata.csv. July 2023 OMB delineations.</t>
        </r>
      </text>
    </comment>
    <comment ref="F7" authorId="0" shapeId="0" xr:uid="{C68109F7-A46F-A246-A1D0-0E8A12C8A3CE}">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POPESTIMATE2021 (July 1 2021), New York-Newark-Jersey City, NY-NJ metro area, uploaded file cbsa-est2025-alldata.csv, https://www2.census.gov/programs-surveys/popest/datasets/2020-2025/metro/totals/cbsa-est2025-alldata.csv. July 2023 OMB delineations.</t>
        </r>
      </text>
    </comment>
    <comment ref="G7" authorId="0" shapeId="0" xr:uid="{D842E938-3703-E447-8013-1A0B33BA01E6}">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POPESTIMATE2022 (July 1 2022), New York-Newark-Jersey City, NY-NJ metro area, uploaded file cbsa-est2025-alldata.csv, https://www2.census.gov/programs-surveys/popest/datasets/2020-2025/metro/totals/cbsa-est2025-alldata.csv. July 2023 OMB delineations.</t>
        </r>
      </text>
    </comment>
    <comment ref="H7" authorId="0" shapeId="0" xr:uid="{6A3962CC-2699-EA40-84BC-5C511DE34B9F}">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POPESTIMATE2023 (July 1 2023), New York-Newark-Jersey City, NY-NJ metro area, uploaded file cbsa-est2025-alldata.csv, https://www2.census.gov/programs-surveys/popest/datasets/2020-2025/metro/totals/cbsa-est2025-alldata.csv. July 2023 OMB delineations.</t>
        </r>
      </text>
    </comment>
    <comment ref="I7" authorId="0" shapeId="0" xr:uid="{93794283-A5B6-534B-8A08-727BEBE6D8C5}">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POPESTIMATE2024 (July 1 2024), New York-Newark-Jersey City, NY-NJ metro area, uploaded file cbsa-est2025-alldata.csv, https://www2.census.gov/programs-surveys/popest/datasets/2020-2025/metro/totals/cbsa-est2025-alldata.csv. July 2023 OMB delineations.</t>
        </r>
      </text>
    </comment>
    <comment ref="J7" authorId="0" shapeId="0" xr:uid="{7B7066D4-A55C-AF45-AC31-7EB297BFBF35}">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POPESTIMATE2025 (July 1 2025), New York-Newark-Jersey City, NY-NJ metro area, uploaded file cbsa-est2025-alldata.csv, https://www2.census.gov/programs-surveys/popest/datasets/2020-2025/metro/totals/cbsa-est2025-alldata.csv. July 2023 OMB delineations.</t>
        </r>
      </text>
    </comment>
    <comment ref="B8" authorId="0" shapeId="0" xr:uid="{C2AA4E2C-3BD0-8240-8FA1-30C66E1AA6C9}">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POPESTIMATE2017 (July 1 2017), Charlotte-Concord-Gastonia, NC-SC metro area (CBSA 16740),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-0.6% (2684276 vs 2668342).</t>
        </r>
      </text>
    </comment>
    <comment ref="C8" authorId="0" shapeId="0" xr:uid="{FA878D61-1D98-7C46-82A3-01464C0FFDB7}">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POPESTIMATE2018 (July 1 2018), Charlotte-Concord-Gastonia, NC-SC metro area (CBSA 16740),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-0.6% (2684276 vs 2668342).</t>
        </r>
      </text>
    </comment>
    <comment ref="D8" authorId="0" shapeId="0" xr:uid="{ECEDCBC4-4278-944D-9B0A-AB1A2913D08A}">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POPESTIMATE2019 (July 1 2019), Charlotte-Concord-Gastonia, NC-SC metro area (CBSA 16740),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-0.6% (2684276 vs 2668342).</t>
        </r>
      </text>
    </comment>
    <comment ref="E8" authorId="0" shapeId="0" xr:uid="{DD78F9BE-4BCA-9140-9BA5-9A41B4F7665C}">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POPESTIMATE2020 (July 1 2020), Charlotte-Concord-Gastonia, NC-SC metro area, uploaded file cbsa-est2025-alldata.csv, https://www2.census.gov/programs-surveys/popest/datasets/2020-2025/metro/totals/cbsa-est2025-alldata.csv. July 2023 OMB delineations.</t>
        </r>
      </text>
    </comment>
    <comment ref="F8" authorId="0" shapeId="0" xr:uid="{0F73C52C-35C4-CC45-BD89-56EF7AEC2489}">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POPESTIMATE2021 (July 1 2021), Charlotte-Concord-Gastonia, NC-SC metro area, uploaded file cbsa-est2025-alldata.csv, https://www2.census.gov/programs-surveys/popest/datasets/2020-2025/metro/totals/cbsa-est2025-alldata.csv. July 2023 OMB delineations.</t>
        </r>
      </text>
    </comment>
    <comment ref="G8" authorId="0" shapeId="0" xr:uid="{392C34E1-C4E0-4F42-9CED-47A140768BE1}">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POPESTIMATE2022 (July 1 2022), Charlotte-Concord-Gastonia, NC-SC metro area, uploaded file cbsa-est2025-alldata.csv, https://www2.census.gov/programs-surveys/popest/datasets/2020-2025/metro/totals/cbsa-est2025-alldata.csv. July 2023 OMB delineations.</t>
        </r>
      </text>
    </comment>
    <comment ref="H8" authorId="0" shapeId="0" xr:uid="{C96A9A2F-106D-4B4B-96CB-34597FC1C481}">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POPESTIMATE2023 (July 1 2023), Charlotte-Concord-Gastonia, NC-SC metro area, uploaded file cbsa-est2025-alldata.csv, https://www2.census.gov/programs-surveys/popest/datasets/2020-2025/metro/totals/cbsa-est2025-alldata.csv. July 2023 OMB delineations.</t>
        </r>
      </text>
    </comment>
    <comment ref="I8" authorId="0" shapeId="0" xr:uid="{6AD364D6-91C1-EC4C-AB0A-EF9A18FE670F}">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POPESTIMATE2024 (July 1 2024), Charlotte-Concord-Gastonia, NC-SC metro area, uploaded file cbsa-est2025-alldata.csv, https://www2.census.gov/programs-surveys/popest/datasets/2020-2025/metro/totals/cbsa-est2025-alldata.csv. July 2023 OMB delineations.</t>
        </r>
      </text>
    </comment>
    <comment ref="J8" authorId="0" shapeId="0" xr:uid="{5E71EC83-96A7-3F49-98C6-5104C403DB44}">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POPESTIMATE2025 (July 1 2025), Charlotte-Concord-Gastonia, NC-SC metro area, uploaded file cbsa-est2025-alldata.csv, https://www2.census.gov/programs-surveys/popest/datasets/2020-2025/metro/totals/cbsa-est2025-alldata.csv. July 2023 OMB delineations.</t>
        </r>
      </text>
    </comment>
    <comment ref="B9" authorId="0" shapeId="0" xr:uid="{1A8F958A-17D4-4E40-9AC7-12C4FC00AF41}">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POPESTIMATE2017 (July 1 2017), Chicago-Naperville-Elgin, IL-IN-WI metro area (CBSA 16980),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+0.3% (9406638 vs 9435971).</t>
        </r>
      </text>
    </comment>
    <comment ref="C9" authorId="0" shapeId="0" xr:uid="{E8B9D993-9EB7-3741-83C8-8C24DA35D76F}">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POPESTIMATE2018 (July 1 2018), Chicago-Naperville-Elgin, IL-IN-WI metro area (CBSA 16980),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+0.3% (9406638 vs 9435971).</t>
        </r>
      </text>
    </comment>
    <comment ref="D9" authorId="0" shapeId="0" xr:uid="{3E849BA0-A039-DC4B-88FE-81E7746B3DDA}">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POPESTIMATE2019 (July 1 2019), Chicago-Naperville-Elgin, IL-IN-WI metro area (CBSA 16980),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+0.3% (9406638 vs 9435971).</t>
        </r>
      </text>
    </comment>
    <comment ref="E9" authorId="0" shapeId="0" xr:uid="{D1D91876-4FDD-984C-B940-B3966D358343}">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POPESTIMATE2020 (July 1 2020), Chicago-Naperville-Elgin, IL-IN metro area, uploaded file cbsa-est2025-alldata.csv, https://www2.census.gov/programs-surveys/popest/datasets/2020-2025/metro/totals/cbsa-est2025-alldata.csv. July 2023 OMB delineations.</t>
        </r>
      </text>
    </comment>
    <comment ref="F9" authorId="0" shapeId="0" xr:uid="{291058C4-273E-E748-B258-5B8F0D92FE32}">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POPESTIMATE2021 (July 1 2021), Chicago-Naperville-Elgin, IL-IN metro area, uploaded file cbsa-est2025-alldata.csv, https://www2.census.gov/programs-surveys/popest/datasets/2020-2025/metro/totals/cbsa-est2025-alldata.csv. July 2023 OMB delineations.</t>
        </r>
      </text>
    </comment>
    <comment ref="G9" authorId="0" shapeId="0" xr:uid="{553A6E57-991E-B641-BC56-08C674D5C9E5}">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POPESTIMATE2022 (July 1 2022), Chicago-Naperville-Elgin, IL-IN metro area, uploaded file cbsa-est2025-alldata.csv, https://www2.census.gov/programs-surveys/popest/datasets/2020-2025/metro/totals/cbsa-est2025-alldata.csv. July 2023 OMB delineations.</t>
        </r>
      </text>
    </comment>
    <comment ref="H9" authorId="0" shapeId="0" xr:uid="{0A4D02C9-5593-2B4B-A70A-F774F63F9F59}">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POPESTIMATE2023 (July 1 2023), Chicago-Naperville-Elgin, IL-IN metro area, uploaded file cbsa-est2025-alldata.csv, https://www2.census.gov/programs-surveys/popest/datasets/2020-2025/metro/totals/cbsa-est2025-alldata.csv. July 2023 OMB delineations.</t>
        </r>
      </text>
    </comment>
    <comment ref="I9" authorId="0" shapeId="0" xr:uid="{A9561862-319B-AC4A-9B9E-4985BB28DDC2}">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POPESTIMATE2024 (July 1 2024), Chicago-Naperville-Elgin, IL-IN metro area, uploaded file cbsa-est2025-alldata.csv, https://www2.census.gov/programs-surveys/popest/datasets/2020-2025/metro/totals/cbsa-est2025-alldata.csv. July 2023 OMB delineations.</t>
        </r>
      </text>
    </comment>
    <comment ref="J9" authorId="0" shapeId="0" xr:uid="{851411F7-9192-DF4B-B6B6-50C50111E9BA}">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POPESTIMATE2025 (July 1 2025), Chicago-Naperville-Elgin, IL-IN metro area, uploaded file cbsa-est2025-alldata.csv, https://www2.census.gov/programs-surveys/popest/datasets/2020-2025/metro/totals/cbsa-est2025-alldata.csv. July 2023 OMB delineations.</t>
        </r>
      </text>
    </comment>
    <comment ref="B10" authorId="0" shapeId="0" xr:uid="{DDA38B1B-CEE0-DD4E-B425-0CBD561BD110}">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POPESTIMATE2017 (July 1 2017), Cleveland-Elyria, OH metro area (CBSA 17460),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+6.9% (2043807 vs 2184166).</t>
        </r>
      </text>
    </comment>
    <comment ref="C10" authorId="0" shapeId="0" xr:uid="{A93F0C67-698A-8A4F-AEFF-D90DCFF0A8A0}">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POPESTIMATE2018 (July 1 2018), Cleveland-Elyria, OH metro area (CBSA 17460),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+6.9% (2043807 vs 2184166).</t>
        </r>
      </text>
    </comment>
    <comment ref="D10" authorId="0" shapeId="0" xr:uid="{52621028-04C7-FD4B-A34A-64469BE6A97A}">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POPESTIMATE2019 (July 1 2019), Cleveland-Elyria, OH metro area (CBSA 17460),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+6.9% (2043807 vs 2184166).</t>
        </r>
      </text>
    </comment>
    <comment ref="E10" authorId="0" shapeId="0" xr:uid="{7F76D4B3-3072-CC42-B968-8FC3B17E1A62}">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POPESTIMATE2020 (July 1 2020), Cleveland, OH metro area, uploaded file cbsa-est2025-alldata.csv, https://www2.census.gov/programs-surveys/popest/datasets/2020-2025/metro/totals/cbsa-est2025-alldata.csv. July 2023 OMB delineations.</t>
        </r>
      </text>
    </comment>
    <comment ref="F10" authorId="0" shapeId="0" xr:uid="{E867E8A5-3A2B-8E4C-B07B-E404A32663CF}">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POPESTIMATE2021 (July 1 2021), Cleveland, OH metro area, uploaded file cbsa-est2025-alldata.csv, https://www2.census.gov/programs-surveys/popest/datasets/2020-2025/metro/totals/cbsa-est2025-alldata.csv. July 2023 OMB delineations.</t>
        </r>
      </text>
    </comment>
    <comment ref="G10" authorId="0" shapeId="0" xr:uid="{2F8CD3D2-50B4-4748-901A-87A50D295D92}">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POPESTIMATE2022 (July 1 2022), Cleveland, OH metro area, uploaded file cbsa-est2025-alldata.csv, https://www2.census.gov/programs-surveys/popest/datasets/2020-2025/metro/totals/cbsa-est2025-alldata.csv. July 2023 OMB delineations.</t>
        </r>
      </text>
    </comment>
    <comment ref="H10" authorId="0" shapeId="0" xr:uid="{4A757CAB-BD69-B744-8FC3-CEF7B7ACC8B3}">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POPESTIMATE2023 (July 1 2023), Cleveland, OH metro area, uploaded file cbsa-est2025-alldata.csv, https://www2.census.gov/programs-surveys/popest/datasets/2020-2025/metro/totals/cbsa-est2025-alldata.csv. July 2023 OMB delineations.</t>
        </r>
      </text>
    </comment>
    <comment ref="I10" authorId="0" shapeId="0" xr:uid="{8201DEC0-DA67-B445-AB21-8608190B1B50}">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POPESTIMATE2024 (July 1 2024), Cleveland, OH metro area, uploaded file cbsa-est2025-alldata.csv, https://www2.census.gov/programs-surveys/popest/datasets/2020-2025/metro/totals/cbsa-est2025-alldata.csv. July 2023 OMB delineations.</t>
        </r>
      </text>
    </comment>
    <comment ref="J10" authorId="0" shapeId="0" xr:uid="{04E2C8CA-A870-8E4D-9BF7-BBEC435EC20A}">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POPESTIMATE2025 (July 1 2025), Cleveland, OH metro area, uploaded file cbsa-est2025-alldata.csv, https://www2.census.gov/programs-surveys/popest/datasets/2020-2025/metro/totals/cbsa-est2025-alldata.csv. July 2023 OMB delineations.</t>
        </r>
      </text>
    </comment>
    <comment ref="B11" authorId="0" shapeId="0" xr:uid="{7A9F78BB-CE7A-D647-92AC-9F9C4F2D470E}">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POPESTIMATE2017 (July 1 2017), Dallas-Fort Worth-Arlington, TX metro area (CBSA 19100),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-0.3% (7694138 vs 7667416).</t>
        </r>
      </text>
    </comment>
    <comment ref="C11" authorId="0" shapeId="0" xr:uid="{76AF95D2-F68A-A141-B938-2EC49840A325}">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POPESTIMATE2018 (July 1 2018), Dallas-Fort Worth-Arlington, TX metro area (CBSA 19100),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-0.3% (7694138 vs 7667416).</t>
        </r>
      </text>
    </comment>
    <comment ref="D11" authorId="0" shapeId="0" xr:uid="{2835A539-F1CB-1842-8ED0-444CD048343C}">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POPESTIMATE2019 (July 1 2019), Dallas-Fort Worth-Arlington, TX metro area (CBSA 19100),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-0.3% (7694138 vs 7667416).</t>
        </r>
      </text>
    </comment>
    <comment ref="E11" authorId="0" shapeId="0" xr:uid="{05960CC6-24DA-4740-B277-528E62042398}">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POPESTIMATE2020 (July 1 2020), Dallas-Fort Worth-Arlington, TX metro area, uploaded file cbsa-est2025-alldata.csv, https://www2.census.gov/programs-surveys/popest/datasets/2020-2025/metro/totals/cbsa-est2025-alldata.csv. July 2023 OMB delineations.</t>
        </r>
      </text>
    </comment>
    <comment ref="F11" authorId="0" shapeId="0" xr:uid="{11EAA1E1-945A-0743-B3FF-9BA5760413EC}">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POPESTIMATE2021 (July 1 2021), Dallas-Fort Worth-Arlington, TX metro area, uploaded file cbsa-est2025-alldata.csv, https://www2.census.gov/programs-surveys/popest/datasets/2020-2025/metro/totals/cbsa-est2025-alldata.csv. July 2023 OMB delineations.</t>
        </r>
      </text>
    </comment>
    <comment ref="G11" authorId="0" shapeId="0" xr:uid="{B26ED1B1-288F-EC44-A48F-4557D41CD606}">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POPESTIMATE2022 (July 1 2022), Dallas-Fort Worth-Arlington, TX metro area, uploaded file cbsa-est2025-alldata.csv, https://www2.census.gov/programs-surveys/popest/datasets/2020-2025/metro/totals/cbsa-est2025-alldata.csv. July 2023 OMB delineations.</t>
        </r>
      </text>
    </comment>
    <comment ref="H11" authorId="0" shapeId="0" xr:uid="{A2CCBCC0-95EF-DA40-B248-0DD7FC3D1215}">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POPESTIMATE2023 (July 1 2023), Dallas-Fort Worth-Arlington, TX metro area, uploaded file cbsa-est2025-alldata.csv, https://www2.census.gov/programs-surveys/popest/datasets/2020-2025/metro/totals/cbsa-est2025-alldata.csv. July 2023 OMB delineations.</t>
        </r>
      </text>
    </comment>
    <comment ref="I11" authorId="0" shapeId="0" xr:uid="{C05B0CF8-BC42-1843-9925-40E90A56D32C}">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POPESTIMATE2024 (July 1 2024), Dallas-Fort Worth-Arlington, TX metro area, uploaded file cbsa-est2025-alldata.csv, https://www2.census.gov/programs-surveys/popest/datasets/2020-2025/metro/totals/cbsa-est2025-alldata.csv. July 2023 OMB delineations.</t>
        </r>
      </text>
    </comment>
    <comment ref="J11" authorId="0" shapeId="0" xr:uid="{455F0890-A204-4E40-A4DE-3BA1EAE2CA4D}">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POPESTIMATE2025 (July 1 2025), Dallas-Fort Worth-Arlington, TX metro area, uploaded file cbsa-est2025-alldata.csv, https://www2.census.gov/programs-surveys/popest/datasets/2020-2025/metro/totals/cbsa-est2025-alldata.csv. July 2023 OMB delineations.</t>
        </r>
      </text>
    </comment>
    <comment ref="B12" authorId="0" shapeId="0" xr:uid="{17C0D6F6-DC68-5540-858A-513BE2F9F496}">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POPESTIMATE2017 (July 1 2017), Denver-Aurora-Lakewood, CO metro area (CBSA 19740),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-0.7% (2991231 vs 2970099).</t>
        </r>
      </text>
    </comment>
    <comment ref="C12" authorId="0" shapeId="0" xr:uid="{2A853BAD-C4CC-F649-809F-11C4C1ED99B0}">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POPESTIMATE2018 (July 1 2018), Denver-Aurora-Lakewood, CO metro area (CBSA 19740),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-0.7% (2991231 vs 2970099).</t>
        </r>
      </text>
    </comment>
    <comment ref="D12" authorId="0" shapeId="0" xr:uid="{F59E9B76-D958-614B-9D80-269D7E52D0F9}">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POPESTIMATE2019 (July 1 2019), Denver-Aurora-Lakewood, CO metro area (CBSA 19740),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-0.7% (2991231 vs 2970099).</t>
        </r>
      </text>
    </comment>
    <comment ref="E12" authorId="0" shapeId="0" xr:uid="{448C372D-90E5-5E4E-8362-6476105CADD2}">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POPESTIMATE2020 (July 1 2020), Denver-Aurora-Centennial, CO metro area, uploaded file cbsa-est2025-alldata.csv, https://www2.census.gov/programs-surveys/popest/datasets/2020-2025/metro/totals/cbsa-est2025-alldata.csv. July 2023 OMB delineations.</t>
        </r>
      </text>
    </comment>
    <comment ref="F12" authorId="0" shapeId="0" xr:uid="{11457B8A-135A-C246-9CEE-565AF554DC75}">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POPESTIMATE2021 (July 1 2021), Denver-Aurora-Centennial, CO metro area, uploaded file cbsa-est2025-alldata.csv, https://www2.census.gov/programs-surveys/popest/datasets/2020-2025/metro/totals/cbsa-est2025-alldata.csv. July 2023 OMB delineations.</t>
        </r>
      </text>
    </comment>
    <comment ref="G12" authorId="0" shapeId="0" xr:uid="{A3A491A6-88EE-0147-870D-05139CAFA000}">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POPESTIMATE2022 (July 1 2022), Denver-Aurora-Centennial, CO metro area, uploaded file cbsa-est2025-alldata.csv, https://www2.census.gov/programs-surveys/popest/datasets/2020-2025/metro/totals/cbsa-est2025-alldata.csv. July 2023 OMB delineations.</t>
        </r>
      </text>
    </comment>
    <comment ref="H12" authorId="0" shapeId="0" xr:uid="{E143484D-550D-8E43-A180-5B903244D790}">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POPESTIMATE2023 (July 1 2023), Denver-Aurora-Centennial, CO metro area, uploaded file cbsa-est2025-alldata.csv, https://www2.census.gov/programs-surveys/popest/datasets/2020-2025/metro/totals/cbsa-est2025-alldata.csv. July 2023 OMB delineations.</t>
        </r>
      </text>
    </comment>
    <comment ref="I12" authorId="0" shapeId="0" xr:uid="{17D57387-1E8E-E049-B8B6-2E6F5B1E761F}">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POPESTIMATE2024 (July 1 2024), Denver-Aurora-Centennial, CO metro area, uploaded file cbsa-est2025-alldata.csv, https://www2.census.gov/programs-surveys/popest/datasets/2020-2025/metro/totals/cbsa-est2025-alldata.csv. July 2023 OMB delineations.</t>
        </r>
      </text>
    </comment>
    <comment ref="J12" authorId="0" shapeId="0" xr:uid="{FDC1570E-8AEF-EF41-878C-FE4EC5767534}">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POPESTIMATE2025 (July 1 2025), Denver-Aurora-Centennial, CO metro area, uploaded file cbsa-est2025-alldata.csv, https://www2.census.gov/programs-surveys/popest/datasets/2020-2025/metro/totals/cbsa-est2025-alldata.csv. July 2023 OMB delineations.</t>
        </r>
      </text>
    </comment>
    <comment ref="B13" authorId="0" shapeId="0" xr:uid="{DAD2B833-F522-3240-87CD-602A4BE11A5C}">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POPESTIMATE2017 (July 1 2017), Detroit-Warren-Dearborn, MI metro area (CBSA 19820),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+1.9% (4304136 vs 4385353).</t>
        </r>
      </text>
    </comment>
    <comment ref="C13" authorId="0" shapeId="0" xr:uid="{FFB9D19F-1E2F-4142-8968-D9FF11633C8B}">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POPESTIMATE2018 (July 1 2018), Detroit-Warren-Dearborn, MI metro area (CBSA 19820),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+1.9% (4304136 vs 4385353).</t>
        </r>
      </text>
    </comment>
    <comment ref="D13" authorId="0" shapeId="0" xr:uid="{D7F9D13C-A090-AD4B-82BE-75957C610F3B}">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POPESTIMATE2019 (July 1 2019), Detroit-Warren-Dearborn, MI metro area (CBSA 19820),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+1.9% (4304136 vs 4385353).</t>
        </r>
      </text>
    </comment>
    <comment ref="E13" authorId="0" shapeId="0" xr:uid="{A95A8CA9-8BF1-0348-A94E-F15CED7BB457}">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POPESTIMATE2020 (July 1 2020), Detroit-Warren-Dearborn, MI metro area, uploaded file cbsa-est2025-alldata.csv, https://www2.census.gov/programs-surveys/popest/datasets/2020-2025/metro/totals/cbsa-est2025-alldata.csv. July 2023 OMB delineations.</t>
        </r>
      </text>
    </comment>
    <comment ref="F13" authorId="0" shapeId="0" xr:uid="{D2A12E03-49E4-C943-B837-2344AD238653}">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POPESTIMATE2021 (July 1 2021), Detroit-Warren-Dearborn, MI metro area, uploaded file cbsa-est2025-alldata.csv, https://www2.census.gov/programs-surveys/popest/datasets/2020-2025/metro/totals/cbsa-est2025-alldata.csv. July 2023 OMB delineations.</t>
        </r>
      </text>
    </comment>
    <comment ref="G13" authorId="0" shapeId="0" xr:uid="{E2BF6D7F-0B4A-724D-B028-FD5C53AFB2A6}">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POPESTIMATE2022 (July 1 2022), Detroit-Warren-Dearborn, MI metro area, uploaded file cbsa-est2025-alldata.csv, https://www2.census.gov/programs-surveys/popest/datasets/2020-2025/metro/totals/cbsa-est2025-alldata.csv. July 2023 OMB delineations.</t>
        </r>
      </text>
    </comment>
    <comment ref="H13" authorId="0" shapeId="0" xr:uid="{66031AFA-2201-334A-BC26-878631CF7A3B}">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POPESTIMATE2023 (July 1 2023), Detroit-Warren-Dearborn, MI metro area, uploaded file cbsa-est2025-alldata.csv, https://www2.census.gov/programs-surveys/popest/datasets/2020-2025/metro/totals/cbsa-est2025-alldata.csv. July 2023 OMB delineations.</t>
        </r>
      </text>
    </comment>
    <comment ref="I13" authorId="0" shapeId="0" xr:uid="{A1AEB6FC-0925-2F4F-876B-2D8DAB22BE01}">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POPESTIMATE2024 (July 1 2024), Detroit-Warren-Dearborn, MI metro area, uploaded file cbsa-est2025-alldata.csv, https://www2.census.gov/programs-surveys/popest/datasets/2020-2025/metro/totals/cbsa-est2025-alldata.csv. July 2023 OMB delineations.</t>
        </r>
      </text>
    </comment>
    <comment ref="J13" authorId="0" shapeId="0" xr:uid="{858D147B-E5DD-4C4A-B535-17BE0623822D}">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POPESTIMATE2025 (July 1 2025), Detroit-Warren-Dearborn, MI metro area, uploaded file cbsa-est2025-alldata.csv, https://www2.census.gov/programs-surveys/popest/datasets/2020-2025/metro/totals/cbsa-est2025-alldata.csv. July 2023 OMB delineations.</t>
        </r>
      </text>
    </comment>
    <comment ref="B14" authorId="0" shapeId="0" xr:uid="{A1FE2A8F-A4E2-114B-BF53-521F808E9CA6}">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POPESTIMATE2017 (July 1 2017), San Francisco-Oakland-Berkeley, CA metro area (CBSA 41860),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+1% (4696902 vs 4745853).</t>
        </r>
      </text>
    </comment>
    <comment ref="C14" authorId="0" shapeId="0" xr:uid="{99B4F3F7-BE76-2240-9312-975D0CEBB58F}">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POPESTIMATE2018 (July 1 2018), San Francisco-Oakland-Berkeley, CA metro area (CBSA 41860),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+1% (4696902 vs 4745853).</t>
        </r>
      </text>
    </comment>
    <comment ref="D14" authorId="0" shapeId="0" xr:uid="{149C399E-F31B-EA43-BF60-02A772D1E5F4}">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POPESTIMATE2019 (July 1 2019), San Francisco-Oakland-Berkeley, CA metro area (CBSA 41860),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+1% (4696902 vs 4745853).</t>
        </r>
      </text>
    </comment>
    <comment ref="E14" authorId="0" shapeId="0" xr:uid="{5FCD6A05-E501-9C42-A5BB-24218EC5D618}">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POPESTIMATE2020 (July 1 2020), San Francisco-Oakland-Fremont, CA metro area, uploaded file cbsa-est2025-alldata.csv, https://www2.census.gov/programs-surveys/popest/datasets/2020-2025/metro/totals/cbsa-est2025-alldata.csv. July 2023 OMB delineations.</t>
        </r>
      </text>
    </comment>
    <comment ref="F14" authorId="0" shapeId="0" xr:uid="{A3B0F3EA-541B-F545-B5EC-97526D98A665}">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POPESTIMATE2021 (July 1 2021), San Francisco-Oakland-Fremont, CA metro area, uploaded file cbsa-est2025-alldata.csv, https://www2.census.gov/programs-surveys/popest/datasets/2020-2025/metro/totals/cbsa-est2025-alldata.csv. July 2023 OMB delineations.</t>
        </r>
      </text>
    </comment>
    <comment ref="G14" authorId="0" shapeId="0" xr:uid="{FFACD954-BBD6-EA40-B918-103DBCEC7E10}">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POPESTIMATE2022 (July 1 2022), San Francisco-Oakland-Fremont, CA metro area, uploaded file cbsa-est2025-alldata.csv, https://www2.census.gov/programs-surveys/popest/datasets/2020-2025/metro/totals/cbsa-est2025-alldata.csv. July 2023 OMB delineations.</t>
        </r>
      </text>
    </comment>
    <comment ref="H14" authorId="0" shapeId="0" xr:uid="{C6A08C1E-62A8-5949-80F4-F28644A560B3}">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POPESTIMATE2023 (July 1 2023), San Francisco-Oakland-Fremont, CA metro area, uploaded file cbsa-est2025-alldata.csv, https://www2.census.gov/programs-surveys/popest/datasets/2020-2025/metro/totals/cbsa-est2025-alldata.csv. July 2023 OMB delineations.</t>
        </r>
      </text>
    </comment>
    <comment ref="I14" authorId="0" shapeId="0" xr:uid="{95A36D69-7499-824F-AE55-16886468979C}">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POPESTIMATE2024 (July 1 2024), San Francisco-Oakland-Fremont, CA metro area, uploaded file cbsa-est2025-alldata.csv, https://www2.census.gov/programs-surveys/popest/datasets/2020-2025/metro/totals/cbsa-est2025-alldata.csv. July 2023 OMB delineations.</t>
        </r>
      </text>
    </comment>
    <comment ref="J14" authorId="0" shapeId="0" xr:uid="{6664B27B-5A35-3946-AF81-BCAAFCAEB56E}">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POPESTIMATE2025 (July 1 2025), San Francisco-Oakland-Fremont, CA metro area, uploaded file cbsa-est2025-alldata.csv, https://www2.census.gov/programs-surveys/popest/datasets/2020-2025/metro/totals/cbsa-est2025-alldata.csv. July 2023 OMB delineations.</t>
        </r>
      </text>
    </comment>
    <comment ref="B15" authorId="0" shapeId="0" xr:uid="{4C9D507F-A2B0-B940-B1F8-636EE5A009DC}">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POPESTIMATE2017 (July 1 2017), Houston-The Woodlands-Sugar Land, TX metro area (CBSA 26420),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+0.2% (7154478 vs 7169284).</t>
        </r>
      </text>
    </comment>
    <comment ref="C15" authorId="0" shapeId="0" xr:uid="{4E793996-881E-714D-B4D3-CAFFBCC2442D}">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POPESTIMATE2018 (July 1 2018), Houston-The Woodlands-Sugar Land, TX metro area (CBSA 26420),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+0.2% (7154478 vs 7169284).</t>
        </r>
      </text>
    </comment>
    <comment ref="D15" authorId="0" shapeId="0" xr:uid="{1634F47A-58AC-624F-8D6B-A0C17B5530EA}">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POPESTIMATE2019 (July 1 2019), Houston-The Woodlands-Sugar Land, TX metro area (CBSA 26420),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+0.2% (7154478 vs 7169284).</t>
        </r>
      </text>
    </comment>
    <comment ref="E15" authorId="0" shapeId="0" xr:uid="{CA3564D8-A9F2-684D-AA52-5AE8B7983C2D}">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POPESTIMATE2020 (July 1 2020), Houston-Pasadena-The Woodlands, TX metro area, uploaded file cbsa-est2025-alldata.csv, https://www2.census.gov/programs-surveys/popest/datasets/2020-2025/metro/totals/cbsa-est2025-alldata.csv. July 2023 OMB delineations.</t>
        </r>
      </text>
    </comment>
    <comment ref="F15" authorId="0" shapeId="0" xr:uid="{65E7C872-5CEE-C440-8AEC-5846FDD09121}">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POPESTIMATE2021 (July 1 2021), Houston-Pasadena-The Woodlands, TX metro area, uploaded file cbsa-est2025-alldata.csv, https://www2.census.gov/programs-surveys/popest/datasets/2020-2025/metro/totals/cbsa-est2025-alldata.csv. July 2023 OMB delineations.</t>
        </r>
      </text>
    </comment>
    <comment ref="G15" authorId="0" shapeId="0" xr:uid="{1729F178-C517-F343-BF33-A5317260DB20}">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POPESTIMATE2022 (July 1 2022), Houston-Pasadena-The Woodlands, TX metro area, uploaded file cbsa-est2025-alldata.csv, https://www2.census.gov/programs-surveys/popest/datasets/2020-2025/metro/totals/cbsa-est2025-alldata.csv. July 2023 OMB delineations.</t>
        </r>
      </text>
    </comment>
    <comment ref="H15" authorId="0" shapeId="0" xr:uid="{C2C2A34D-73D3-5F44-BF81-4D178F946DFF}">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POPESTIMATE2023 (July 1 2023), Houston-Pasadena-The Woodlands, TX metro area, uploaded file cbsa-est2025-alldata.csv, https://www2.census.gov/programs-surveys/popest/datasets/2020-2025/metro/totals/cbsa-est2025-alldata.csv. July 2023 OMB delineations.</t>
        </r>
      </text>
    </comment>
    <comment ref="I15" authorId="0" shapeId="0" xr:uid="{98453F09-4E23-D941-9958-76EEA0FA11A0}">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POPESTIMATE2024 (July 1 2024), Houston-Pasadena-The Woodlands, TX metro area, uploaded file cbsa-est2025-alldata.csv, https://www2.census.gov/programs-surveys/popest/datasets/2020-2025/metro/totals/cbsa-est2025-alldata.csv. July 2023 OMB delineations.</t>
        </r>
      </text>
    </comment>
    <comment ref="J15" authorId="0" shapeId="0" xr:uid="{56D57770-906F-E54C-8931-46CA00188CBE}">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POPESTIMATE2025 (July 1 2025), Houston-Pasadena-The Woodlands, TX metro area, uploaded file cbsa-est2025-alldata.csv, https://www2.census.gov/programs-surveys/popest/datasets/2020-2025/metro/totals/cbsa-est2025-alldata.csv. July 2023 OMB delineations.</t>
        </r>
      </text>
    </comment>
    <comment ref="B16" authorId="0" shapeId="0" xr:uid="{868F7C49-661E-3E4B-A585-56466A333DB1}">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POPESTIMATE2017 (July 1 2017), Indianapolis-Carmel-Anderson, IN metro area (CBSA 26900),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+0.1% (2091019 vs 2092783).</t>
        </r>
      </text>
    </comment>
    <comment ref="C16" authorId="0" shapeId="0" xr:uid="{2BF63CED-7025-1440-A059-3970A43D340D}">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POPESTIMATE2018 (July 1 2018), Indianapolis-Carmel-Anderson, IN metro area (CBSA 26900),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+0.1% (2091019 vs 2092783).</t>
        </r>
      </text>
    </comment>
    <comment ref="D16" authorId="0" shapeId="0" xr:uid="{3C9AB0E5-1AE6-5D48-BC02-B26AECF37896}">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POPESTIMATE2019 (July 1 2019), Indianapolis-Carmel-Anderson, IN metro area (CBSA 26900),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+0.1% (2091019 vs 2092783).</t>
        </r>
      </text>
    </comment>
    <comment ref="E16" authorId="0" shapeId="0" xr:uid="{8E5740E1-BA3A-B14C-B43F-AEDD2993D682}">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POPESTIMATE2020 (July 1 2020), Indianapolis-Carmel-Greenwood, IN metro area, uploaded file cbsa-est2025-alldata.csv, https://www2.census.gov/programs-surveys/popest/datasets/2020-2025/metro/totals/cbsa-est2025-alldata.csv. July 2023 OMB delineations.</t>
        </r>
      </text>
    </comment>
    <comment ref="F16" authorId="0" shapeId="0" xr:uid="{F1D86BFE-8A31-8547-95FD-608D90169173}">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POPESTIMATE2021 (July 1 2021), Indianapolis-Carmel-Greenwood, IN metro area, uploaded file cbsa-est2025-alldata.csv, https://www2.census.gov/programs-surveys/popest/datasets/2020-2025/metro/totals/cbsa-est2025-alldata.csv. July 2023 OMB delineations.</t>
        </r>
      </text>
    </comment>
    <comment ref="G16" authorId="0" shapeId="0" xr:uid="{51421E3D-5B79-224D-A332-85910835DAA4}">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POPESTIMATE2022 (July 1 2022), Indianapolis-Carmel-Greenwood, IN metro area, uploaded file cbsa-est2025-alldata.csv, https://www2.census.gov/programs-surveys/popest/datasets/2020-2025/metro/totals/cbsa-est2025-alldata.csv. July 2023 OMB delineations.</t>
        </r>
      </text>
    </comment>
    <comment ref="H16" authorId="0" shapeId="0" xr:uid="{87F90422-D49F-BD49-B769-C3FBA2F89B45}">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POPESTIMATE2023 (July 1 2023), Indianapolis-Carmel-Greenwood, IN metro area, uploaded file cbsa-est2025-alldata.csv, https://www2.census.gov/programs-surveys/popest/datasets/2020-2025/metro/totals/cbsa-est2025-alldata.csv. July 2023 OMB delineations.</t>
        </r>
      </text>
    </comment>
    <comment ref="I16" authorId="0" shapeId="0" xr:uid="{79F2908B-32F3-5C49-B1DB-CD44071A7403}">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POPESTIMATE2024 (July 1 2024), Indianapolis-Carmel-Greenwood, IN metro area, uploaded file cbsa-est2025-alldata.csv, https://www2.census.gov/programs-surveys/popest/datasets/2020-2025/metro/totals/cbsa-est2025-alldata.csv. July 2023 OMB delineations.</t>
        </r>
      </text>
    </comment>
    <comment ref="J16" authorId="0" shapeId="0" xr:uid="{6258404D-5BE9-394C-8D86-9DA058E2CC8D}">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POPESTIMATE2025 (July 1 2025), Indianapolis-Carmel-Greenwood, IN metro area, uploaded file cbsa-est2025-alldata.csv, https://www2.census.gov/programs-surveys/popest/datasets/2020-2025/metro/totals/cbsa-est2025-alldata.csv. July 2023 OMB delineations.</t>
        </r>
      </text>
    </comment>
    <comment ref="B17" authorId="0" shapeId="0" xr:uid="{E158E9D8-F3A9-D54F-A8C6-D2E8C47AFE25}">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POPESTIMATE2017 (July 1 2017), Los Angeles-Long Beach-Anaheim, CA metro area (CBSA 31080),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+0.6% (13109903 vs 13182677).</t>
        </r>
      </text>
    </comment>
    <comment ref="C17" authorId="0" shapeId="0" xr:uid="{D44D06B1-9002-3E45-92CE-AF9D33A24950}">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POPESTIMATE2018 (July 1 2018), Los Angeles-Long Beach-Anaheim, CA metro area (CBSA 31080),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+0.6% (13109903 vs 13182677).</t>
        </r>
      </text>
    </comment>
    <comment ref="D17" authorId="0" shapeId="0" xr:uid="{ADC42F74-5803-E942-86C3-28604BF2E35E}">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POPESTIMATE2019 (July 1 2019), Los Angeles-Long Beach-Anaheim, CA metro area (CBSA 31080),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+0.6% (13109903 vs 13182677).</t>
        </r>
      </text>
    </comment>
    <comment ref="E17" authorId="0" shapeId="0" xr:uid="{4051B530-4E0A-4A43-9D1E-EB9258CF71E6}">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POPESTIMATE2020 (July 1 2020), Los Angeles-Long Beach-Anaheim, CA metro area, uploaded file cbsa-est2025-alldata.csv, https://www2.census.gov/programs-surveys/popest/datasets/2020-2025/metro/totals/cbsa-est2025-alldata.csv. July 2023 OMB delineations.</t>
        </r>
      </text>
    </comment>
    <comment ref="F17" authorId="0" shapeId="0" xr:uid="{CE69BFF3-A4B2-FE4C-AC41-C4A32F1ABE31}">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POPESTIMATE2021 (July 1 2021), Los Angeles-Long Beach-Anaheim, CA metro area, uploaded file cbsa-est2025-alldata.csv, https://www2.census.gov/programs-surveys/popest/datasets/2020-2025/metro/totals/cbsa-est2025-alldata.csv. July 2023 OMB delineations.</t>
        </r>
      </text>
    </comment>
    <comment ref="G17" authorId="0" shapeId="0" xr:uid="{5078ECD9-E053-024C-B19F-4B1B891AF30E}">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POPESTIMATE2022 (July 1 2022), Los Angeles-Long Beach-Anaheim, CA metro area, uploaded file cbsa-est2025-alldata.csv, https://www2.census.gov/programs-surveys/popest/datasets/2020-2025/metro/totals/cbsa-est2025-alldata.csv. July 2023 OMB delineations.</t>
        </r>
      </text>
    </comment>
    <comment ref="H17" authorId="0" shapeId="0" xr:uid="{C4113055-8541-8B48-B87E-9C5A5FB05519}">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POPESTIMATE2023 (July 1 2023), Los Angeles-Long Beach-Anaheim, CA metro area, uploaded file cbsa-est2025-alldata.csv, https://www2.census.gov/programs-surveys/popest/datasets/2020-2025/metro/totals/cbsa-est2025-alldata.csv. July 2023 OMB delineations.</t>
        </r>
      </text>
    </comment>
    <comment ref="I17" authorId="0" shapeId="0" xr:uid="{7E08740E-1DBF-0C47-892D-051F8AD3398B}">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POPESTIMATE2024 (July 1 2024), Los Angeles-Long Beach-Anaheim, CA metro area, uploaded file cbsa-est2025-alldata.csv, https://www2.census.gov/programs-surveys/popest/datasets/2020-2025/metro/totals/cbsa-est2025-alldata.csv. July 2023 OMB delineations.</t>
        </r>
      </text>
    </comment>
    <comment ref="J17" authorId="0" shapeId="0" xr:uid="{4A9592D7-F172-CF47-B21E-0186C9A1692F}">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POPESTIMATE2025 (July 1 2025), Los Angeles-Long Beach-Anaheim, CA metro area, uploaded file cbsa-est2025-alldata.csv, https://www2.census.gov/programs-surveys/popest/datasets/2020-2025/metro/totals/cbsa-est2025-alldata.csv. July 2023 OMB delineations.</t>
        </r>
      </text>
    </comment>
    <comment ref="B18" authorId="0" shapeId="0" xr:uid="{0F085A90-0C59-DD40-BE1A-E58E9425D1F7}">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POPESTIMATE2017 (July 1 2017), Los Angeles-Long Beach-Anaheim, CA metro area (CBSA 31080),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+0.6% (13109903 vs 13182677).</t>
        </r>
      </text>
    </comment>
    <comment ref="C18" authorId="0" shapeId="0" xr:uid="{F620ED78-4144-2F40-8D3C-E15AFD50F95F}">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POPESTIMATE2018 (July 1 2018), Los Angeles-Long Beach-Anaheim, CA metro area (CBSA 31080),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+0.6% (13109903 vs 13182677).</t>
        </r>
      </text>
    </comment>
    <comment ref="D18" authorId="0" shapeId="0" xr:uid="{B590B3F8-5332-964E-96AF-97D6764AE5FB}">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POPESTIMATE2019 (July 1 2019), Los Angeles-Long Beach-Anaheim, CA metro area (CBSA 31080),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+0.6% (13109903 vs 13182677).</t>
        </r>
      </text>
    </comment>
    <comment ref="E18" authorId="0" shapeId="0" xr:uid="{1FB6492F-14F5-0B48-B11D-F1A0D48E2C0A}">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POPESTIMATE2020 (July 1 2020), Los Angeles-Long Beach-Anaheim, CA metro area, uploaded file cbsa-est2025-alldata.csv, https://www2.census.gov/programs-surveys/popest/datasets/2020-2025/metro/totals/cbsa-est2025-alldata.csv. July 2023 OMB delineations.</t>
        </r>
      </text>
    </comment>
    <comment ref="F18" authorId="0" shapeId="0" xr:uid="{A3FE3C8F-300C-A340-81CB-774E45367E87}">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POPESTIMATE2021 (July 1 2021), Los Angeles-Long Beach-Anaheim, CA metro area, uploaded file cbsa-est2025-alldata.csv, https://www2.census.gov/programs-surveys/popest/datasets/2020-2025/metro/totals/cbsa-est2025-alldata.csv. July 2023 OMB delineations.</t>
        </r>
      </text>
    </comment>
    <comment ref="G18" authorId="0" shapeId="0" xr:uid="{D56CC462-52FF-964D-9955-32181C7A7A21}">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POPESTIMATE2022 (July 1 2022), Los Angeles-Long Beach-Anaheim, CA metro area, uploaded file cbsa-est2025-alldata.csv, https://www2.census.gov/programs-surveys/popest/datasets/2020-2025/metro/totals/cbsa-est2025-alldata.csv. July 2023 OMB delineations.</t>
        </r>
      </text>
    </comment>
    <comment ref="H18" authorId="0" shapeId="0" xr:uid="{79683C07-54C2-9343-AB1F-7F19C0D74CD3}">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POPESTIMATE2023 (July 1 2023), Los Angeles-Long Beach-Anaheim, CA metro area, uploaded file cbsa-est2025-alldata.csv, https://www2.census.gov/programs-surveys/popest/datasets/2020-2025/metro/totals/cbsa-est2025-alldata.csv. July 2023 OMB delineations.</t>
        </r>
      </text>
    </comment>
    <comment ref="I18" authorId="0" shapeId="0" xr:uid="{FAF23BD6-DF76-8544-BE59-6E07962F71FD}">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POPESTIMATE2024 (July 1 2024), Los Angeles-Long Beach-Anaheim, CA metro area, uploaded file cbsa-est2025-alldata.csv, https://www2.census.gov/programs-surveys/popest/datasets/2020-2025/metro/totals/cbsa-est2025-alldata.csv. July 2023 OMB delineations.</t>
        </r>
      </text>
    </comment>
    <comment ref="J18" authorId="0" shapeId="0" xr:uid="{E082AFDC-BA85-3B40-8CE0-83620F722106}">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POPESTIMATE2025 (July 1 2025), Los Angeles-Long Beach-Anaheim, CA metro area, uploaded file cbsa-est2025-alldata.csv, https://www2.census.gov/programs-surveys/popest/datasets/2020-2025/metro/totals/cbsa-est2025-alldata.csv. July 2023 OMB delineations.</t>
        </r>
      </text>
    </comment>
    <comment ref="B19" authorId="0" shapeId="0" xr:uid="{0CC606E4-2838-7646-A22D-E997B7DB534A}">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POPESTIMATE2017 (July 1 2017), Memphis, TN-MS-AR metro area (CBSA 32820),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-0.2% (1348678 vs 1346138).</t>
        </r>
      </text>
    </comment>
    <comment ref="C19" authorId="0" shapeId="0" xr:uid="{F0E6AEC9-695C-2742-9D11-AD84761DB381}">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POPESTIMATE2018 (July 1 2018), Memphis, TN-MS-AR metro area (CBSA 32820),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-0.2% (1348678 vs 1346138).</t>
        </r>
      </text>
    </comment>
    <comment ref="D19" authorId="0" shapeId="0" xr:uid="{AA4E632C-5FB2-B94C-9FF4-E9C87130EF4E}">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POPESTIMATE2019 (July 1 2019), Memphis, TN-MS-AR metro area (CBSA 32820),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-0.2% (1348678 vs 1346138).</t>
        </r>
      </text>
    </comment>
    <comment ref="E19" authorId="0" shapeId="0" xr:uid="{56267702-E838-7C4D-99F3-F043E8EC0983}">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POPESTIMATE2020 (July 1 2020), Memphis, TN-MS-AR metro area, uploaded file cbsa-est2025-alldata.csv, https://www2.census.gov/programs-surveys/popest/datasets/2020-2025/metro/totals/cbsa-est2025-alldata.csv. July 2023 OMB delineations.</t>
        </r>
      </text>
    </comment>
    <comment ref="F19" authorId="0" shapeId="0" xr:uid="{A113A6C1-4C40-6745-9650-A33EE101DC91}">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POPESTIMATE2021 (July 1 2021), Memphis, TN-MS-AR metro area, uploaded file cbsa-est2025-alldata.csv, https://www2.census.gov/programs-surveys/popest/datasets/2020-2025/metro/totals/cbsa-est2025-alldata.csv. July 2023 OMB delineations.</t>
        </r>
      </text>
    </comment>
    <comment ref="G19" authorId="0" shapeId="0" xr:uid="{5A2551E9-DE9C-BF4A-84F8-3DE41088A975}">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POPESTIMATE2022 (July 1 2022), Memphis, TN-MS-AR metro area, uploaded file cbsa-est2025-alldata.csv, https://www2.census.gov/programs-surveys/popest/datasets/2020-2025/metro/totals/cbsa-est2025-alldata.csv. July 2023 OMB delineations.</t>
        </r>
      </text>
    </comment>
    <comment ref="H19" authorId="0" shapeId="0" xr:uid="{A6223326-6047-3645-AEDF-D6CA8E8A5A5E}">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POPESTIMATE2023 (July 1 2023), Memphis, TN-MS-AR metro area, uploaded file cbsa-est2025-alldata.csv, https://www2.census.gov/programs-surveys/popest/datasets/2020-2025/metro/totals/cbsa-est2025-alldata.csv. July 2023 OMB delineations.</t>
        </r>
      </text>
    </comment>
    <comment ref="I19" authorId="0" shapeId="0" xr:uid="{2325A4EB-40DE-3B42-BCFC-94CFA7CBE0B1}">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POPESTIMATE2024 (July 1 2024), Memphis, TN-MS-AR metro area, uploaded file cbsa-est2025-alldata.csv, https://www2.census.gov/programs-surveys/popest/datasets/2020-2025/metro/totals/cbsa-est2025-alldata.csv. July 2023 OMB delineations.</t>
        </r>
      </text>
    </comment>
    <comment ref="J19" authorId="0" shapeId="0" xr:uid="{A9EFA7F9-027A-DD4D-B79F-26EA69F8C78D}">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POPESTIMATE2025 (July 1 2025), Memphis, TN-MS-AR metro area, uploaded file cbsa-est2025-alldata.csv, https://www2.census.gov/programs-surveys/popest/datasets/2020-2025/metro/totals/cbsa-est2025-alldata.csv. July 2023 OMB delineations.</t>
        </r>
      </text>
    </comment>
    <comment ref="B20" authorId="0" shapeId="0" xr:uid="{0ED569D7-DC09-7A4C-8166-C2AD14B9EDD1}">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POPESTIMATE2017 (July 1 2017), Miami-Fort Lauderdale-Pompano Beach, FL metro area (CBSA 33100),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-0.6% (6173008 vs 6133159).</t>
        </r>
      </text>
    </comment>
    <comment ref="C20" authorId="0" shapeId="0" xr:uid="{6B6ECD66-7797-7C40-B261-B384752C3387}">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POPESTIMATE2018 (July 1 2018), Miami-Fort Lauderdale-Pompano Beach, FL metro area (CBSA 33100),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-0.6% (6173008 vs 6133159).</t>
        </r>
      </text>
    </comment>
    <comment ref="D20" authorId="0" shapeId="0" xr:uid="{456907DE-B2A1-7C4C-992A-D9597928AA6D}">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POPESTIMATE2019 (July 1 2019), Miami-Fort Lauderdale-Pompano Beach, FL metro area (CBSA 33100),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-0.6% (6173008 vs 6133159).</t>
        </r>
      </text>
    </comment>
    <comment ref="E20" authorId="0" shapeId="0" xr:uid="{25BF0C73-0278-F44B-A6B7-D7212D51553B}">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POPESTIMATE2020 (July 1 2020), Miami-Fort Lauderdale-West Palm Beach, FL metro area, uploaded file cbsa-est2025-alldata.csv, https://www2.census.gov/programs-surveys/popest/datasets/2020-2025/metro/totals/cbsa-est2025-alldata.csv. July 2023 OMB delineations.</t>
        </r>
      </text>
    </comment>
    <comment ref="F20" authorId="0" shapeId="0" xr:uid="{CB177280-12C1-3B4B-A98F-90089A6E2BF3}">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POPESTIMATE2021 (July 1 2021), Miami-Fort Lauderdale-West Palm Beach, FL metro area, uploaded file cbsa-est2025-alldata.csv, https://www2.census.gov/programs-surveys/popest/datasets/2020-2025/metro/totals/cbsa-est2025-alldata.csv. July 2023 OMB delineations.</t>
        </r>
      </text>
    </comment>
    <comment ref="G20" authorId="0" shapeId="0" xr:uid="{7F87D86B-7203-1A44-B352-57BD1D40AA02}">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POPESTIMATE2022 (July 1 2022), Miami-Fort Lauderdale-West Palm Beach, FL metro area, uploaded file cbsa-est2025-alldata.csv, https://www2.census.gov/programs-surveys/popest/datasets/2020-2025/metro/totals/cbsa-est2025-alldata.csv. July 2023 OMB delineations.</t>
        </r>
      </text>
    </comment>
    <comment ref="H20" authorId="0" shapeId="0" xr:uid="{6183BFF6-E1B3-C941-9F5B-05C0E35D9CE8}">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POPESTIMATE2023 (July 1 2023), Miami-Fort Lauderdale-West Palm Beach, FL metro area, uploaded file cbsa-est2025-alldata.csv, https://www2.census.gov/programs-surveys/popest/datasets/2020-2025/metro/totals/cbsa-est2025-alldata.csv. July 2023 OMB delineations.</t>
        </r>
      </text>
    </comment>
    <comment ref="I20" authorId="0" shapeId="0" xr:uid="{710BCFE9-2BAA-FC41-A825-EC5842707209}">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POPESTIMATE2024 (July 1 2024), Miami-Fort Lauderdale-West Palm Beach, FL metro area, uploaded file cbsa-est2025-alldata.csv, https://www2.census.gov/programs-surveys/popest/datasets/2020-2025/metro/totals/cbsa-est2025-alldata.csv. July 2023 OMB delineations.</t>
        </r>
      </text>
    </comment>
    <comment ref="J20" authorId="0" shapeId="0" xr:uid="{F6BAA0A4-A95B-034B-A8AF-CE5FB85D8C7D}">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POPESTIMATE2025 (July 1 2025), Miami-Fort Lauderdale-West Palm Beach, FL metro area, uploaded file cbsa-est2025-alldata.csv, https://www2.census.gov/programs-surveys/popest/datasets/2020-2025/metro/totals/cbsa-est2025-alldata.csv. July 2023 OMB delineations.</t>
        </r>
      </text>
    </comment>
    <comment ref="B21" authorId="0" shapeId="0" xr:uid="{8DC4D3B6-16ED-9C40-9B96-933EAB818DE9}">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POPESTIMATE2017 (July 1 2017), Milwaukee-Waukesha, WI metro area (CBSA 33340),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-0.2% (1577676 vs 1574549).</t>
        </r>
      </text>
    </comment>
    <comment ref="C21" authorId="0" shapeId="0" xr:uid="{7B6B33DD-AC07-3A42-A40F-6FA46D5273FB}">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POPESTIMATE2018 (July 1 2018), Milwaukee-Waukesha, WI metro area (CBSA 33340),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-0.2% (1577676 vs 1574549).</t>
        </r>
      </text>
    </comment>
    <comment ref="D21" authorId="0" shapeId="0" xr:uid="{7ABF49C3-5202-AC4B-A55E-26DD4A4575D1}">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POPESTIMATE2019 (July 1 2019), Milwaukee-Waukesha, WI metro area (CBSA 33340),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-0.2% (1577676 vs 1574549).</t>
        </r>
      </text>
    </comment>
    <comment ref="E21" authorId="0" shapeId="0" xr:uid="{88F678C9-8735-2F48-9DAB-35476B98F03D}">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POPESTIMATE2020 (July 1 2020), Milwaukee-Waukesha, WI metro area, uploaded file cbsa-est2025-alldata.csv, https://www2.census.gov/programs-surveys/popest/datasets/2020-2025/metro/totals/cbsa-est2025-alldata.csv. July 2023 OMB delineations.</t>
        </r>
      </text>
    </comment>
    <comment ref="F21" authorId="0" shapeId="0" xr:uid="{51932691-58DC-204B-A4C8-1FCF18CE59C3}">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POPESTIMATE2021 (July 1 2021), Milwaukee-Waukesha, WI metro area, uploaded file cbsa-est2025-alldata.csv, https://www2.census.gov/programs-surveys/popest/datasets/2020-2025/metro/totals/cbsa-est2025-alldata.csv. July 2023 OMB delineations.</t>
        </r>
      </text>
    </comment>
    <comment ref="G21" authorId="0" shapeId="0" xr:uid="{17213CCB-949C-184F-94B1-7676D7386CB0}">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POPESTIMATE2022 (July 1 2022), Milwaukee-Waukesha, WI metro area, uploaded file cbsa-est2025-alldata.csv, https://www2.census.gov/programs-surveys/popest/datasets/2020-2025/metro/totals/cbsa-est2025-alldata.csv. July 2023 OMB delineations.</t>
        </r>
      </text>
    </comment>
    <comment ref="H21" authorId="0" shapeId="0" xr:uid="{8104A19B-BA77-C846-9964-053220CD0750}">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POPESTIMATE2023 (July 1 2023), Milwaukee-Waukesha, WI metro area, uploaded file cbsa-est2025-alldata.csv, https://www2.census.gov/programs-surveys/popest/datasets/2020-2025/metro/totals/cbsa-est2025-alldata.csv. July 2023 OMB delineations.</t>
        </r>
      </text>
    </comment>
    <comment ref="I21" authorId="0" shapeId="0" xr:uid="{F61FBD1E-27BF-D947-9837-520E834DB899}">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POPESTIMATE2024 (July 1 2024), Milwaukee-Waukesha, WI metro area, uploaded file cbsa-est2025-alldata.csv, https://www2.census.gov/programs-surveys/popest/datasets/2020-2025/metro/totals/cbsa-est2025-alldata.csv. July 2023 OMB delineations.</t>
        </r>
      </text>
    </comment>
    <comment ref="J21" authorId="0" shapeId="0" xr:uid="{0FF8FF27-819E-6D40-B4E7-EB1BC1BBF496}">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POPESTIMATE2025 (July 1 2025), Milwaukee-Waukesha, WI metro area, uploaded file cbsa-est2025-alldata.csv, https://www2.census.gov/programs-surveys/popest/datasets/2020-2025/metro/totals/cbsa-est2025-alldata.csv. July 2023 OMB delineations.</t>
        </r>
      </text>
    </comment>
    <comment ref="B22" authorId="0" shapeId="0" xr:uid="{3967EB6F-11B6-FE40-8C73-CE0F599BFDA1}">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POPESTIMATE2017 (July 1 2017), Minneapolis-St. Paul-Bloomington, MN-WI metro area (CBSA 33460),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+1% (3657477 vs 3694131).</t>
        </r>
      </text>
    </comment>
    <comment ref="C22" authorId="0" shapeId="0" xr:uid="{0CAD8C74-7A32-CA4D-856C-B38A50B20F65}">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POPESTIMATE2018 (July 1 2018), Minneapolis-St. Paul-Bloomington, MN-WI metro area (CBSA 33460),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+1% (3657477 vs 3694131).</t>
        </r>
      </text>
    </comment>
    <comment ref="D22" authorId="0" shapeId="0" xr:uid="{23E5E671-3C7B-524D-8E8A-2CBB1D6E517D}">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POPESTIMATE2019 (July 1 2019), Minneapolis-St. Paul-Bloomington, MN-WI metro area (CBSA 33460),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+1% (3657477 vs 3694131).</t>
        </r>
      </text>
    </comment>
    <comment ref="E22" authorId="0" shapeId="0" xr:uid="{E08E1E27-7870-3340-BC90-F7DC797F2742}">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POPESTIMATE2020 (July 1 2020), Minneapolis-St. Paul-Bloomington, MN-WI metro area, uploaded file cbsa-est2025-alldata.csv, https://www2.census.gov/programs-surveys/popest/datasets/2020-2025/metro/totals/cbsa-est2025-alldata.csv. July 2023 OMB delineations.</t>
        </r>
      </text>
    </comment>
    <comment ref="F22" authorId="0" shapeId="0" xr:uid="{8679B3B7-F1D3-FB4F-9648-DAB04D1A16A2}">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POPESTIMATE2021 (July 1 2021), Minneapolis-St. Paul-Bloomington, MN-WI metro area, uploaded file cbsa-est2025-alldata.csv, https://www2.census.gov/programs-surveys/popest/datasets/2020-2025/metro/totals/cbsa-est2025-alldata.csv. July 2023 OMB delineations.</t>
        </r>
      </text>
    </comment>
    <comment ref="G22" authorId="0" shapeId="0" xr:uid="{76360D6B-5872-864C-8C1C-6DE3AF102CD8}">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POPESTIMATE2022 (July 1 2022), Minneapolis-St. Paul-Bloomington, MN-WI metro area, uploaded file cbsa-est2025-alldata.csv, https://www2.census.gov/programs-surveys/popest/datasets/2020-2025/metro/totals/cbsa-est2025-alldata.csv. July 2023 OMB delineations.</t>
        </r>
      </text>
    </comment>
    <comment ref="H22" authorId="0" shapeId="0" xr:uid="{756AFE08-BCF9-8848-8422-E27D9882D6AB}">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POPESTIMATE2023 (July 1 2023), Minneapolis-St. Paul-Bloomington, MN-WI metro area, uploaded file cbsa-est2025-alldata.csv, https://www2.census.gov/programs-surveys/popest/datasets/2020-2025/metro/totals/cbsa-est2025-alldata.csv. July 2023 OMB delineations.</t>
        </r>
      </text>
    </comment>
    <comment ref="I22" authorId="0" shapeId="0" xr:uid="{0277E28A-D9E7-0C41-B87D-38E5310E8280}">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POPESTIMATE2024 (July 1 2024), Minneapolis-St. Paul-Bloomington, MN-WI metro area, uploaded file cbsa-est2025-alldata.csv, https://www2.census.gov/programs-surveys/popest/datasets/2020-2025/metro/totals/cbsa-est2025-alldata.csv. July 2023 OMB delineations.</t>
        </r>
      </text>
    </comment>
    <comment ref="J22" authorId="0" shapeId="0" xr:uid="{25455CA9-893B-9D40-B08C-9A5FFB5D276C}">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POPESTIMATE2025 (July 1 2025), Minneapolis-St. Paul-Bloomington, MN-WI metro area, uploaded file cbsa-est2025-alldata.csv, https://www2.census.gov/programs-surveys/popest/datasets/2020-2025/metro/totals/cbsa-est2025-alldata.csv. July 2023 OMB delineations.</t>
        </r>
      </text>
    </comment>
    <comment ref="B23" authorId="0" shapeId="0" xr:uid="{074FB288-E835-E24A-91C3-04FD7343EEAA}">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POPESTIMATE2017 (July 1 2017), New Orleans-Metairie, LA metro area (CBSA 35380),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-21% (1272258 vs 1005404).</t>
        </r>
      </text>
    </comment>
    <comment ref="C23" authorId="0" shapeId="0" xr:uid="{45BA442A-E6CA-DE46-8661-AEB6F00648E7}">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POPESTIMATE2018 (July 1 2018), New Orleans-Metairie, LA metro area (CBSA 35380),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-21% (1272258 vs 1005404).</t>
        </r>
      </text>
    </comment>
    <comment ref="D23" authorId="0" shapeId="0" xr:uid="{FF0926A5-6947-2742-8FA0-5CB3C1118E09}">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POPESTIMATE2019 (July 1 2019), New Orleans-Metairie, LA metro area (CBSA 35380),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-21% (1272258 vs 1005404).</t>
        </r>
      </text>
    </comment>
    <comment ref="E23" authorId="0" shapeId="0" xr:uid="{390517AD-D743-284A-8081-81DDFAC9891F}">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POPESTIMATE2020 (July 1 2020), New Orleans-Metairie, LA metro area, uploaded file cbsa-est2025-alldata.csv, https://www2.census.gov/programs-surveys/popest/datasets/2020-2025/metro/totals/cbsa-est2025-alldata.csv. July 2023 OMB delineations.</t>
        </r>
      </text>
    </comment>
    <comment ref="F23" authorId="0" shapeId="0" xr:uid="{652AB346-05CE-974E-BBC0-0A77416C7315}">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POPESTIMATE2021 (July 1 2021), New Orleans-Metairie, LA metro area, uploaded file cbsa-est2025-alldata.csv, https://www2.census.gov/programs-surveys/popest/datasets/2020-2025/metro/totals/cbsa-est2025-alldata.csv. July 2023 OMB delineations.</t>
        </r>
      </text>
    </comment>
    <comment ref="G23" authorId="0" shapeId="0" xr:uid="{93DE16AD-D904-004A-9329-B42235BD1261}">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POPESTIMATE2022 (July 1 2022), New Orleans-Metairie, LA metro area, uploaded file cbsa-est2025-alldata.csv, https://www2.census.gov/programs-surveys/popest/datasets/2020-2025/metro/totals/cbsa-est2025-alldata.csv. July 2023 OMB delineations.</t>
        </r>
      </text>
    </comment>
    <comment ref="H23" authorId="0" shapeId="0" xr:uid="{8AB37E38-DFDF-D54B-9D18-AD924D12B0B4}">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POPESTIMATE2023 (July 1 2023), New Orleans-Metairie, LA metro area, uploaded file cbsa-est2025-alldata.csv, https://www2.census.gov/programs-surveys/popest/datasets/2020-2025/metro/totals/cbsa-est2025-alldata.csv. July 2023 OMB delineations.</t>
        </r>
      </text>
    </comment>
    <comment ref="I23" authorId="0" shapeId="0" xr:uid="{916D939E-0553-8C4C-B403-C95EE6903E22}">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POPESTIMATE2024 (July 1 2024), New Orleans-Metairie, LA metro area, uploaded file cbsa-est2025-alldata.csv, https://www2.census.gov/programs-surveys/popest/datasets/2020-2025/metro/totals/cbsa-est2025-alldata.csv. July 2023 OMB delineations.</t>
        </r>
      </text>
    </comment>
    <comment ref="J23" authorId="0" shapeId="0" xr:uid="{C4CC5ED9-E4C0-1640-B77A-0AF6ED2D777F}">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POPESTIMATE2025 (July 1 2025), New Orleans-Metairie, LA metro area, uploaded file cbsa-est2025-alldata.csv, https://www2.census.gov/programs-surveys/popest/datasets/2020-2025/metro/totals/cbsa-est2025-alldata.csv. July 2023 OMB delineations.</t>
        </r>
      </text>
    </comment>
    <comment ref="B24" authorId="0" shapeId="0" xr:uid="{A0171BAD-C5AD-D843-8A99-274871977108}">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POPESTIMATE2017 (July 1 2017), New York-Newark-Jersey City, NY-NJ-PA metro area (CBSA 35620),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+4.6% (19124359 vs 19999993).</t>
        </r>
      </text>
    </comment>
    <comment ref="C24" authorId="0" shapeId="0" xr:uid="{DC775574-0892-CE40-820C-8E026149C4F6}">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POPESTIMATE2018 (July 1 2018), New York-Newark-Jersey City, NY-NJ-PA metro area (CBSA 35620),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+4.6% (19124359 vs 19999993).</t>
        </r>
      </text>
    </comment>
    <comment ref="D24" authorId="0" shapeId="0" xr:uid="{61408081-990D-AA40-B515-D162F61480BA}">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POPESTIMATE2019 (July 1 2019), New York-Newark-Jersey City, NY-NJ-PA metro area (CBSA 35620),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+4.6% (19124359 vs 19999993).</t>
        </r>
      </text>
    </comment>
    <comment ref="E24" authorId="0" shapeId="0" xr:uid="{EC6198F9-8642-464A-836A-1342EE583BB5}">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POPESTIMATE2020 (July 1 2020), New York-Newark-Jersey City, NY-NJ metro area, uploaded file cbsa-est2025-alldata.csv, https://www2.census.gov/programs-surveys/popest/datasets/2020-2025/metro/totals/cbsa-est2025-alldata.csv. July 2023 OMB delineations.</t>
        </r>
      </text>
    </comment>
    <comment ref="F24" authorId="0" shapeId="0" xr:uid="{53197455-692A-214C-A595-66A55E023151}">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POPESTIMATE2021 (July 1 2021), New York-Newark-Jersey City, NY-NJ metro area, uploaded file cbsa-est2025-alldata.csv, https://www2.census.gov/programs-surveys/popest/datasets/2020-2025/metro/totals/cbsa-est2025-alldata.csv. July 2023 OMB delineations.</t>
        </r>
      </text>
    </comment>
    <comment ref="G24" authorId="0" shapeId="0" xr:uid="{42A98BA6-A201-5B46-A130-E7F3DB46AC21}">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POPESTIMATE2022 (July 1 2022), New York-Newark-Jersey City, NY-NJ metro area, uploaded file cbsa-est2025-alldata.csv, https://www2.census.gov/programs-surveys/popest/datasets/2020-2025/metro/totals/cbsa-est2025-alldata.csv. July 2023 OMB delineations.</t>
        </r>
      </text>
    </comment>
    <comment ref="H24" authorId="0" shapeId="0" xr:uid="{D9E32162-FC5F-C642-838E-9CD96853DBB1}">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POPESTIMATE2023 (July 1 2023), New York-Newark-Jersey City, NY-NJ metro area, uploaded file cbsa-est2025-alldata.csv, https://www2.census.gov/programs-surveys/popest/datasets/2020-2025/metro/totals/cbsa-est2025-alldata.csv. July 2023 OMB delineations.</t>
        </r>
      </text>
    </comment>
    <comment ref="I24" authorId="0" shapeId="0" xr:uid="{3FAFA2A5-5BD4-5E4A-ACC4-DB02EF0AEF4E}">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POPESTIMATE2024 (July 1 2024), New York-Newark-Jersey City, NY-NJ metro area, uploaded file cbsa-est2025-alldata.csv, https://www2.census.gov/programs-surveys/popest/datasets/2020-2025/metro/totals/cbsa-est2025-alldata.csv. July 2023 OMB delineations.</t>
        </r>
      </text>
    </comment>
    <comment ref="J24" authorId="0" shapeId="0" xr:uid="{B3806867-181F-634B-BF0D-CD8FA25BF08D}">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POPESTIMATE2025 (July 1 2025), New York-Newark-Jersey City, NY-NJ metro area, uploaded file cbsa-est2025-alldata.csv, https://www2.census.gov/programs-surveys/popest/datasets/2020-2025/metro/totals/cbsa-est2025-alldata.csv. July 2023 OMB delineations.</t>
        </r>
      </text>
    </comment>
    <comment ref="B25" authorId="0" shapeId="0" xr:uid="{614168FE-C22B-E344-8679-AF92719192B3}">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POPESTIMATE2017 (July 1 2017), Oklahoma City, OK metro area (CBSA 36420),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+0.3% (1425375 vs 1430019).</t>
        </r>
      </text>
    </comment>
    <comment ref="C25" authorId="0" shapeId="0" xr:uid="{0274DB19-67E9-A947-9947-41B9B4B52B1C}">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POPESTIMATE2018 (July 1 2018), Oklahoma City, OK metro area (CBSA 36420),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+0.3% (1425375 vs 1430019).</t>
        </r>
      </text>
    </comment>
    <comment ref="D25" authorId="0" shapeId="0" xr:uid="{2DE40ADE-6A6D-4C41-9D94-A307B8C17484}">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POPESTIMATE2019 (July 1 2019), Oklahoma City, OK metro area (CBSA 36420),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+0.3% (1425375 vs 1430019).</t>
        </r>
      </text>
    </comment>
    <comment ref="E25" authorId="0" shapeId="0" xr:uid="{CECBEA76-272B-8F47-8620-9C4347BC1E6B}">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POPESTIMATE2020 (July 1 2020), Oklahoma City, OK metro area, uploaded file cbsa-est2025-alldata.csv, https://www2.census.gov/programs-surveys/popest/datasets/2020-2025/metro/totals/cbsa-est2025-alldata.csv. July 2023 OMB delineations.</t>
        </r>
      </text>
    </comment>
    <comment ref="F25" authorId="0" shapeId="0" xr:uid="{E07FE531-0306-B046-8BF5-712C4B751E7C}">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POPESTIMATE2021 (July 1 2021), Oklahoma City, OK metro area, uploaded file cbsa-est2025-alldata.csv, https://www2.census.gov/programs-surveys/popest/datasets/2020-2025/metro/totals/cbsa-est2025-alldata.csv. July 2023 OMB delineations.</t>
        </r>
      </text>
    </comment>
    <comment ref="G25" authorId="0" shapeId="0" xr:uid="{F71C8E33-5F8E-184B-A333-A261C6D81D5C}">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POPESTIMATE2022 (July 1 2022), Oklahoma City, OK metro area, uploaded file cbsa-est2025-alldata.csv, https://www2.census.gov/programs-surveys/popest/datasets/2020-2025/metro/totals/cbsa-est2025-alldata.csv. July 2023 OMB delineations.</t>
        </r>
      </text>
    </comment>
    <comment ref="H25" authorId="0" shapeId="0" xr:uid="{3F15F61D-B367-E742-866B-750EC5A2BCD2}">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POPESTIMATE2023 (July 1 2023), Oklahoma City, OK metro area, uploaded file cbsa-est2025-alldata.csv, https://www2.census.gov/programs-surveys/popest/datasets/2020-2025/metro/totals/cbsa-est2025-alldata.csv. July 2023 OMB delineations.</t>
        </r>
      </text>
    </comment>
    <comment ref="I25" authorId="0" shapeId="0" xr:uid="{C096030E-C41B-534E-9A1C-AFF0381BEB0A}">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POPESTIMATE2024 (July 1 2024), Oklahoma City, OK metro area, uploaded file cbsa-est2025-alldata.csv, https://www2.census.gov/programs-surveys/popest/datasets/2020-2025/metro/totals/cbsa-est2025-alldata.csv. July 2023 OMB delineations.</t>
        </r>
      </text>
    </comment>
    <comment ref="J25" authorId="0" shapeId="0" xr:uid="{32615C44-2E3E-7545-92EC-8CC4830DE2CD}">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POPESTIMATE2025 (July 1 2025), Oklahoma City, OK metro area, uploaded file cbsa-est2025-alldata.csv, https://www2.census.gov/programs-surveys/popest/datasets/2020-2025/metro/totals/cbsa-est2025-alldata.csv. July 2023 OMB delineations.</t>
        </r>
      </text>
    </comment>
    <comment ref="B26" authorId="0" shapeId="0" xr:uid="{20126936-750D-A34B-A670-440C573CD3BE}">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POPESTIMATE2017 (July 1 2017), Orlando-Kissimmee-Sanford, FL metro area (CBSA 36740),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+1.6% (2639374 vs 2680430).</t>
        </r>
      </text>
    </comment>
    <comment ref="C26" authorId="0" shapeId="0" xr:uid="{AF7942C9-83E5-AB4F-A063-F6E4BADEA31C}">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POPESTIMATE2018 (July 1 2018), Orlando-Kissimmee-Sanford, FL metro area (CBSA 36740),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+1.6% (2639374 vs 2680430).</t>
        </r>
      </text>
    </comment>
    <comment ref="D26" authorId="0" shapeId="0" xr:uid="{5AE98622-8F4C-724A-92A4-B2C0F1606010}">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POPESTIMATE2019 (July 1 2019), Orlando-Kissimmee-Sanford, FL metro area (CBSA 36740),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+1.6% (2639374 vs 2680430).</t>
        </r>
      </text>
    </comment>
    <comment ref="E26" authorId="0" shapeId="0" xr:uid="{FA94D7FC-BBAE-2E43-812E-A4EF9B878FCA}">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POPESTIMATE2020 (July 1 2020), Orlando-Kissimmee-Sanford, FL metro area, uploaded file cbsa-est2025-alldata.csv, https://www2.census.gov/programs-surveys/popest/datasets/2020-2025/metro/totals/cbsa-est2025-alldata.csv. July 2023 OMB delineations.</t>
        </r>
      </text>
    </comment>
    <comment ref="F26" authorId="0" shapeId="0" xr:uid="{57D26E50-2014-FD48-A5E0-956A99922E54}">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POPESTIMATE2021 (July 1 2021), Orlando-Kissimmee-Sanford, FL metro area, uploaded file cbsa-est2025-alldata.csv, https://www2.census.gov/programs-surveys/popest/datasets/2020-2025/metro/totals/cbsa-est2025-alldata.csv. July 2023 OMB delineations.</t>
        </r>
      </text>
    </comment>
    <comment ref="G26" authorId="0" shapeId="0" xr:uid="{C94979D0-6FC5-4849-9209-D7D4CBB2E44F}">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POPESTIMATE2022 (July 1 2022), Orlando-Kissimmee-Sanford, FL metro area, uploaded file cbsa-est2025-alldata.csv, https://www2.census.gov/programs-surveys/popest/datasets/2020-2025/metro/totals/cbsa-est2025-alldata.csv. July 2023 OMB delineations.</t>
        </r>
      </text>
    </comment>
    <comment ref="H26" authorId="0" shapeId="0" xr:uid="{B35F467B-39BC-F247-B6FB-E559280B4F2A}">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POPESTIMATE2023 (July 1 2023), Orlando-Kissimmee-Sanford, FL metro area, uploaded file cbsa-est2025-alldata.csv, https://www2.census.gov/programs-surveys/popest/datasets/2020-2025/metro/totals/cbsa-est2025-alldata.csv. July 2023 OMB delineations.</t>
        </r>
      </text>
    </comment>
    <comment ref="I26" authorId="0" shapeId="0" xr:uid="{BFF7CF91-4D24-0649-8EA3-21926BD4D1BF}">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POPESTIMATE2024 (July 1 2024), Orlando-Kissimmee-Sanford, FL metro area, uploaded file cbsa-est2025-alldata.csv, https://www2.census.gov/programs-surveys/popest/datasets/2020-2025/metro/totals/cbsa-est2025-alldata.csv. July 2023 OMB delineations.</t>
        </r>
      </text>
    </comment>
    <comment ref="J26" authorId="0" shapeId="0" xr:uid="{954F7CDD-A3D3-0945-8895-B0E8B9339029}">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POPESTIMATE2025 (July 1 2025), Orlando-Kissimmee-Sanford, FL metro area, uploaded file cbsa-est2025-alldata.csv, https://www2.census.gov/programs-surveys/popest/datasets/2020-2025/metro/totals/cbsa-est2025-alldata.csv. July 2023 OMB delineations.</t>
        </r>
      </text>
    </comment>
    <comment ref="B27" authorId="0" shapeId="0" xr:uid="{736AE2B7-558E-1240-BF26-CAA0ECA0CA93}">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POPESTIMATE2017 (July 1 2017), Philadelphia-Camden-Wilmington, PA-NJ-DE-MD metro area (CBSA 37980),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+2.2% (6107906 vs 6242164).</t>
        </r>
      </text>
    </comment>
    <comment ref="C27" authorId="0" shapeId="0" xr:uid="{5921EFBE-B022-E740-AE77-17DED1E13C4E}">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POPESTIMATE2018 (July 1 2018), Philadelphia-Camden-Wilmington, PA-NJ-DE-MD metro area (CBSA 37980),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+2.2% (6107906 vs 6242164).</t>
        </r>
      </text>
    </comment>
    <comment ref="D27" authorId="0" shapeId="0" xr:uid="{A22D4BFB-07F2-5C49-85D2-55B58EEAA465}">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POPESTIMATE2019 (July 1 2019), Philadelphia-Camden-Wilmington, PA-NJ-DE-MD metro area (CBSA 37980),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+2.2% (6107906 vs 6242164).</t>
        </r>
      </text>
    </comment>
    <comment ref="E27" authorId="0" shapeId="0" xr:uid="{20D3A735-2E83-8F4A-8CBF-A8A07BEBA005}">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POPESTIMATE2020 (July 1 2020), Philadelphia-Camden-Wilmington, PA-NJ-DE-MD metro area, uploaded file cbsa-est2025-alldata.csv, https://www2.census.gov/programs-surveys/popest/datasets/2020-2025/metro/totals/cbsa-est2025-alldata.csv. July 2023 OMB delineations.</t>
        </r>
      </text>
    </comment>
    <comment ref="F27" authorId="0" shapeId="0" xr:uid="{A02F8788-2F7B-5449-8212-086B4BFB9F10}">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POPESTIMATE2021 (July 1 2021), Philadelphia-Camden-Wilmington, PA-NJ-DE-MD metro area, uploaded file cbsa-est2025-alldata.csv, https://www2.census.gov/programs-surveys/popest/datasets/2020-2025/metro/totals/cbsa-est2025-alldata.csv. July 2023 OMB delineations.</t>
        </r>
      </text>
    </comment>
    <comment ref="G27" authorId="0" shapeId="0" xr:uid="{C57186FD-681C-7D4A-9DE4-41C52E2030B5}">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POPESTIMATE2022 (July 1 2022), Philadelphia-Camden-Wilmington, PA-NJ-DE-MD metro area, uploaded file cbsa-est2025-alldata.csv, https://www2.census.gov/programs-surveys/popest/datasets/2020-2025/metro/totals/cbsa-est2025-alldata.csv. July 2023 OMB delineations.</t>
        </r>
      </text>
    </comment>
    <comment ref="H27" authorId="0" shapeId="0" xr:uid="{10CC9D11-2709-4B47-AB81-1B798F905814}">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POPESTIMATE2023 (July 1 2023), Philadelphia-Camden-Wilmington, PA-NJ-DE-MD metro area, uploaded file cbsa-est2025-alldata.csv, https://www2.census.gov/programs-surveys/popest/datasets/2020-2025/metro/totals/cbsa-est2025-alldata.csv. July 2023 OMB delineations.</t>
        </r>
      </text>
    </comment>
    <comment ref="I27" authorId="0" shapeId="0" xr:uid="{B479DB95-2A89-F64D-8BE1-CFCEEA951DCA}">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POPESTIMATE2024 (July 1 2024), Philadelphia-Camden-Wilmington, PA-NJ-DE-MD metro area, uploaded file cbsa-est2025-alldata.csv, https://www2.census.gov/programs-surveys/popest/datasets/2020-2025/metro/totals/cbsa-est2025-alldata.csv. July 2023 OMB delineations.</t>
        </r>
      </text>
    </comment>
    <comment ref="J27" authorId="0" shapeId="0" xr:uid="{D3301C79-49EF-5941-B06D-08C167C43ED0}">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POPESTIMATE2025 (July 1 2025), Philadelphia-Camden-Wilmington, PA-NJ-DE-MD metro area, uploaded file cbsa-est2025-alldata.csv, https://www2.census.gov/programs-surveys/popest/datasets/2020-2025/metro/totals/cbsa-est2025-alldata.csv. July 2023 OMB delineations.</t>
        </r>
      </text>
    </comment>
    <comment ref="B28" authorId="0" shapeId="0" xr:uid="{E604A033-021E-F046-8171-FFC5ACA3DFD4}">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POPESTIMATE2017 (July 1 2017), Phoenix-Mesa-Chandler, AZ metro area (CBSA 38060),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-3.6% (5059909 vs 4875256).</t>
        </r>
      </text>
    </comment>
    <comment ref="C28" authorId="0" shapeId="0" xr:uid="{BB331923-AEE8-5F4B-B5D0-F41C02ABC993}">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POPESTIMATE2018 (July 1 2018), Phoenix-Mesa-Chandler, AZ metro area (CBSA 38060),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-3.6% (5059909 vs 4875256).</t>
        </r>
      </text>
    </comment>
    <comment ref="D28" authorId="0" shapeId="0" xr:uid="{F0A3EA30-3FCB-2F48-9F45-AE379B321D53}">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POPESTIMATE2019 (July 1 2019), Phoenix-Mesa-Chandler, AZ metro area (CBSA 38060),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-3.6% (5059909 vs 4875256).</t>
        </r>
      </text>
    </comment>
    <comment ref="E28" authorId="0" shapeId="0" xr:uid="{A3127E48-958D-3B49-A180-0FA40FC74384}">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POPESTIMATE2020 (July 1 2020), Phoenix-Mesa-Chandler, AZ metro area, uploaded file cbsa-est2025-alldata.csv, https://www2.census.gov/programs-surveys/popest/datasets/2020-2025/metro/totals/cbsa-est2025-alldata.csv. July 2023 OMB delineations.</t>
        </r>
      </text>
    </comment>
    <comment ref="F28" authorId="0" shapeId="0" xr:uid="{6E1D8F8E-3B42-184B-8A41-B4211270AB4C}">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POPESTIMATE2021 (July 1 2021), Phoenix-Mesa-Chandler, AZ metro area, uploaded file cbsa-est2025-alldata.csv, https://www2.census.gov/programs-surveys/popest/datasets/2020-2025/metro/totals/cbsa-est2025-alldata.csv. July 2023 OMB delineations.</t>
        </r>
      </text>
    </comment>
    <comment ref="G28" authorId="0" shapeId="0" xr:uid="{8B2A4379-0BB7-0745-9CF8-C655C830FAB2}">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POPESTIMATE2022 (July 1 2022), Phoenix-Mesa-Chandler, AZ metro area, uploaded file cbsa-est2025-alldata.csv, https://www2.census.gov/programs-surveys/popest/datasets/2020-2025/metro/totals/cbsa-est2025-alldata.csv. July 2023 OMB delineations.</t>
        </r>
      </text>
    </comment>
    <comment ref="H28" authorId="0" shapeId="0" xr:uid="{9B1356BC-F62E-7D40-B35D-22B1A6951EC1}">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POPESTIMATE2023 (July 1 2023), Phoenix-Mesa-Chandler, AZ metro area, uploaded file cbsa-est2025-alldata.csv, https://www2.census.gov/programs-surveys/popest/datasets/2020-2025/metro/totals/cbsa-est2025-alldata.csv. July 2023 OMB delineations.</t>
        </r>
      </text>
    </comment>
    <comment ref="I28" authorId="0" shapeId="0" xr:uid="{A695B07B-5D99-DC4D-B5DE-1CC3B48C6025}">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POPESTIMATE2024 (July 1 2024), Phoenix-Mesa-Chandler, AZ metro area, uploaded file cbsa-est2025-alldata.csv, https://www2.census.gov/programs-surveys/popest/datasets/2020-2025/metro/totals/cbsa-est2025-alldata.csv. July 2023 OMB delineations.</t>
        </r>
      </text>
    </comment>
    <comment ref="J28" authorId="0" shapeId="0" xr:uid="{A1983A10-13A0-904E-850A-16319E13E2E4}">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POPESTIMATE2025 (July 1 2025), Phoenix-Mesa-Chandler, AZ metro area, uploaded file cbsa-est2025-alldata.csv, https://www2.census.gov/programs-surveys/popest/datasets/2020-2025/metro/totals/cbsa-est2025-alldata.csv. July 2023 OMB delineations.</t>
        </r>
      </text>
    </comment>
    <comment ref="B29" authorId="0" shapeId="0" xr:uid="{C17E9BC2-76AC-7F4E-AE73-9BE231904C93}">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POPESTIMATE2017 (July 1 2017), Portland-Vancouver-Hillsboro, OR-WA metro area (CBSA 38900),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+0.3% (2510259 vs 2517518).</t>
        </r>
      </text>
    </comment>
    <comment ref="C29" authorId="0" shapeId="0" xr:uid="{00DE0609-63ED-3043-9E69-62736A644A90}">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POPESTIMATE2018 (July 1 2018), Portland-Vancouver-Hillsboro, OR-WA metro area (CBSA 38900),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+0.3% (2510259 vs 2517518).</t>
        </r>
      </text>
    </comment>
    <comment ref="D29" authorId="0" shapeId="0" xr:uid="{4FF9E969-4E05-9D4F-A192-4998E9963AD3}">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POPESTIMATE2019 (July 1 2019), Portland-Vancouver-Hillsboro, OR-WA metro area (CBSA 38900),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+0.3% (2510259 vs 2517518).</t>
        </r>
      </text>
    </comment>
    <comment ref="E29" authorId="0" shapeId="0" xr:uid="{460F2DD9-B74B-AA44-9965-20536B4A2690}">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POPESTIMATE2020 (July 1 2020), Portland-Vancouver-Hillsboro, OR-WA metro area, uploaded file cbsa-est2025-alldata.csv, https://www2.census.gov/programs-surveys/popest/datasets/2020-2025/metro/totals/cbsa-est2025-alldata.csv. July 2023 OMB delineations.</t>
        </r>
      </text>
    </comment>
    <comment ref="F29" authorId="0" shapeId="0" xr:uid="{F4B5ECF5-783B-5B48-87A6-3C89EA1E71D5}">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POPESTIMATE2021 (July 1 2021), Portland-Vancouver-Hillsboro, OR-WA metro area, uploaded file cbsa-est2025-alldata.csv, https://www2.census.gov/programs-surveys/popest/datasets/2020-2025/metro/totals/cbsa-est2025-alldata.csv. July 2023 OMB delineations.</t>
        </r>
      </text>
    </comment>
    <comment ref="G29" authorId="0" shapeId="0" xr:uid="{B7EE834F-CB2B-C146-B06C-80CF939751EE}">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POPESTIMATE2022 (July 1 2022), Portland-Vancouver-Hillsboro, OR-WA metro area, uploaded file cbsa-est2025-alldata.csv, https://www2.census.gov/programs-surveys/popest/datasets/2020-2025/metro/totals/cbsa-est2025-alldata.csv. July 2023 OMB delineations.</t>
        </r>
      </text>
    </comment>
    <comment ref="H29" authorId="0" shapeId="0" xr:uid="{5C4DF1E1-6B26-8345-897F-43E4584ED5B1}">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POPESTIMATE2023 (July 1 2023), Portland-Vancouver-Hillsboro, OR-WA metro area, uploaded file cbsa-est2025-alldata.csv, https://www2.census.gov/programs-surveys/popest/datasets/2020-2025/metro/totals/cbsa-est2025-alldata.csv. July 2023 OMB delineations.</t>
        </r>
      </text>
    </comment>
    <comment ref="I29" authorId="0" shapeId="0" xr:uid="{6C731049-BB02-2048-909C-3695D23BF432}">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POPESTIMATE2024 (July 1 2024), Portland-Vancouver-Hillsboro, OR-WA metro area, uploaded file cbsa-est2025-alldata.csv, https://www2.census.gov/programs-surveys/popest/datasets/2020-2025/metro/totals/cbsa-est2025-alldata.csv. July 2023 OMB delineations.</t>
        </r>
      </text>
    </comment>
    <comment ref="J29" authorId="0" shapeId="0" xr:uid="{C4DBAA91-CA76-D94D-9E4C-C0F920347819}">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POPESTIMATE2025 (July 1 2025), Portland-Vancouver-Hillsboro, OR-WA metro area, uploaded file cbsa-est2025-alldata.csv, https://www2.census.gov/programs-surveys/popest/datasets/2020-2025/metro/totals/cbsa-est2025-alldata.csv. July 2023 OMB delineations.</t>
        </r>
      </text>
    </comment>
    <comment ref="B30" authorId="0" shapeId="0" xr:uid="{18A5187C-26F3-C646-A54E-9CD1D8357709}">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POPESTIMATE2017 (July 1 2017), Sacramento-Roseville-Folsom, CA metro area (CBSA 40900),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+1.1% (2374749 vs 2401737).</t>
        </r>
      </text>
    </comment>
    <comment ref="C30" authorId="0" shapeId="0" xr:uid="{13FDDCB3-C19C-9D4A-B8E0-171F3CCDAE6E}">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POPESTIMATE2018 (July 1 2018), Sacramento-Roseville-Folsom, CA metro area (CBSA 40900),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+1.1% (2374749 vs 2401737).</t>
        </r>
      </text>
    </comment>
    <comment ref="D30" authorId="0" shapeId="0" xr:uid="{1E992FC1-8474-754F-9AF8-9CAD352D302D}">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POPESTIMATE2019 (July 1 2019), Sacramento-Roseville-Folsom, CA metro area (CBSA 40900),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+1.1% (2374749 vs 2401737).</t>
        </r>
      </text>
    </comment>
    <comment ref="E30" authorId="0" shapeId="0" xr:uid="{D78DA1ED-23DE-1741-84C4-6367BD04C8D7}">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POPESTIMATE2020 (July 1 2020), Sacramento-Roseville-Folsom, CA metro area, uploaded file cbsa-est2025-alldata.csv, https://www2.census.gov/programs-surveys/popest/datasets/2020-2025/metro/totals/cbsa-est2025-alldata.csv. July 2023 OMB delineations.</t>
        </r>
      </text>
    </comment>
    <comment ref="F30" authorId="0" shapeId="0" xr:uid="{2529A50D-86E9-BF45-8429-FF7BB320CF99}">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POPESTIMATE2021 (July 1 2021), Sacramento-Roseville-Folsom, CA metro area, uploaded file cbsa-est2025-alldata.csv, https://www2.census.gov/programs-surveys/popest/datasets/2020-2025/metro/totals/cbsa-est2025-alldata.csv. July 2023 OMB delineations.</t>
        </r>
      </text>
    </comment>
    <comment ref="G30" authorId="0" shapeId="0" xr:uid="{ADB86337-FB8D-7648-914B-AB364166BD27}">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POPESTIMATE2022 (July 1 2022), Sacramento-Roseville-Folsom, CA metro area, uploaded file cbsa-est2025-alldata.csv, https://www2.census.gov/programs-surveys/popest/datasets/2020-2025/metro/totals/cbsa-est2025-alldata.csv. July 2023 OMB delineations.</t>
        </r>
      </text>
    </comment>
    <comment ref="H30" authorId="0" shapeId="0" xr:uid="{4CC740AB-AE89-404E-83CA-2662244D5044}">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POPESTIMATE2023 (July 1 2023), Sacramento-Roseville-Folsom, CA metro area, uploaded file cbsa-est2025-alldata.csv, https://www2.census.gov/programs-surveys/popest/datasets/2020-2025/metro/totals/cbsa-est2025-alldata.csv. July 2023 OMB delineations.</t>
        </r>
      </text>
    </comment>
    <comment ref="I30" authorId="0" shapeId="0" xr:uid="{B0A09E60-FDE4-274A-A650-091637BA096C}">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POPESTIMATE2024 (July 1 2024), Sacramento-Roseville-Folsom, CA metro area, uploaded file cbsa-est2025-alldata.csv, https://www2.census.gov/programs-surveys/popest/datasets/2020-2025/metro/totals/cbsa-est2025-alldata.csv. July 2023 OMB delineations.</t>
        </r>
      </text>
    </comment>
    <comment ref="J30" authorId="0" shapeId="0" xr:uid="{1320B7C3-D48A-6A43-BAF0-018AB5E2C871}">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POPESTIMATE2025 (July 1 2025), Sacramento-Roseville-Folsom, CA metro area, uploaded file cbsa-est2025-alldata.csv, https://www2.census.gov/programs-surveys/popest/datasets/2020-2025/metro/totals/cbsa-est2025-alldata.csv. July 2023 OMB delineations.</t>
        </r>
      </text>
    </comment>
    <comment ref="B31" authorId="0" shapeId="0" xr:uid="{71866D6A-933C-5F41-914E-2109CE40E9B7}">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POPESTIMATE2017 (July 1 2017), San Antonio-New Braunfels, TX metro area (CBSA 41700),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-0.8% (2590732 vs 2568772).</t>
        </r>
      </text>
    </comment>
    <comment ref="C31" authorId="0" shapeId="0" xr:uid="{A1F01556-7015-3144-AA35-8E0297944D95}">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POPESTIMATE2018 (July 1 2018), San Antonio-New Braunfels, TX metro area (CBSA 41700),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-0.8% (2590732 vs 2568772).</t>
        </r>
      </text>
    </comment>
    <comment ref="D31" authorId="0" shapeId="0" xr:uid="{7C9C4506-FF31-8D42-81B4-2CD53A440A65}">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POPESTIMATE2019 (July 1 2019), San Antonio-New Braunfels, TX metro area (CBSA 41700),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-0.8% (2590732 vs 2568772).</t>
        </r>
      </text>
    </comment>
    <comment ref="E31" authorId="0" shapeId="0" xr:uid="{BBFFCECF-125D-BE4C-BB65-5025BB6D0DC9}">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POPESTIMATE2020 (July 1 2020), San Antonio-New Braunfels, TX metro area, uploaded file cbsa-est2025-alldata.csv, https://www2.census.gov/programs-surveys/popest/datasets/2020-2025/metro/totals/cbsa-est2025-alldata.csv. July 2023 OMB delineations.</t>
        </r>
      </text>
    </comment>
    <comment ref="F31" authorId="0" shapeId="0" xr:uid="{3EBAA322-C622-4146-AF1E-148E935D8BCD}">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POPESTIMATE2021 (July 1 2021), San Antonio-New Braunfels, TX metro area, uploaded file cbsa-est2025-alldata.csv, https://www2.census.gov/programs-surveys/popest/datasets/2020-2025/metro/totals/cbsa-est2025-alldata.csv. July 2023 OMB delineations.</t>
        </r>
      </text>
    </comment>
    <comment ref="G31" authorId="0" shapeId="0" xr:uid="{4512D954-AB45-BD40-834A-E40BA251809B}">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POPESTIMATE2022 (July 1 2022), San Antonio-New Braunfels, TX metro area, uploaded file cbsa-est2025-alldata.csv, https://www2.census.gov/programs-surveys/popest/datasets/2020-2025/metro/totals/cbsa-est2025-alldata.csv. July 2023 OMB delineations.</t>
        </r>
      </text>
    </comment>
    <comment ref="H31" authorId="0" shapeId="0" xr:uid="{68C498A0-ED20-6E44-B2E0-1AA3EC133C44}">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POPESTIMATE2023 (July 1 2023), San Antonio-New Braunfels, TX metro area, uploaded file cbsa-est2025-alldata.csv, https://www2.census.gov/programs-surveys/popest/datasets/2020-2025/metro/totals/cbsa-est2025-alldata.csv. July 2023 OMB delineations.</t>
        </r>
      </text>
    </comment>
    <comment ref="I31" authorId="0" shapeId="0" xr:uid="{90E44199-CEE6-B548-8AE9-3FCE699C9806}">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POPESTIMATE2024 (July 1 2024), San Antonio-New Braunfels, TX metro area, uploaded file cbsa-est2025-alldata.csv, https://www2.census.gov/programs-surveys/popest/datasets/2020-2025/metro/totals/cbsa-est2025-alldata.csv. July 2023 OMB delineations.</t>
        </r>
      </text>
    </comment>
    <comment ref="J31" authorId="0" shapeId="0" xr:uid="{7BF5A209-F02C-EA47-AF1D-1683007E5419}">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POPESTIMATE2025 (July 1 2025), San Antonio-New Braunfels, TX metro area, uploaded file cbsa-est2025-alldata.csv, https://www2.census.gov/programs-surveys/popest/datasets/2020-2025/metro/totals/cbsa-est2025-alldata.csv. July 2023 OMB delineations.</t>
        </r>
      </text>
    </comment>
    <comment ref="B32" authorId="0" shapeId="0" xr:uid="{6F8E7281-1FBE-4241-B131-2344C26570BB}">
      <text>
        <r>
          <rPr>
            <b/>
            <sz val="10"/>
            <color rgb="FF000000"/>
            <rFont val="Tahoma"/>
            <family val="2"/>
          </rPr>
          <t>Keller, Zach:</t>
        </r>
        <r>
          <rPr>
            <sz val="10"/>
            <color rgb="FF000000"/>
            <rFont val="Tahoma"/>
            <family val="2"/>
          </rPr>
          <t xml:space="preserve">
Source: Statistics Canada, Table 17-10-0148-01 (release 2026-01-14), Toronto CMA population, July 1 2017, uploaded file 1710014801-eng.csv, https://www150.statcan.gc.ca/t1/tbl1/en/tv.action?pid=1710014801. Toronto uses a Census Metropolitan Area (2021 boundaries), not a U.S. MSA — not strictly comparable.</t>
        </r>
      </text>
    </comment>
    <comment ref="C32" authorId="0" shapeId="0" xr:uid="{6EC247A8-6EC7-A14E-A55F-48B4183B2414}">
      <text>
        <r>
          <rPr>
            <b/>
            <sz val="10"/>
            <color rgb="FF000000"/>
            <rFont val="Tahoma"/>
            <family val="2"/>
          </rPr>
          <t>Keller, Zach:</t>
        </r>
        <r>
          <rPr>
            <sz val="10"/>
            <color rgb="FF000000"/>
            <rFont val="Tahoma"/>
            <family val="2"/>
          </rPr>
          <t xml:space="preserve">
Source: Statistics Canada, Table 17-10-0148-01 (release 2026-01-14), Toronto CMA population, July 1 2018, uploaded file 1710014801-eng.csv, https://www150.statcan.gc.ca/t1/tbl1/en/tv.action?pid=1710014801. Toronto uses a Census Metropolitan Area (2021 boundaries), not a U.S. MSA — not strictly comparable.</t>
        </r>
      </text>
    </comment>
    <comment ref="D32" authorId="0" shapeId="0" xr:uid="{8F74B3A2-80AA-054A-96CF-EDEEB062CEDC}">
      <text>
        <r>
          <rPr>
            <b/>
            <sz val="10"/>
            <color rgb="FF000000"/>
            <rFont val="Tahoma"/>
            <family val="2"/>
          </rPr>
          <t>Keller, Zach:</t>
        </r>
        <r>
          <rPr>
            <sz val="10"/>
            <color rgb="FF000000"/>
            <rFont val="Tahoma"/>
            <family val="2"/>
          </rPr>
          <t xml:space="preserve">
Source: Statistics Canada, Table 17-10-0148-01 (release 2026-01-14), Toronto CMA population, July 1 2019, uploaded file 1710014801-eng.csv, https://www150.statcan.gc.ca/t1/tbl1/en/tv.action?pid=1710014801. Toronto uses a Census Metropolitan Area (2021 boundaries), not a U.S. MSA — not strictly comparable.</t>
        </r>
      </text>
    </comment>
    <comment ref="E32" authorId="0" shapeId="0" xr:uid="{720DDD80-1399-284C-96B5-26FEE6E35F1B}">
      <text>
        <r>
          <rPr>
            <b/>
            <sz val="10"/>
            <color rgb="FF000000"/>
            <rFont val="Tahoma"/>
            <family val="2"/>
          </rPr>
          <t>Keller, Zach:</t>
        </r>
        <r>
          <rPr>
            <sz val="10"/>
            <color rgb="FF000000"/>
            <rFont val="Tahoma"/>
            <family val="2"/>
          </rPr>
          <t xml:space="preserve">
Source: Statistics Canada, Table 17-10-0148-01 (release 2026-01-14), Toronto CMA population, July 1 2020, uploaded file 1710014801-eng.csv, https://www150.statcan.gc.ca/t1/tbl1/en/tv.action?pid=1710014801. Toronto uses a Census Metropolitan Area (2021 boundaries), not a U.S. MSA — not strictly comparable.</t>
        </r>
      </text>
    </comment>
    <comment ref="F32" authorId="0" shapeId="0" xr:uid="{B1FB6682-5607-3547-B494-D34745416497}">
      <text>
        <r>
          <rPr>
            <b/>
            <sz val="10"/>
            <color rgb="FF000000"/>
            <rFont val="Tahoma"/>
            <family val="2"/>
          </rPr>
          <t>Keller, Zach:</t>
        </r>
        <r>
          <rPr>
            <sz val="10"/>
            <color rgb="FF000000"/>
            <rFont val="Tahoma"/>
            <family val="2"/>
          </rPr>
          <t xml:space="preserve">
Source: Statistics Canada, Table 17-10-0148-01 (release 2026-01-14), Toronto CMA population, July 1 2021, uploaded file 1710014801-eng.csv, https://www150.statcan.gc.ca/t1/tbl1/en/tv.action?pid=1710014801. Toronto uses a Census Metropolitan Area (2021 boundaries), not a U.S. MSA — not strictly comparable.</t>
        </r>
      </text>
    </comment>
    <comment ref="G32" authorId="0" shapeId="0" xr:uid="{5940D6A0-D16F-3247-A398-A97306F7D637}">
      <text>
        <r>
          <rPr>
            <b/>
            <sz val="10"/>
            <color rgb="FF000000"/>
            <rFont val="Tahoma"/>
            <family val="2"/>
          </rPr>
          <t>Keller, Zach:</t>
        </r>
        <r>
          <rPr>
            <sz val="10"/>
            <color rgb="FF000000"/>
            <rFont val="Tahoma"/>
            <family val="2"/>
          </rPr>
          <t xml:space="preserve">
Source: Statistics Canada, Table 17-10-0148-01 (release 2026-01-14), Toronto CMA population, July 1 2022, uploaded file 1710014801-eng.csv, https://www150.statcan.gc.ca/t1/tbl1/en/tv.action?pid=1710014801. Toronto uses a Census Metropolitan Area (2021 boundaries), not a U.S. MSA — not strictly comparable. Postcensal estimate (2025 preliminary).</t>
        </r>
      </text>
    </comment>
    <comment ref="H32" authorId="0" shapeId="0" xr:uid="{EA02DCD4-AD4E-1740-98B4-F864A33650A6}">
      <text>
        <r>
          <rPr>
            <b/>
            <sz val="10"/>
            <color rgb="FF000000"/>
            <rFont val="Tahoma"/>
            <family val="2"/>
          </rPr>
          <t>Keller, Zach:</t>
        </r>
        <r>
          <rPr>
            <sz val="10"/>
            <color rgb="FF000000"/>
            <rFont val="Tahoma"/>
            <family val="2"/>
          </rPr>
          <t xml:space="preserve">
Source: Statistics Canada, Table 17-10-0148-01 (release 2026-01-14), Toronto CMA population, July 1 2023, uploaded file 1710014801-eng.csv, https://www150.statcan.gc.ca/t1/tbl1/en/tv.action?pid=1710014801. Toronto uses a Census Metropolitan Area (2021 boundaries), not a U.S. MSA — not strictly comparable. Postcensal estimate (2025 preliminary).</t>
        </r>
      </text>
    </comment>
    <comment ref="I32" authorId="0" shapeId="0" xr:uid="{7C7FB8A6-A993-1641-B246-CD52C207320F}">
      <text>
        <r>
          <rPr>
            <b/>
            <sz val="10"/>
            <color rgb="FF000000"/>
            <rFont val="Tahoma"/>
            <family val="2"/>
          </rPr>
          <t>Keller, Zach:</t>
        </r>
        <r>
          <rPr>
            <sz val="10"/>
            <color rgb="FF000000"/>
            <rFont val="Tahoma"/>
            <family val="2"/>
          </rPr>
          <t xml:space="preserve">
Source: Statistics Canada, Table 17-10-0148-01 (release 2026-01-14), Toronto CMA population, July 1 2024, uploaded file 1710014801-eng.csv, https://www150.statcan.gc.ca/t1/tbl1/en/tv.action?pid=1710014801. Toronto uses a Census Metropolitan Area (2021 boundaries), not a U.S. MSA — not strictly comparable. Postcensal estimate (2025 preliminary).</t>
        </r>
      </text>
    </comment>
    <comment ref="J32" authorId="0" shapeId="0" xr:uid="{22FA30B3-4AE2-0648-B9C9-5E6174C5507A}">
      <text>
        <r>
          <rPr>
            <b/>
            <sz val="10"/>
            <color rgb="FF000000"/>
            <rFont val="Tahoma"/>
            <family val="2"/>
          </rPr>
          <t>Keller, Zach:</t>
        </r>
        <r>
          <rPr>
            <sz val="10"/>
            <color rgb="FF000000"/>
            <rFont val="Tahoma"/>
            <family val="2"/>
          </rPr>
          <t xml:space="preserve">
Source: Statistics Canada, Table 17-10-0148-01 (release 2026-01-14), Toronto CMA population, July 1 2025, uploaded file 1710014801-eng.csv, https://www150.statcan.gc.ca/t1/tbl1/en/tv.action?pid=1710014801. Toronto uses a Census Metropolitan Area (2021 boundaries), not a U.S. MSA — not strictly comparable. Postcensal estimate (2025 preliminary).</t>
        </r>
      </text>
    </comment>
    <comment ref="B33" authorId="0" shapeId="0" xr:uid="{D8816E62-EC63-0F4D-87CE-14A54B7B7378}">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POPESTIMATE2017 (July 1 2017), Salt Lake City, UT metro area (CBSA 41620),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+1.6% (1240029 vs 1260358).</t>
        </r>
      </text>
    </comment>
    <comment ref="C33" authorId="0" shapeId="0" xr:uid="{A26DAE0E-4D96-A34E-850C-0CD315B410DF}">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POPESTIMATE2018 (July 1 2018), Salt Lake City, UT metro area (CBSA 41620),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+1.6% (1240029 vs 1260358).</t>
        </r>
      </text>
    </comment>
    <comment ref="D33" authorId="0" shapeId="0" xr:uid="{B4525FE5-8122-DF43-8FFE-2C59C04E66A4}">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POPESTIMATE2019 (July 1 2019), Salt Lake City, UT metro area (CBSA 41620),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+1.6% (1240029 vs 1260358).</t>
        </r>
      </text>
    </comment>
    <comment ref="E33" authorId="0" shapeId="0" xr:uid="{57BBDB3D-85C9-0448-8D4A-6B1126FC6668}">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POPESTIMATE2020 (July 1 2020), Salt Lake City-Murray, UT metro area, uploaded file cbsa-est2025-alldata.csv, https://www2.census.gov/programs-surveys/popest/datasets/2020-2025/metro/totals/cbsa-est2025-alldata.csv. July 2023 OMB delineations.</t>
        </r>
      </text>
    </comment>
    <comment ref="F33" authorId="0" shapeId="0" xr:uid="{B6912F91-9B93-E74C-A4E7-3E72363D017D}">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POPESTIMATE2021 (July 1 2021), Salt Lake City-Murray, UT metro area, uploaded file cbsa-est2025-alldata.csv, https://www2.census.gov/programs-surveys/popest/datasets/2020-2025/metro/totals/cbsa-est2025-alldata.csv. July 2023 OMB delineations.</t>
        </r>
      </text>
    </comment>
    <comment ref="G33" authorId="0" shapeId="0" xr:uid="{3022DE13-CB39-444D-896F-3DE85D8775C9}">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POPESTIMATE2022 (July 1 2022), Salt Lake City-Murray, UT metro area, uploaded file cbsa-est2025-alldata.csv, https://www2.census.gov/programs-surveys/popest/datasets/2020-2025/metro/totals/cbsa-est2025-alldata.csv. July 2023 OMB delineations.</t>
        </r>
      </text>
    </comment>
    <comment ref="H33" authorId="0" shapeId="0" xr:uid="{33D96BBF-2B31-6B4C-AAF8-88C97D0DF52E}">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POPESTIMATE2023 (July 1 2023), Salt Lake City-Murray, UT metro area, uploaded file cbsa-est2025-alldata.csv, https://www2.census.gov/programs-surveys/popest/datasets/2020-2025/metro/totals/cbsa-est2025-alldata.csv. July 2023 OMB delineations.</t>
        </r>
      </text>
    </comment>
    <comment ref="I33" authorId="0" shapeId="0" xr:uid="{AAF17AE8-48C9-B849-A9CC-0619FF529F14}">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POPESTIMATE2024 (July 1 2024), Salt Lake City-Murray, UT metro area, uploaded file cbsa-est2025-alldata.csv, https://www2.census.gov/programs-surveys/popest/datasets/2020-2025/metro/totals/cbsa-est2025-alldata.csv. July 2023 OMB delineations.</t>
        </r>
      </text>
    </comment>
    <comment ref="J33" authorId="0" shapeId="0" xr:uid="{6239A58F-07C4-4E40-93D0-476371E47AE8}">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POPESTIMATE2025 (July 1 2025), Salt Lake City-Murray, UT metro area, uploaded file cbsa-est2025-alldata.csv, https://www2.census.gov/programs-surveys/popest/datasets/2020-2025/metro/totals/cbsa-est2025-alldata.csv. July 2023 OMB delineations.</t>
        </r>
      </text>
    </comment>
    <comment ref="B34" authorId="0" shapeId="0" xr:uid="{37143865-D235-0B48-9926-2FE98D405BE8}">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POPESTIMATE2017 (July 1 2017), Washington-Arlington-Alexandria, DC-VA-MD-WV metro area (CBSA 47900),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-1% (6324629 vs 6260638).</t>
        </r>
      </text>
    </comment>
    <comment ref="C34" authorId="0" shapeId="0" xr:uid="{0E1BB8CA-5729-634E-B5FD-22CA5148690C}">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POPESTIMATE2018 (July 1 2018), Washington-Arlington-Alexandria, DC-VA-MD-WV metro area (CBSA 47900),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-1% (6324629 vs 6260638).</t>
        </r>
      </text>
    </comment>
    <comment ref="D34" authorId="0" shapeId="0" xr:uid="{0E6C5730-6C69-1140-96D9-9D27E27C9823}">
      <text>
        <r>
          <rPr>
            <b/>
            <sz val="10"/>
            <color rgb="FF000000"/>
            <rFont val="Tahoma"/>
            <family val="2"/>
          </rPr>
          <t>Keller, Zach:</t>
        </r>
        <r>
          <rPr>
            <sz val="10"/>
            <color rgb="FF000000"/>
            <rFont val="Tahoma"/>
            <family val="2"/>
          </rPr>
          <t xml:space="preserve">
Source: U.S. Census Bureau, Vintage 2020 population estimates (CBSA-EST2020-ALLDATA, released May 2021), POPESTIMATE2019 (July 1 2019), Washington-Arlington-Alexandria, DC-VA-MD-WV metro area (CBSA 47900), uploaded file cbsa-est2020-alldata.csv, https://www2.census.gov/programs-surveys/popest/datasets/2010-2020/metro/totals/cbsa-est2020-alldata.csv. SERIES BREAK: this file uses the pre-2023 metro boundaries and older vintage; 2020–2025 use Vintage 2025 / 2023 boundaries. For July 1 2020 the two files differ by -1% (6324629 vs 6260638).</t>
        </r>
      </text>
    </comment>
    <comment ref="E34" authorId="0" shapeId="0" xr:uid="{C3EE2B37-6FFB-D540-AEC0-4517D5F708CA}">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POPESTIMATE2020 (July 1 2020), Washington-Arlington-Alexandria, DC-VA-MD-WV metro area, uploaded file cbsa-est2025-alldata.csv, https://www2.census.gov/programs-surveys/popest/datasets/2020-2025/metro/totals/cbsa-est2025-alldata.csv. July 2023 OMB delineations.</t>
        </r>
      </text>
    </comment>
    <comment ref="F34" authorId="0" shapeId="0" xr:uid="{3389B30A-29DF-0647-95B0-42CBCF4EC861}">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POPESTIMATE2021 (July 1 2021), Washington-Arlington-Alexandria, DC-VA-MD-WV metro area, uploaded file cbsa-est2025-alldata.csv, https://www2.census.gov/programs-surveys/popest/datasets/2020-2025/metro/totals/cbsa-est2025-alldata.csv. July 2023 OMB delineations.</t>
        </r>
      </text>
    </comment>
    <comment ref="G34" authorId="0" shapeId="0" xr:uid="{299D0346-B119-1143-827F-81D9F0A1D999}">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POPESTIMATE2022 (July 1 2022), Washington-Arlington-Alexandria, DC-VA-MD-WV metro area, uploaded file cbsa-est2025-alldata.csv, https://www2.census.gov/programs-surveys/popest/datasets/2020-2025/metro/totals/cbsa-est2025-alldata.csv. July 2023 OMB delineations.</t>
        </r>
      </text>
    </comment>
    <comment ref="H34" authorId="0" shapeId="0" xr:uid="{962DDC5F-456F-8945-B958-BF21E01F55D5}">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POPESTIMATE2023 (July 1 2023), Washington-Arlington-Alexandria, DC-VA-MD-WV metro area, uploaded file cbsa-est2025-alldata.csv, https://www2.census.gov/programs-surveys/popest/datasets/2020-2025/metro/totals/cbsa-est2025-alldata.csv. July 2023 OMB delineations.</t>
        </r>
      </text>
    </comment>
    <comment ref="I34" authorId="0" shapeId="0" xr:uid="{EF3D7DD1-232B-1A43-B9EB-83082B989701}">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POPESTIMATE2024 (July 1 2024), Washington-Arlington-Alexandria, DC-VA-MD-WV metro area, uploaded file cbsa-est2025-alldata.csv, https://www2.census.gov/programs-surveys/popest/datasets/2020-2025/metro/totals/cbsa-est2025-alldata.csv. July 2023 OMB delineations.</t>
        </r>
      </text>
    </comment>
    <comment ref="J34" authorId="0" shapeId="0" xr:uid="{2FEB8CB4-22A4-CB4A-96A7-ADA50A07E68C}">
      <text>
        <r>
          <rPr>
            <b/>
            <sz val="10"/>
            <color rgb="FF000000"/>
            <rFont val="Tahoma"/>
            <family val="2"/>
          </rPr>
          <t>Keller, Zach:</t>
        </r>
        <r>
          <rPr>
            <sz val="10"/>
            <color rgb="FF000000"/>
            <rFont val="Tahoma"/>
            <family val="2"/>
          </rPr>
          <t xml:space="preserve">
Source: U.S. Census Bureau, Vintage 2025 population estimates (CBSA-EST2025-ALLDATA, released Mar 2026), POPESTIMATE2025 (July 1 2025), Washington-Arlington-Alexandria, DC-VA-MD-WV metro area, uploaded file cbsa-est2025-alldata.csv, https://www2.census.gov/programs-surveys/popest/datasets/2020-2025/metro/totals/cbsa-est2025-alldata.csv. July 2023 OMB delineations.</t>
        </r>
      </text>
    </comment>
    <comment ref="A36" authorId="0" shapeId="0" xr:uid="{3A19F5EB-C957-6644-8C79-AC26358BD7FD}">
      <text>
        <r>
          <rPr>
            <b/>
            <sz val="10"/>
            <color rgb="FF000000"/>
            <rFont val="Tahoma"/>
            <family val="2"/>
          </rPr>
          <t>Keller, Zach:</t>
        </r>
        <r>
          <rPr>
            <sz val="10"/>
            <color rgb="FF000000"/>
            <rFont val="Tahoma"/>
            <family val="2"/>
          </rPr>
          <t xml:space="preserve">
Source: Nielsen Local Television Market Universe Estimates 2024–25, as reposted by National Media Spots (third-party copy; uploaded DMA-Ranks.pdf, https://nationalmediaspots.com/DMA-Ranks.pdf). 2023–24 ranks are derived from that PDF's 'change vs 2023–24' column. Other seasons n/a. Toronto is not a Nielsen DMA (Numeris).</t>
        </r>
      </text>
    </comment>
    <comment ref="I38" authorId="0" shapeId="0" xr:uid="{ED066362-F85A-3343-BFBF-D397C1D47BD2}">
      <text>
        <r>
          <rPr>
            <b/>
            <sz val="10"/>
            <color rgb="FF000000"/>
            <rFont val="Tahoma"/>
            <family val="2"/>
          </rPr>
          <t>Keller, Zach:</t>
        </r>
        <r>
          <rPr>
            <sz val="10"/>
            <color rgb="FF000000"/>
            <rFont val="Tahoma"/>
            <family val="2"/>
          </rPr>
          <t xml:space="preserve">
Source: derived from Nielsen 2024-2025 Local Television Market Universe Estimates (National Media Spots repost, https://nationalmediaspots.com/DMA-Ranks.pdf): 2023-24 rank = 2024-25 rank (7) + the PDF's "Change vs 2023-2024 rank" column. Third-party copy, uploaded file DMA-Ranks.pdf.</t>
        </r>
      </text>
    </comment>
    <comment ref="J38" authorId="0" shapeId="0" xr:uid="{CD1D77C5-7F2A-1A42-8C37-EF5EF635AAA7}">
      <text>
        <r>
          <rPr>
            <b/>
            <sz val="10"/>
            <color rgb="FF000000"/>
            <rFont val="Tahoma"/>
            <family val="2"/>
          </rPr>
          <t>Keller, Zach:</t>
        </r>
        <r>
          <rPr>
            <sz val="10"/>
            <color rgb="FF000000"/>
            <rFont val="Tahoma"/>
            <family val="2"/>
          </rPr>
          <t xml:space="preserve">
Source: Nielsen 2024-2025 Local Television Market Universe Estimates (rank of "Atlanta, GA" DMA), as reposted by National Media Spots (third-party copy, not Nielsen's own site), uploaded file DMA-Ranks.pdf, https://nationalmediaspots.com/DMA-Ranks.pdf.</t>
        </r>
      </text>
    </comment>
    <comment ref="I39" authorId="0" shapeId="0" xr:uid="{3AAFB238-408B-214C-BC4C-76E8056B9077}">
      <text>
        <r>
          <rPr>
            <b/>
            <sz val="10"/>
            <color rgb="FF000000"/>
            <rFont val="Tahoma"/>
            <family val="2"/>
          </rPr>
          <t>Keller, Zach:</t>
        </r>
        <r>
          <rPr>
            <sz val="10"/>
            <color rgb="FF000000"/>
            <rFont val="Tahoma"/>
            <family val="2"/>
          </rPr>
          <t xml:space="preserve">
Source: derived from Nielsen 2024-2025 Local Television Market Universe Estimates (National Media Spots repost, https://nationalmediaspots.com/DMA-Ranks.pdf): 2023-24 rank = 2024-25 rank (9) + the PDF's "Change vs 2023-2024 rank" column. Third-party copy, uploaded file DMA-Ranks.pdf.</t>
        </r>
      </text>
    </comment>
    <comment ref="J39" authorId="0" shapeId="0" xr:uid="{4C0787F8-0B0C-2A43-B934-007EB75C589C}">
      <text>
        <r>
          <rPr>
            <b/>
            <sz val="10"/>
            <color rgb="FF000000"/>
            <rFont val="Tahoma"/>
            <family val="2"/>
          </rPr>
          <t>Keller, Zach:</t>
        </r>
        <r>
          <rPr>
            <sz val="10"/>
            <color rgb="FF000000"/>
            <rFont val="Tahoma"/>
            <family val="2"/>
          </rPr>
          <t xml:space="preserve">
Source: Nielsen 2024-2025 Local Television Market Universe Estimates (rank of "Boston, MA - Manchester, NH" DMA), as reposted by National Media Spots (third-party copy, not Nielsen's own site), uploaded file DMA-Ranks.pdf, https://nationalmediaspots.com/DMA-Ranks.pdf.</t>
        </r>
      </text>
    </comment>
    <comment ref="I40" authorId="0" shapeId="0" xr:uid="{BDC5F064-B171-1543-A67D-DF9FE085FC74}">
      <text>
        <r>
          <rPr>
            <b/>
            <sz val="10"/>
            <color rgb="FF000000"/>
            <rFont val="Tahoma"/>
            <family val="2"/>
          </rPr>
          <t>Keller, Zach:</t>
        </r>
        <r>
          <rPr>
            <sz val="10"/>
            <color rgb="FF000000"/>
            <rFont val="Tahoma"/>
            <family val="2"/>
          </rPr>
          <t xml:space="preserve">
Source: derived from Nielsen 2024-2025 Local Television Market Universe Estimates (National Media Spots repost, https://nationalmediaspots.com/DMA-Ranks.pdf): 2023-24 rank = 2024-25 rank (1) + the PDF's "Change vs 2023-2024 rank" column. Third-party copy, uploaded file DMA-Ranks.pdf.</t>
        </r>
      </text>
    </comment>
    <comment ref="J40" authorId="0" shapeId="0" xr:uid="{FBFA771A-B8AC-F44F-B615-B44B73064D11}">
      <text>
        <r>
          <rPr>
            <b/>
            <sz val="10"/>
            <color rgb="FF000000"/>
            <rFont val="Tahoma"/>
            <family val="2"/>
          </rPr>
          <t>Keller, Zach:</t>
        </r>
        <r>
          <rPr>
            <sz val="10"/>
            <color rgb="FF000000"/>
            <rFont val="Tahoma"/>
            <family val="2"/>
          </rPr>
          <t xml:space="preserve">
Source: Nielsen 2024-2025 Local Television Market Universe Estimates (rank of "New York, NY" DMA), as reposted by National Media Spots (third-party copy, not Nielsen's own site), uploaded file DMA-Ranks.pdf, https://nationalmediaspots.com/DMA-Ranks.pdf.</t>
        </r>
      </text>
    </comment>
    <comment ref="I41" authorId="0" shapeId="0" xr:uid="{F71DCAF7-50E6-C84C-87BE-0799D165F7F6}">
      <text>
        <r>
          <rPr>
            <b/>
            <sz val="10"/>
            <color rgb="FF000000"/>
            <rFont val="Tahoma"/>
            <family val="2"/>
          </rPr>
          <t>Keller, Zach:</t>
        </r>
        <r>
          <rPr>
            <sz val="10"/>
            <color rgb="FF000000"/>
            <rFont val="Tahoma"/>
            <family val="2"/>
          </rPr>
          <t xml:space="preserve">
Source: derived from Nielsen 2024-2025 Local Television Market Universe Estimates (National Media Spots repost, https://nationalmediaspots.com/DMA-Ranks.pdf): 2023-24 rank = 2024-25 rank (21) + the PDF's "Change vs 2023-2024 rank" column. Third-party copy, uploaded file DMA-Ranks.pdf.</t>
        </r>
      </text>
    </comment>
    <comment ref="J41" authorId="0" shapeId="0" xr:uid="{D3BE0FE5-1370-E749-920B-49C03F513207}">
      <text>
        <r>
          <rPr>
            <b/>
            <sz val="10"/>
            <color rgb="FF000000"/>
            <rFont val="Tahoma"/>
            <family val="2"/>
          </rPr>
          <t>Keller, Zach:</t>
        </r>
        <r>
          <rPr>
            <sz val="10"/>
            <color rgb="FF000000"/>
            <rFont val="Tahoma"/>
            <family val="2"/>
          </rPr>
          <t xml:space="preserve">
Source: Nielsen 2024-2025 Local Television Market Universe Estimates (rank of "Charlotte, NC" DMA), as reposted by National Media Spots (third-party copy, not Nielsen's own site), uploaded file DMA-Ranks.pdf, https://nationalmediaspots.com/DMA-Ranks.pdf.</t>
        </r>
      </text>
    </comment>
    <comment ref="I42" authorId="0" shapeId="0" xr:uid="{78CA8C11-70D5-2C4D-861B-FC88FFD78352}">
      <text>
        <r>
          <rPr>
            <b/>
            <sz val="10"/>
            <color rgb="FF000000"/>
            <rFont val="Tahoma"/>
            <family val="2"/>
          </rPr>
          <t>Keller, Zach:</t>
        </r>
        <r>
          <rPr>
            <sz val="10"/>
            <color rgb="FF000000"/>
            <rFont val="Tahoma"/>
            <family val="2"/>
          </rPr>
          <t xml:space="preserve">
Source: derived from Nielsen 2024-2025 Local Television Market Universe Estimates (National Media Spots repost, https://nationalmediaspots.com/DMA-Ranks.pdf): 2023-24 rank = 2024-25 rank (3) + the PDF's "Change vs 2023-2024 rank" column. Third-party copy, uploaded file DMA-Ranks.pdf.</t>
        </r>
      </text>
    </comment>
    <comment ref="J42" authorId="0" shapeId="0" xr:uid="{E69C62AD-13EA-DC48-BB91-C899C58F88E4}">
      <text>
        <r>
          <rPr>
            <b/>
            <sz val="10"/>
            <color rgb="FF000000"/>
            <rFont val="Tahoma"/>
            <family val="2"/>
          </rPr>
          <t>Keller, Zach:</t>
        </r>
        <r>
          <rPr>
            <sz val="10"/>
            <color rgb="FF000000"/>
            <rFont val="Tahoma"/>
            <family val="2"/>
          </rPr>
          <t xml:space="preserve">
Source: Nielsen 2024-2025 Local Television Market Universe Estimates (rank of "Chicago, IL" DMA), as reposted by National Media Spots (third-party copy, not Nielsen's own site), uploaded file DMA-Ranks.pdf, https://nationalmediaspots.com/DMA-Ranks.pdf.</t>
        </r>
      </text>
    </comment>
    <comment ref="I43" authorId="0" shapeId="0" xr:uid="{D3566501-426F-DE49-9D95-1AE35DA55BA9}">
      <text>
        <r>
          <rPr>
            <b/>
            <sz val="10"/>
            <color rgb="FF000000"/>
            <rFont val="Tahoma"/>
            <family val="2"/>
          </rPr>
          <t>Keller, Zach:</t>
        </r>
        <r>
          <rPr>
            <sz val="10"/>
            <color rgb="FF000000"/>
            <rFont val="Tahoma"/>
            <family val="2"/>
          </rPr>
          <t xml:space="preserve">
Source: derived from Nielsen 2024-2025 Local Television Market Universe Estimates (National Media Spots repost, https://nationalmediaspots.com/DMA-Ranks.pdf): 2023-24 rank = 2024-25 rank (19) + the PDF's "Change vs 2023-2024 rank" column. Third-party copy, uploaded file DMA-Ranks.pdf.</t>
        </r>
      </text>
    </comment>
    <comment ref="J43" authorId="0" shapeId="0" xr:uid="{09B027A1-6C34-4648-A91F-4B1632191B79}">
      <text>
        <r>
          <rPr>
            <b/>
            <sz val="10"/>
            <color rgb="FF000000"/>
            <rFont val="Tahoma"/>
            <family val="2"/>
          </rPr>
          <t>Keller, Zach:</t>
        </r>
        <r>
          <rPr>
            <sz val="10"/>
            <color rgb="FF000000"/>
            <rFont val="Tahoma"/>
            <family val="2"/>
          </rPr>
          <t xml:space="preserve">
Source: Nielsen 2024-2025 Local Television Market Universe Estimates (rank of "Cleveland - Akron - Canton, OH" DMA), as reposted by National Media Spots (third-party copy, not Nielsen's own site), uploaded file DMA-Ranks.pdf, https://nationalmediaspots.com/DMA-Ranks.pdf.</t>
        </r>
      </text>
    </comment>
    <comment ref="I44" authorId="0" shapeId="0" xr:uid="{23FFC4C1-7D17-2C44-98C2-A440CEB2C428}">
      <text>
        <r>
          <rPr>
            <b/>
            <sz val="10"/>
            <color rgb="FF000000"/>
            <rFont val="Tahoma"/>
            <family val="2"/>
          </rPr>
          <t>Keller, Zach:</t>
        </r>
        <r>
          <rPr>
            <sz val="10"/>
            <color rgb="FF000000"/>
            <rFont val="Tahoma"/>
            <family val="2"/>
          </rPr>
          <t xml:space="preserve">
Source: derived from Nielsen 2024-2025 Local Television Market Universe Estimates (National Media Spots repost, https://nationalmediaspots.com/DMA-Ranks.pdf): 2023-24 rank = 2024-25 rank (4) + the PDF's "Change vs 2023-2024 rank" column. Third-party copy, uploaded file DMA-Ranks.pdf.</t>
        </r>
      </text>
    </comment>
    <comment ref="J44" authorId="0" shapeId="0" xr:uid="{792DCA54-ED2C-A847-AC4E-36376F5F04DE}">
      <text>
        <r>
          <rPr>
            <b/>
            <sz val="10"/>
            <color rgb="FF000000"/>
            <rFont val="Tahoma"/>
            <family val="2"/>
          </rPr>
          <t>Keller, Zach:</t>
        </r>
        <r>
          <rPr>
            <sz val="10"/>
            <color rgb="FF000000"/>
            <rFont val="Tahoma"/>
            <family val="2"/>
          </rPr>
          <t xml:space="preserve">
Source: Nielsen 2024-2025 Local Television Market Universe Estimates (rank of "Dallas - Fort Worth, TX" DMA), as reposted by National Media Spots (third-party copy, not Nielsen's own site), uploaded file DMA-Ranks.pdf, https://nationalmediaspots.com/DMA-Ranks.pdf.</t>
        </r>
      </text>
    </comment>
    <comment ref="I45" authorId="0" shapeId="0" xr:uid="{D9097594-F8AB-8747-ACAC-1B5C6D5B57D3}">
      <text>
        <r>
          <rPr>
            <b/>
            <sz val="10"/>
            <color rgb="FF000000"/>
            <rFont val="Tahoma"/>
            <family val="2"/>
          </rPr>
          <t>Keller, Zach:</t>
        </r>
        <r>
          <rPr>
            <sz val="10"/>
            <color rgb="FF000000"/>
            <rFont val="Tahoma"/>
            <family val="2"/>
          </rPr>
          <t xml:space="preserve">
Source: derived from Nielsen 2024-2025 Local Television Market Universe Estimates (National Media Spots repost, https://nationalmediaspots.com/DMA-Ranks.pdf): 2023-24 rank = 2024-25 rank (17) + the PDF's "Change vs 2023-2024 rank" column. Third-party copy, uploaded file DMA-Ranks.pdf.</t>
        </r>
      </text>
    </comment>
    <comment ref="J45" authorId="0" shapeId="0" xr:uid="{8CD11B09-4DBB-3E4C-9C77-1B3A2925CE12}">
      <text>
        <r>
          <rPr>
            <b/>
            <sz val="10"/>
            <color rgb="FF000000"/>
            <rFont val="Tahoma"/>
            <family val="2"/>
          </rPr>
          <t>Keller, Zach:</t>
        </r>
        <r>
          <rPr>
            <sz val="10"/>
            <color rgb="FF000000"/>
            <rFont val="Tahoma"/>
            <family val="2"/>
          </rPr>
          <t xml:space="preserve">
Source: Nielsen 2024-2025 Local Television Market Universe Estimates (rank of "Denver, CO" DMA), as reposted by National Media Spots (third-party copy, not Nielsen's own site), uploaded file DMA-Ranks.pdf, https://nationalmediaspots.com/DMA-Ranks.pdf.</t>
        </r>
      </text>
    </comment>
    <comment ref="I46" authorId="0" shapeId="0" xr:uid="{A98171DE-B5E2-114C-A3C1-88C8AEFE66CC}">
      <text>
        <r>
          <rPr>
            <b/>
            <sz val="10"/>
            <color rgb="FF000000"/>
            <rFont val="Tahoma"/>
            <family val="2"/>
          </rPr>
          <t>Keller, Zach:</t>
        </r>
        <r>
          <rPr>
            <sz val="10"/>
            <color rgb="FF000000"/>
            <rFont val="Tahoma"/>
            <family val="2"/>
          </rPr>
          <t xml:space="preserve">
Source: derived from Nielsen 2024-2025 Local Television Market Universe Estimates (National Media Spots repost, https://nationalmediaspots.com/DMA-Ranks.pdf): 2023-24 rank = 2024-25 rank (14) + the PDF's "Change vs 2023-2024 rank" column. Third-party copy, uploaded file DMA-Ranks.pdf.</t>
        </r>
      </text>
    </comment>
    <comment ref="J46" authorId="0" shapeId="0" xr:uid="{DF6B35AC-4017-8545-B70B-35E2AEDC1F21}">
      <text>
        <r>
          <rPr>
            <b/>
            <sz val="10"/>
            <color rgb="FF000000"/>
            <rFont val="Tahoma"/>
            <family val="2"/>
          </rPr>
          <t>Keller, Zach:</t>
        </r>
        <r>
          <rPr>
            <sz val="10"/>
            <color rgb="FF000000"/>
            <rFont val="Tahoma"/>
            <family val="2"/>
          </rPr>
          <t xml:space="preserve">
Source: Nielsen 2024-2025 Local Television Market Universe Estimates (rank of "Detroit, MI" DMA), as reposted by National Media Spots (third-party copy, not Nielsen's own site), uploaded file DMA-Ranks.pdf, https://nationalmediaspots.com/DMA-Ranks.pdf.</t>
        </r>
      </text>
    </comment>
    <comment ref="I47" authorId="0" shapeId="0" xr:uid="{028FB206-81DA-DB42-A53A-5EACB6E2EE19}">
      <text>
        <r>
          <rPr>
            <b/>
            <sz val="10"/>
            <color rgb="FF000000"/>
            <rFont val="Tahoma"/>
            <family val="2"/>
          </rPr>
          <t>Keller, Zach:</t>
        </r>
        <r>
          <rPr>
            <sz val="10"/>
            <color rgb="FF000000"/>
            <rFont val="Tahoma"/>
            <family val="2"/>
          </rPr>
          <t xml:space="preserve">
Source: derived from Nielsen 2024-2025 Local Television Market Universe Estimates (National Media Spots repost, https://nationalmediaspots.com/DMA-Ranks.pdf): 2023-24 rank = 2024-25 rank (10) + the PDF's "Change vs 2023-2024 rank" column. Third-party copy, uploaded file DMA-Ranks.pdf.</t>
        </r>
      </text>
    </comment>
    <comment ref="J47" authorId="0" shapeId="0" xr:uid="{F11FCAE2-7449-974D-AE63-DBDDBD2107E0}">
      <text>
        <r>
          <rPr>
            <b/>
            <sz val="10"/>
            <color rgb="FF000000"/>
            <rFont val="Tahoma"/>
            <family val="2"/>
          </rPr>
          <t>Keller, Zach:</t>
        </r>
        <r>
          <rPr>
            <sz val="10"/>
            <color rgb="FF000000"/>
            <rFont val="Tahoma"/>
            <family val="2"/>
          </rPr>
          <t xml:space="preserve">
Source: Nielsen 2024-2025 Local Television Market Universe Estimates (rank of "San Francisco - Oakland - San Jose, CA" DMA), as reposted by National Media Spots (third-party copy, not Nielsen's own site), uploaded file DMA-Ranks.pdf, https://nationalmediaspots.com/DMA-Ranks.pdf.</t>
        </r>
      </text>
    </comment>
    <comment ref="I48" authorId="0" shapeId="0" xr:uid="{EF9B54A7-227B-9E46-9D14-F56F2A67A780}">
      <text>
        <r>
          <rPr>
            <b/>
            <sz val="10"/>
            <color rgb="FF000000"/>
            <rFont val="Tahoma"/>
            <family val="2"/>
          </rPr>
          <t>Keller, Zach:</t>
        </r>
        <r>
          <rPr>
            <sz val="10"/>
            <color rgb="FF000000"/>
            <rFont val="Tahoma"/>
            <family val="2"/>
          </rPr>
          <t xml:space="preserve">
Source: derived from Nielsen 2024-2025 Local Television Market Universe Estimates (National Media Spots repost, https://nationalmediaspots.com/DMA-Ranks.pdf): 2023-24 rank = 2024-25 rank (6) + the PDF's "Change vs 2023-2024 rank" column. Third-party copy, uploaded file DMA-Ranks.pdf.</t>
        </r>
      </text>
    </comment>
    <comment ref="J48" authorId="0" shapeId="0" xr:uid="{3CA37F89-86C8-2247-ACDB-150D87155639}">
      <text>
        <r>
          <rPr>
            <b/>
            <sz val="10"/>
            <color rgb="FF000000"/>
            <rFont val="Tahoma"/>
            <family val="2"/>
          </rPr>
          <t>Keller, Zach:</t>
        </r>
        <r>
          <rPr>
            <sz val="10"/>
            <color rgb="FF000000"/>
            <rFont val="Tahoma"/>
            <family val="2"/>
          </rPr>
          <t xml:space="preserve">
Source: Nielsen 2024-2025 Local Television Market Universe Estimates (rank of "Houston, TX" DMA), as reposted by National Media Spots (third-party copy, not Nielsen's own site), uploaded file DMA-Ranks.pdf, https://nationalmediaspots.com/DMA-Ranks.pdf.</t>
        </r>
      </text>
    </comment>
    <comment ref="I49" authorId="0" shapeId="0" xr:uid="{AB9968CC-6CFD-4149-99EC-DD2D0C67F13A}">
      <text>
        <r>
          <rPr>
            <b/>
            <sz val="10"/>
            <color rgb="FF000000"/>
            <rFont val="Tahoma"/>
            <family val="2"/>
          </rPr>
          <t>Keller, Zach:</t>
        </r>
        <r>
          <rPr>
            <sz val="10"/>
            <color rgb="FF000000"/>
            <rFont val="Tahoma"/>
            <family val="2"/>
          </rPr>
          <t xml:space="preserve">
Source: derived from Nielsen 2024-2025 Local Television Market Universe Estimates (National Media Spots repost, https://nationalmediaspots.com/DMA-Ranks.pdf): 2023-24 rank = 2024-25 rank (25) + the PDF's "Change vs 2023-2024 rank" column. Third-party copy, uploaded file DMA-Ranks.pdf.</t>
        </r>
      </text>
    </comment>
    <comment ref="J49" authorId="0" shapeId="0" xr:uid="{B4F24444-67C8-5847-943A-F68209497D58}">
      <text>
        <r>
          <rPr>
            <b/>
            <sz val="10"/>
            <color rgb="FF000000"/>
            <rFont val="Tahoma"/>
            <family val="2"/>
          </rPr>
          <t>Keller, Zach:</t>
        </r>
        <r>
          <rPr>
            <sz val="10"/>
            <color rgb="FF000000"/>
            <rFont val="Tahoma"/>
            <family val="2"/>
          </rPr>
          <t xml:space="preserve">
Source: Nielsen 2024-2025 Local Television Market Universe Estimates (rank of "Indianapolis, IN" DMA), as reposted by National Media Spots (third-party copy, not Nielsen's own site), uploaded file DMA-Ranks.pdf, https://nationalmediaspots.com/DMA-Ranks.pdf.</t>
        </r>
      </text>
    </comment>
    <comment ref="I50" authorId="0" shapeId="0" xr:uid="{00BC3B3C-56D0-2F46-8A1A-339DAACFF074}">
      <text>
        <r>
          <rPr>
            <b/>
            <sz val="10"/>
            <color rgb="FF000000"/>
            <rFont val="Tahoma"/>
            <family val="2"/>
          </rPr>
          <t>Keller, Zach:</t>
        </r>
        <r>
          <rPr>
            <sz val="10"/>
            <color rgb="FF000000"/>
            <rFont val="Tahoma"/>
            <family val="2"/>
          </rPr>
          <t xml:space="preserve">
Source: derived from Nielsen 2024-2025 Local Television Market Universe Estimates (National Media Spots repost, https://nationalmediaspots.com/DMA-Ranks.pdf): 2023-24 rank = 2024-25 rank (2) + the PDF's "Change vs 2023-2024 rank" column. Third-party copy, uploaded file DMA-Ranks.pdf.</t>
        </r>
      </text>
    </comment>
    <comment ref="J50" authorId="0" shapeId="0" xr:uid="{5A82DBEF-F14D-5341-9541-FEF649C05430}">
      <text>
        <r>
          <rPr>
            <b/>
            <sz val="10"/>
            <color rgb="FF000000"/>
            <rFont val="Tahoma"/>
            <family val="2"/>
          </rPr>
          <t>Keller, Zach:</t>
        </r>
        <r>
          <rPr>
            <sz val="10"/>
            <color rgb="FF000000"/>
            <rFont val="Tahoma"/>
            <family val="2"/>
          </rPr>
          <t xml:space="preserve">
Source: Nielsen 2024-2025 Local Television Market Universe Estimates (rank of "Los Angeles, CA" DMA), as reposted by National Media Spots (third-party copy, not Nielsen's own site), uploaded file DMA-Ranks.pdf, https://nationalmediaspots.com/DMA-Ranks.pdf.</t>
        </r>
      </text>
    </comment>
    <comment ref="I51" authorId="0" shapeId="0" xr:uid="{2A1E1E88-07E8-2143-8607-5AE149E3640F}">
      <text>
        <r>
          <rPr>
            <b/>
            <sz val="10"/>
            <color rgb="FF000000"/>
            <rFont val="Tahoma"/>
            <family val="2"/>
          </rPr>
          <t>Keller, Zach:</t>
        </r>
        <r>
          <rPr>
            <sz val="10"/>
            <color rgb="FF000000"/>
            <rFont val="Tahoma"/>
            <family val="2"/>
          </rPr>
          <t xml:space="preserve">
Source: derived from Nielsen 2024-2025 Local Television Market Universe Estimates (National Media Spots repost, https://nationalmediaspots.com/DMA-Ranks.pdf): 2023-24 rank = 2024-25 rank (2) + the PDF's "Change vs 2023-2024 rank" column. Third-party copy, uploaded file DMA-Ranks.pdf.</t>
        </r>
      </text>
    </comment>
    <comment ref="J51" authorId="0" shapeId="0" xr:uid="{A95BCA2A-DAC5-A145-89B9-E74FCD503D1A}">
      <text>
        <r>
          <rPr>
            <b/>
            <sz val="10"/>
            <color rgb="FF000000"/>
            <rFont val="Tahoma"/>
            <family val="2"/>
          </rPr>
          <t>Keller, Zach:</t>
        </r>
        <r>
          <rPr>
            <sz val="10"/>
            <color rgb="FF000000"/>
            <rFont val="Tahoma"/>
            <family val="2"/>
          </rPr>
          <t xml:space="preserve">
Source: Nielsen 2024-2025 Local Television Market Universe Estimates (rank of "Los Angeles, CA" DMA), as reposted by National Media Spots (third-party copy, not Nielsen's own site), uploaded file DMA-Ranks.pdf, https://nationalmediaspots.com/DMA-Ranks.pdf.</t>
        </r>
      </text>
    </comment>
    <comment ref="I52" authorId="0" shapeId="0" xr:uid="{12A16282-E9E9-334D-8664-BD99DBE9EA92}">
      <text>
        <r>
          <rPr>
            <b/>
            <sz val="10"/>
            <color rgb="FF000000"/>
            <rFont val="Tahoma"/>
            <family val="2"/>
          </rPr>
          <t>Keller, Zach:</t>
        </r>
        <r>
          <rPr>
            <sz val="10"/>
            <color rgb="FF000000"/>
            <rFont val="Tahoma"/>
            <family val="2"/>
          </rPr>
          <t xml:space="preserve">
Source: derived from Nielsen 2024-2025 Local Television Market Universe Estimates (National Media Spots repost, https://nationalmediaspots.com/DMA-Ranks.pdf): 2023-24 rank = 2024-25 rank (51) + the PDF's "Change vs 2023-2024 rank" column. Third-party copy, uploaded file DMA-Ranks.pdf.</t>
        </r>
      </text>
    </comment>
    <comment ref="J52" authorId="0" shapeId="0" xr:uid="{C4B6F366-30BD-8B46-ACEE-7090899E07F8}">
      <text>
        <r>
          <rPr>
            <b/>
            <sz val="10"/>
            <color rgb="FF000000"/>
            <rFont val="Tahoma"/>
            <family val="2"/>
          </rPr>
          <t>Keller, Zach:</t>
        </r>
        <r>
          <rPr>
            <sz val="10"/>
            <color rgb="FF000000"/>
            <rFont val="Tahoma"/>
            <family val="2"/>
          </rPr>
          <t xml:space="preserve">
Source: Nielsen 2024-2025 Local Television Market Universe Estimates (rank of "Memphis, TN" DMA), as reposted by National Media Spots (third-party copy, not Nielsen's own site), uploaded file DMA-Ranks.pdf, https://nationalmediaspots.com/DMA-Ranks.pdf.</t>
        </r>
      </text>
    </comment>
    <comment ref="I53" authorId="0" shapeId="0" xr:uid="{F533CB22-9056-6749-A19E-6CB5FA2DFF93}">
      <text>
        <r>
          <rPr>
            <b/>
            <sz val="10"/>
            <color rgb="FF000000"/>
            <rFont val="Tahoma"/>
            <family val="2"/>
          </rPr>
          <t>Keller, Zach:</t>
        </r>
        <r>
          <rPr>
            <sz val="10"/>
            <color rgb="FF000000"/>
            <rFont val="Tahoma"/>
            <family val="2"/>
          </rPr>
          <t xml:space="preserve">
Source: derived from Nielsen 2024-2025 Local Television Market Universe Estimates (National Media Spots repost, https://nationalmediaspots.com/DMA-Ranks.pdf): 2023-24 rank = 2024-25 rank (18) + the PDF's "Change vs 2023-2024 rank" column. Third-party copy, uploaded file DMA-Ranks.pdf.</t>
        </r>
      </text>
    </comment>
    <comment ref="J53" authorId="0" shapeId="0" xr:uid="{3864FA5C-B7DC-2347-A9E3-7BE24113D0D1}">
      <text>
        <r>
          <rPr>
            <b/>
            <sz val="10"/>
            <color rgb="FF000000"/>
            <rFont val="Tahoma"/>
            <family val="2"/>
          </rPr>
          <t>Keller, Zach:</t>
        </r>
        <r>
          <rPr>
            <sz val="10"/>
            <color rgb="FF000000"/>
            <rFont val="Tahoma"/>
            <family val="2"/>
          </rPr>
          <t xml:space="preserve">
Source: Nielsen 2024-2025 Local Television Market Universe Estimates (rank of "Miami - Fort Lauderdale, FL" DMA), as reposted by National Media Spots (third-party copy, not Nielsen's own site), uploaded file DMA-Ranks.pdf, https://nationalmediaspots.com/DMA-Ranks.pdf.</t>
        </r>
      </text>
    </comment>
    <comment ref="I54" authorId="0" shapeId="0" xr:uid="{F7495AD3-91B4-784B-9299-ED983BD38D17}">
      <text>
        <r>
          <rPr>
            <b/>
            <sz val="10"/>
            <color rgb="FF000000"/>
            <rFont val="Tahoma"/>
            <family val="2"/>
          </rPr>
          <t>Keller, Zach:</t>
        </r>
        <r>
          <rPr>
            <sz val="10"/>
            <color rgb="FF000000"/>
            <rFont val="Tahoma"/>
            <family val="2"/>
          </rPr>
          <t xml:space="preserve">
Source: derived from Nielsen 2024-2025 Local Television Market Universe Estimates (National Media Spots repost, https://nationalmediaspots.com/DMA-Ranks.pdf): 2023-24 rank = 2024-25 rank (38) + the PDF's "Change vs 2023-2024 rank" column. Third-party copy, uploaded file DMA-Ranks.pdf.</t>
        </r>
      </text>
    </comment>
    <comment ref="J54" authorId="0" shapeId="0" xr:uid="{76AA9A66-53C8-AE4A-B70D-05BFFDC9C613}">
      <text>
        <r>
          <rPr>
            <b/>
            <sz val="10"/>
            <color rgb="FF000000"/>
            <rFont val="Tahoma"/>
            <family val="2"/>
          </rPr>
          <t>Keller, Zach:</t>
        </r>
        <r>
          <rPr>
            <sz val="10"/>
            <color rgb="FF000000"/>
            <rFont val="Tahoma"/>
            <family val="2"/>
          </rPr>
          <t xml:space="preserve">
Source: Nielsen 2024-2025 Local Television Market Universe Estimates (rank of "Milwaukee, WI" DMA), as reposted by National Media Spots (third-party copy, not Nielsen's own site), uploaded file DMA-Ranks.pdf, https://nationalmediaspots.com/DMA-Ranks.pdf.</t>
        </r>
      </text>
    </comment>
    <comment ref="I55" authorId="0" shapeId="0" xr:uid="{303ABE77-3FDD-9848-82D4-C6F2E28DE461}">
      <text>
        <r>
          <rPr>
            <b/>
            <sz val="10"/>
            <color rgb="FF000000"/>
            <rFont val="Tahoma"/>
            <family val="2"/>
          </rPr>
          <t>Keller, Zach:</t>
        </r>
        <r>
          <rPr>
            <sz val="10"/>
            <color rgb="FF000000"/>
            <rFont val="Tahoma"/>
            <family val="2"/>
          </rPr>
          <t xml:space="preserve">
Source: derived from Nielsen 2024-2025 Local Television Market Universe Estimates (National Media Spots repost, https://nationalmediaspots.com/DMA-Ranks.pdf): 2023-24 rank = 2024-25 rank (16) + the PDF's "Change vs 2023-2024 rank" column. Third-party copy, uploaded file DMA-Ranks.pdf.</t>
        </r>
      </text>
    </comment>
    <comment ref="J55" authorId="0" shapeId="0" xr:uid="{BF205AB9-A637-9D41-9EF7-1255523A4A48}">
      <text>
        <r>
          <rPr>
            <b/>
            <sz val="10"/>
            <color rgb="FF000000"/>
            <rFont val="Tahoma"/>
            <family val="2"/>
          </rPr>
          <t>Keller, Zach:</t>
        </r>
        <r>
          <rPr>
            <sz val="10"/>
            <color rgb="FF000000"/>
            <rFont val="Tahoma"/>
            <family val="2"/>
          </rPr>
          <t xml:space="preserve">
Source: Nielsen 2024-2025 Local Television Market Universe Estimates (rank of "Minneapolis - Saint Paul, MN" DMA), as reposted by National Media Spots (third-party copy, not Nielsen's own site), uploaded file DMA-Ranks.pdf, https://nationalmediaspots.com/DMA-Ranks.pdf.</t>
        </r>
      </text>
    </comment>
    <comment ref="I56" authorId="0" shapeId="0" xr:uid="{68AD4A7D-78EB-FF49-8AE7-C490FA6604BD}">
      <text>
        <r>
          <rPr>
            <b/>
            <sz val="10"/>
            <color rgb="FF000000"/>
            <rFont val="Tahoma"/>
            <family val="2"/>
          </rPr>
          <t>Keller, Zach:</t>
        </r>
        <r>
          <rPr>
            <sz val="10"/>
            <color rgb="FF000000"/>
            <rFont val="Tahoma"/>
            <family val="2"/>
          </rPr>
          <t xml:space="preserve">
Source: derived from Nielsen 2024-2025 Local Television Market Universe Estimates (National Media Spots repost, https://nationalmediaspots.com/DMA-Ranks.pdf): 2023-24 rank = 2024-25 rank (50) + the PDF's "Change vs 2023-2024 rank" column. Third-party copy, uploaded file DMA-Ranks.pdf.</t>
        </r>
      </text>
    </comment>
    <comment ref="J56" authorId="0" shapeId="0" xr:uid="{A3C01807-D8C4-9342-9958-7692056A519D}">
      <text>
        <r>
          <rPr>
            <b/>
            <sz val="10"/>
            <color rgb="FF000000"/>
            <rFont val="Tahoma"/>
            <family val="2"/>
          </rPr>
          <t>Keller, Zach:</t>
        </r>
        <r>
          <rPr>
            <sz val="10"/>
            <color rgb="FF000000"/>
            <rFont val="Tahoma"/>
            <family val="2"/>
          </rPr>
          <t xml:space="preserve">
Source: Nielsen 2024-2025 Local Television Market Universe Estimates (rank of "New Orleans, LA" DMA), as reposted by National Media Spots (third-party copy, not Nielsen's own site), uploaded file DMA-Ranks.pdf, https://nationalmediaspots.com/DMA-Ranks.pdf.</t>
        </r>
      </text>
    </comment>
    <comment ref="I57" authorId="0" shapeId="0" xr:uid="{82385A88-B3F1-7941-88FC-016D705EDE30}">
      <text>
        <r>
          <rPr>
            <b/>
            <sz val="10"/>
            <color rgb="FF000000"/>
            <rFont val="Tahoma"/>
            <family val="2"/>
          </rPr>
          <t>Keller, Zach:</t>
        </r>
        <r>
          <rPr>
            <sz val="10"/>
            <color rgb="FF000000"/>
            <rFont val="Tahoma"/>
            <family val="2"/>
          </rPr>
          <t xml:space="preserve">
Source: derived from Nielsen 2024-2025 Local Television Market Universe Estimates (National Media Spots repost, https://nationalmediaspots.com/DMA-Ranks.pdf): 2023-24 rank = 2024-25 rank (1) + the PDF's "Change vs 2023-2024 rank" column. Third-party copy, uploaded file DMA-Ranks.pdf.</t>
        </r>
      </text>
    </comment>
    <comment ref="J57" authorId="0" shapeId="0" xr:uid="{0ACC8F05-A68C-534A-B1D1-1ED3001D544D}">
      <text>
        <r>
          <rPr>
            <b/>
            <sz val="10"/>
            <color rgb="FF000000"/>
            <rFont val="Tahoma"/>
            <family val="2"/>
          </rPr>
          <t>Keller, Zach:</t>
        </r>
        <r>
          <rPr>
            <sz val="10"/>
            <color rgb="FF000000"/>
            <rFont val="Tahoma"/>
            <family val="2"/>
          </rPr>
          <t xml:space="preserve">
Source: Nielsen 2024-2025 Local Television Market Universe Estimates (rank of "New York, NY" DMA), as reposted by National Media Spots (third-party copy, not Nielsen's own site), uploaded file DMA-Ranks.pdf, https://nationalmediaspots.com/DMA-Ranks.pdf.</t>
        </r>
      </text>
    </comment>
    <comment ref="I58" authorId="0" shapeId="0" xr:uid="{84FAE353-FFE6-5C4C-879C-B201D6D5F2D0}">
      <text>
        <r>
          <rPr>
            <b/>
            <sz val="10"/>
            <color rgb="FF000000"/>
            <rFont val="Tahoma"/>
            <family val="2"/>
          </rPr>
          <t>Keller, Zach:</t>
        </r>
        <r>
          <rPr>
            <sz val="10"/>
            <color rgb="FF000000"/>
            <rFont val="Tahoma"/>
            <family val="2"/>
          </rPr>
          <t xml:space="preserve">
Source: derived from Nielsen 2024-2025 Local Television Market Universe Estimates (National Media Spots repost, https://nationalmediaspots.com/DMA-Ranks.pdf): 2023-24 rank = 2024-25 rank (47) + the PDF's "Change vs 2023-2024 rank" column. Third-party copy, uploaded file DMA-Ranks.pdf.</t>
        </r>
      </text>
    </comment>
    <comment ref="J58" authorId="0" shapeId="0" xr:uid="{032F8E0F-80B9-764C-B152-E75DB2884ED3}">
      <text>
        <r>
          <rPr>
            <b/>
            <sz val="10"/>
            <color rgb="FF000000"/>
            <rFont val="Tahoma"/>
            <family val="2"/>
          </rPr>
          <t>Keller, Zach:</t>
        </r>
        <r>
          <rPr>
            <sz val="10"/>
            <color rgb="FF000000"/>
            <rFont val="Tahoma"/>
            <family val="2"/>
          </rPr>
          <t xml:space="preserve">
Source: Nielsen 2024-2025 Local Television Market Universe Estimates (rank of "Oklahoma City, OK" DMA), as reposted by National Media Spots (third-party copy, not Nielsen's own site), uploaded file DMA-Ranks.pdf, https://nationalmediaspots.com/DMA-Ranks.pdf.</t>
        </r>
      </text>
    </comment>
    <comment ref="I59" authorId="0" shapeId="0" xr:uid="{F56BDF04-B709-A548-9B6D-6663F909D7BA}">
      <text>
        <r>
          <rPr>
            <b/>
            <sz val="10"/>
            <color rgb="FF000000"/>
            <rFont val="Tahoma"/>
            <family val="2"/>
          </rPr>
          <t>Keller, Zach:</t>
        </r>
        <r>
          <rPr>
            <sz val="10"/>
            <color rgb="FF000000"/>
            <rFont val="Tahoma"/>
            <family val="2"/>
          </rPr>
          <t xml:space="preserve">
Source: derived from Nielsen 2024-2025 Local Television Market Universe Estimates (National Media Spots repost, https://nationalmediaspots.com/DMA-Ranks.pdf): 2023-24 rank = 2024-25 rank (15) + the PDF's "Change vs 2023-2024 rank" column. Third-party copy, uploaded file DMA-Ranks.pdf.</t>
        </r>
      </text>
    </comment>
    <comment ref="J59" authorId="0" shapeId="0" xr:uid="{44372007-5CF7-474F-B964-1A06E602777C}">
      <text>
        <r>
          <rPr>
            <b/>
            <sz val="10"/>
            <color rgb="FF000000"/>
            <rFont val="Tahoma"/>
            <family val="2"/>
          </rPr>
          <t>Keller, Zach:</t>
        </r>
        <r>
          <rPr>
            <sz val="10"/>
            <color rgb="FF000000"/>
            <rFont val="Tahoma"/>
            <family val="2"/>
          </rPr>
          <t xml:space="preserve">
Source: Nielsen 2024-2025 Local Television Market Universe Estimates (rank of "Orlando - Daytona Beach - Melbourne, FL" DMA), as reposted by National Media Spots (third-party copy, not Nielsen's own site), uploaded file DMA-Ranks.pdf, https://nationalmediaspots.com/DMA-Ranks.pdf.</t>
        </r>
      </text>
    </comment>
    <comment ref="I60" authorId="0" shapeId="0" xr:uid="{5BA1FD90-BD95-7844-8966-0F777DD49BB4}">
      <text>
        <r>
          <rPr>
            <b/>
            <sz val="10"/>
            <color rgb="FF000000"/>
            <rFont val="Tahoma"/>
            <family val="2"/>
          </rPr>
          <t>Keller, Zach:</t>
        </r>
        <r>
          <rPr>
            <sz val="10"/>
            <color rgb="FF000000"/>
            <rFont val="Tahoma"/>
            <family val="2"/>
          </rPr>
          <t xml:space="preserve">
Source: derived from Nielsen 2024-2025 Local Television Market Universe Estimates (National Media Spots repost, https://nationalmediaspots.com/DMA-Ranks.pdf): 2023-24 rank = 2024-25 rank (5) + the PDF's "Change vs 2023-2024 rank" column. Third-party copy, uploaded file DMA-Ranks.pdf.</t>
        </r>
      </text>
    </comment>
    <comment ref="J60" authorId="0" shapeId="0" xr:uid="{F18536FD-FB85-AD45-A6CF-B9F3BA815D7B}">
      <text>
        <r>
          <rPr>
            <b/>
            <sz val="10"/>
            <color rgb="FF000000"/>
            <rFont val="Tahoma"/>
            <family val="2"/>
          </rPr>
          <t>Keller, Zach:</t>
        </r>
        <r>
          <rPr>
            <sz val="10"/>
            <color rgb="FF000000"/>
            <rFont val="Tahoma"/>
            <family val="2"/>
          </rPr>
          <t xml:space="preserve">
Source: Nielsen 2024-2025 Local Television Market Universe Estimates (rank of "Philadelphia, PA" DMA), as reposted by National Media Spots (third-party copy, not Nielsen's own site), uploaded file DMA-Ranks.pdf, https://nationalmediaspots.com/DMA-Ranks.pdf.</t>
        </r>
      </text>
    </comment>
    <comment ref="I61" authorId="0" shapeId="0" xr:uid="{78FEB53F-982B-AC48-B399-366F849197EE}">
      <text>
        <r>
          <rPr>
            <b/>
            <sz val="10"/>
            <color rgb="FF000000"/>
            <rFont val="Tahoma"/>
            <family val="2"/>
          </rPr>
          <t>Keller, Zach:</t>
        </r>
        <r>
          <rPr>
            <sz val="10"/>
            <color rgb="FF000000"/>
            <rFont val="Tahoma"/>
            <family val="2"/>
          </rPr>
          <t xml:space="preserve">
Source: derived from Nielsen 2024-2025 Local Television Market Universe Estimates (National Media Spots repost, https://nationalmediaspots.com/DMA-Ranks.pdf): 2023-24 rank = 2024-25 rank (12) + the PDF's "Change vs 2023-2024 rank" column. Third-party copy, uploaded file DMA-Ranks.pdf.</t>
        </r>
      </text>
    </comment>
    <comment ref="J61" authorId="0" shapeId="0" xr:uid="{2EDE9A60-D7F8-834B-94CF-1458726323E2}">
      <text>
        <r>
          <rPr>
            <b/>
            <sz val="10"/>
            <color rgb="FF000000"/>
            <rFont val="Tahoma"/>
            <family val="2"/>
          </rPr>
          <t>Keller, Zach:</t>
        </r>
        <r>
          <rPr>
            <sz val="10"/>
            <color rgb="FF000000"/>
            <rFont val="Tahoma"/>
            <family val="2"/>
          </rPr>
          <t xml:space="preserve">
Source: Nielsen 2024-2025 Local Television Market Universe Estimates (rank of "Phoenix - Prescott, AZ" DMA), as reposted by National Media Spots (third-party copy, not Nielsen's own site), uploaded file DMA-Ranks.pdf, https://nationalmediaspots.com/DMA-Ranks.pdf.</t>
        </r>
      </text>
    </comment>
    <comment ref="I62" authorId="0" shapeId="0" xr:uid="{19C3C93B-F989-3743-AA9C-42EEF90E9617}">
      <text>
        <r>
          <rPr>
            <b/>
            <sz val="10"/>
            <color rgb="FF000000"/>
            <rFont val="Tahoma"/>
            <family val="2"/>
          </rPr>
          <t>Keller, Zach:</t>
        </r>
        <r>
          <rPr>
            <sz val="10"/>
            <color rgb="FF000000"/>
            <rFont val="Tahoma"/>
            <family val="2"/>
          </rPr>
          <t xml:space="preserve">
Source: derived from Nielsen 2024-2025 Local Television Market Universe Estimates (National Media Spots repost, https://nationalmediaspots.com/DMA-Ranks.pdf): 2023-24 rank = 2024-25 rank (23) + the PDF's "Change vs 2023-2024 rank" column. Third-party copy, uploaded file DMA-Ranks.pdf.</t>
        </r>
      </text>
    </comment>
    <comment ref="J62" authorId="0" shapeId="0" xr:uid="{DF21D458-9BD3-764B-B81E-D3BD4B66BCAC}">
      <text>
        <r>
          <rPr>
            <b/>
            <sz val="10"/>
            <color rgb="FF000000"/>
            <rFont val="Tahoma"/>
            <family val="2"/>
          </rPr>
          <t>Keller, Zach:</t>
        </r>
        <r>
          <rPr>
            <sz val="10"/>
            <color rgb="FF000000"/>
            <rFont val="Tahoma"/>
            <family val="2"/>
          </rPr>
          <t xml:space="preserve">
Source: Nielsen 2024-2025 Local Television Market Universe Estimates (rank of "Portland, OR" DMA), as reposted by National Media Spots (third-party copy, not Nielsen's own site), uploaded file DMA-Ranks.pdf, https://nationalmediaspots.com/DMA-Ranks.pdf.</t>
        </r>
      </text>
    </comment>
    <comment ref="I63" authorId="0" shapeId="0" xr:uid="{975FD244-936E-F24D-AF36-217637206B55}">
      <text>
        <r>
          <rPr>
            <b/>
            <sz val="10"/>
            <color rgb="FF000000"/>
            <rFont val="Tahoma"/>
            <family val="2"/>
          </rPr>
          <t>Keller, Zach:</t>
        </r>
        <r>
          <rPr>
            <sz val="10"/>
            <color rgb="FF000000"/>
            <rFont val="Tahoma"/>
            <family val="2"/>
          </rPr>
          <t xml:space="preserve">
Source: derived from Nielsen 2024-2025 Local Television Market Universe Estimates (National Media Spots repost, https://nationalmediaspots.com/DMA-Ranks.pdf): 2023-24 rank = 2024-25 rank (20) + the PDF's "Change vs 2023-2024 rank" column. Third-party copy, uploaded file DMA-Ranks.pdf.</t>
        </r>
      </text>
    </comment>
    <comment ref="J63" authorId="0" shapeId="0" xr:uid="{9CF7C75B-8F84-BE44-852D-E61D8790014A}">
      <text>
        <r>
          <rPr>
            <b/>
            <sz val="10"/>
            <color rgb="FF000000"/>
            <rFont val="Tahoma"/>
            <family val="2"/>
          </rPr>
          <t>Keller, Zach:</t>
        </r>
        <r>
          <rPr>
            <sz val="10"/>
            <color rgb="FF000000"/>
            <rFont val="Tahoma"/>
            <family val="2"/>
          </rPr>
          <t xml:space="preserve">
Source: Nielsen 2024-2025 Local Television Market Universe Estimates (rank of "Sacramento - Stockton - Modesto, CA" DMA), as reposted by National Media Spots (third-party copy, not Nielsen's own site), uploaded file DMA-Ranks.pdf, https://nationalmediaspots.com/DMA-Ranks.pdf.</t>
        </r>
      </text>
    </comment>
    <comment ref="I64" authorId="0" shapeId="0" xr:uid="{B373512E-643D-8044-8D86-DA69FB20C6B1}">
      <text>
        <r>
          <rPr>
            <b/>
            <sz val="10"/>
            <color rgb="FF000000"/>
            <rFont val="Tahoma"/>
            <family val="2"/>
          </rPr>
          <t>Keller, Zach:</t>
        </r>
        <r>
          <rPr>
            <sz val="10"/>
            <color rgb="FF000000"/>
            <rFont val="Tahoma"/>
            <family val="2"/>
          </rPr>
          <t xml:space="preserve">
Source: derived from Nielsen 2024-2025 Local Television Market Universe Estimates (National Media Spots repost, https://nationalmediaspots.com/DMA-Ranks.pdf): 2023-24 rank = 2024-25 rank (31) + the PDF's "Change vs 2023-2024 rank" column. Third-party copy, uploaded file DMA-Ranks.pdf.</t>
        </r>
      </text>
    </comment>
    <comment ref="J64" authorId="0" shapeId="0" xr:uid="{A5F84342-16E9-EA42-A003-FF8C148CE34C}">
      <text>
        <r>
          <rPr>
            <b/>
            <sz val="10"/>
            <color rgb="FF000000"/>
            <rFont val="Tahoma"/>
            <family val="2"/>
          </rPr>
          <t>Keller, Zach:</t>
        </r>
        <r>
          <rPr>
            <sz val="10"/>
            <color rgb="FF000000"/>
            <rFont val="Tahoma"/>
            <family val="2"/>
          </rPr>
          <t xml:space="preserve">
Source: Nielsen 2024-2025 Local Television Market Universe Estimates (rank of "San Antonio, TX" DMA), as reposted by National Media Spots (third-party copy, not Nielsen's own site), uploaded file DMA-Ranks.pdf, https://nationalmediaspots.com/DMA-Ranks.pdf.</t>
        </r>
      </text>
    </comment>
    <comment ref="I66" authorId="0" shapeId="0" xr:uid="{44DB64F6-AEFE-334A-915B-81E57A9E4617}">
      <text>
        <r>
          <rPr>
            <b/>
            <sz val="10"/>
            <color rgb="FF000000"/>
            <rFont val="Tahoma"/>
            <family val="2"/>
          </rPr>
          <t>Keller, Zach:</t>
        </r>
        <r>
          <rPr>
            <sz val="10"/>
            <color rgb="FF000000"/>
            <rFont val="Tahoma"/>
            <family val="2"/>
          </rPr>
          <t xml:space="preserve">
Source: derived from Nielsen 2024-2025 Local Television Market Universe Estimates (National Media Spots repost, https://nationalmediaspots.com/DMA-Ranks.pdf): 2023-24 rank = 2024-25 rank (28) + the PDF's "Change vs 2023-2024 rank" column. Third-party copy, uploaded file DMA-Ranks.pdf.</t>
        </r>
      </text>
    </comment>
    <comment ref="J66" authorId="0" shapeId="0" xr:uid="{CF7756D5-FC6C-6840-A3DD-97D944B5357E}">
      <text>
        <r>
          <rPr>
            <b/>
            <sz val="10"/>
            <color rgb="FF000000"/>
            <rFont val="Tahoma"/>
            <family val="2"/>
          </rPr>
          <t>Keller, Zach:</t>
        </r>
        <r>
          <rPr>
            <sz val="10"/>
            <color rgb="FF000000"/>
            <rFont val="Tahoma"/>
            <family val="2"/>
          </rPr>
          <t xml:space="preserve">
Source: Nielsen 2024-2025 Local Television Market Universe Estimates (rank of "Salt Lake City, UT" DMA), as reposted by National Media Spots (third-party copy, not Nielsen's own site), uploaded file DMA-Ranks.pdf, https://nationalmediaspots.com/DMA-Ranks.pdf.</t>
        </r>
      </text>
    </comment>
    <comment ref="I67" authorId="0" shapeId="0" xr:uid="{BFEA7CA6-7EE7-CC42-8791-C453B68C5E98}">
      <text>
        <r>
          <rPr>
            <b/>
            <sz val="10"/>
            <color rgb="FF000000"/>
            <rFont val="Tahoma"/>
            <family val="2"/>
          </rPr>
          <t>Keller, Zach:</t>
        </r>
        <r>
          <rPr>
            <sz val="10"/>
            <color rgb="FF000000"/>
            <rFont val="Tahoma"/>
            <family val="2"/>
          </rPr>
          <t xml:space="preserve">
Source: derived from Nielsen 2024-2025 Local Television Market Universe Estimates (National Media Spots repost, https://nationalmediaspots.com/DMA-Ranks.pdf): 2023-24 rank = 2024-25 rank (8) + the PDF's "Change vs 2023-2024 rank" column. Third-party copy, uploaded file DMA-Ranks.pdf.</t>
        </r>
      </text>
    </comment>
    <comment ref="J67" authorId="0" shapeId="0" xr:uid="{380E05B3-7079-4D44-994B-A45BF6D5116B}">
      <text>
        <r>
          <rPr>
            <b/>
            <sz val="10"/>
            <color rgb="FF000000"/>
            <rFont val="Tahoma"/>
            <family val="2"/>
          </rPr>
          <t>Keller, Zach:</t>
        </r>
        <r>
          <rPr>
            <sz val="10"/>
            <color rgb="FF000000"/>
            <rFont val="Tahoma"/>
            <family val="2"/>
          </rPr>
          <t xml:space="preserve">
Source: Nielsen 2024-2025 Local Television Market Universe Estimates (rank of "Washington, DC - Hagerstown, MD" DMA), as reposted by National Media Spots (third-party copy, not Nielsen's own site), uploaded file DMA-Ranks.pdf, https://nationalmediaspots.com/DMA-Ranks.pdf.</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Keller, Zach</author>
  </authors>
  <commentList>
    <comment ref="B5" authorId="0" shapeId="0" xr:uid="{50834DCB-8664-1F48-B828-F33B5DC7538C}">
      <text>
        <r>
          <rPr>
            <b/>
            <sz val="10"/>
            <color rgb="FF000000"/>
            <rFont val="Tahoma"/>
            <family val="2"/>
          </rPr>
          <t>Keller, Zach:</t>
        </r>
        <r>
          <rPr>
            <sz val="10"/>
            <color rgb="FF000000"/>
            <rFont val="Tahoma"/>
            <family val="2"/>
          </rPr>
          <t xml:space="preserve">
Source: Forbes team page (Venue section, Oct 2025 list), https://www.forbes.com/teams/atlanta-hawks/. Name shown is the building's current name (naming rights changed over time).</t>
        </r>
      </text>
    </comment>
    <comment ref="C5" authorId="0" shapeId="0" xr:uid="{02974BC6-D01E-E34D-AF89-CEB89D542835}">
      <text>
        <r>
          <rPr>
            <b/>
            <sz val="10"/>
            <color rgb="FF000000"/>
            <rFont val="Tahoma"/>
            <family val="2"/>
          </rPr>
          <t>Keller, Zach:</t>
        </r>
        <r>
          <rPr>
            <sz val="10"/>
            <color rgb="FF000000"/>
            <rFont val="Tahoma"/>
            <family val="2"/>
          </rPr>
          <t xml:space="preserve">
Source: Forbes team page (Venue section, Oct 2025 list), https://www.forbes.com/teams/atlanta-hawks/. Name shown is the building's current name (naming rights changed over time).</t>
        </r>
      </text>
    </comment>
    <comment ref="D5" authorId="0" shapeId="0" xr:uid="{91F25820-A592-D940-8877-2540138F5CD3}">
      <text>
        <r>
          <rPr>
            <b/>
            <sz val="10"/>
            <color rgb="FF000000"/>
            <rFont val="Tahoma"/>
            <family val="2"/>
          </rPr>
          <t>Keller, Zach:</t>
        </r>
        <r>
          <rPr>
            <sz val="10"/>
            <color rgb="FF000000"/>
            <rFont val="Tahoma"/>
            <family val="2"/>
          </rPr>
          <t xml:space="preserve">
Source: Forbes team page (Venue section, Oct 2025 list), https://www.forbes.com/teams/atlanta-hawks/. Name shown is the building's current name (naming rights changed over time).</t>
        </r>
      </text>
    </comment>
    <comment ref="E5" authorId="0" shapeId="0" xr:uid="{37781F69-382E-674E-956E-B8CAA16FB5F6}">
      <text>
        <r>
          <rPr>
            <b/>
            <sz val="10"/>
            <color rgb="FF000000"/>
            <rFont val="Tahoma"/>
            <family val="2"/>
          </rPr>
          <t>Keller, Zach:</t>
        </r>
        <r>
          <rPr>
            <sz val="10"/>
            <color rgb="FF000000"/>
            <rFont val="Tahoma"/>
            <family val="2"/>
          </rPr>
          <t xml:space="preserve">
Source: Forbes team page (Venue section, Oct 2025 list), https://www.forbes.com/teams/atlanta-hawks/. Name shown is the building's current name (naming rights changed over time).</t>
        </r>
      </text>
    </comment>
    <comment ref="F5" authorId="0" shapeId="0" xr:uid="{AF2D8090-75C4-9C47-817B-5A0650A325E8}">
      <text>
        <r>
          <rPr>
            <b/>
            <sz val="10"/>
            <color rgb="FF000000"/>
            <rFont val="Tahoma"/>
            <family val="2"/>
          </rPr>
          <t>Keller, Zach:</t>
        </r>
        <r>
          <rPr>
            <sz val="10"/>
            <color rgb="FF000000"/>
            <rFont val="Tahoma"/>
            <family val="2"/>
          </rPr>
          <t xml:space="preserve">
Source: Forbes team page (Venue section, Oct 2025 list), https://www.forbes.com/teams/atlanta-hawks/. Name shown is the building's current name (naming rights changed over time).</t>
        </r>
      </text>
    </comment>
    <comment ref="G5" authorId="0" shapeId="0" xr:uid="{53F8871C-9966-1C43-B7E9-3DAF7F570EFD}">
      <text>
        <r>
          <rPr>
            <b/>
            <sz val="10"/>
            <color rgb="FF000000"/>
            <rFont val="Tahoma"/>
            <family val="2"/>
          </rPr>
          <t>Keller, Zach:</t>
        </r>
        <r>
          <rPr>
            <sz val="10"/>
            <color rgb="FF000000"/>
            <rFont val="Tahoma"/>
            <family val="2"/>
          </rPr>
          <t xml:space="preserve">
Source: Forbes team page (Venue section, Oct 2025 list), https://www.forbes.com/teams/atlanta-hawks/. Name shown is the building's current name (naming rights changed over time).</t>
        </r>
      </text>
    </comment>
    <comment ref="H5" authorId="0" shapeId="0" xr:uid="{0402E704-4681-4D41-81F2-C1A5802E5795}">
      <text>
        <r>
          <rPr>
            <b/>
            <sz val="10"/>
            <color rgb="FF000000"/>
            <rFont val="Tahoma"/>
            <family val="2"/>
          </rPr>
          <t>Keller, Zach:</t>
        </r>
        <r>
          <rPr>
            <sz val="10"/>
            <color rgb="FF000000"/>
            <rFont val="Tahoma"/>
            <family val="2"/>
          </rPr>
          <t xml:space="preserve">
Source: Forbes team page (Venue section, Oct 2025 list), https://www.forbes.com/teams/atlanta-hawks/. Name shown is the building's current name (naming rights changed over time).</t>
        </r>
      </text>
    </comment>
    <comment ref="I5" authorId="0" shapeId="0" xr:uid="{A0E9DB35-AF73-104D-9B27-8C7CF65A863D}">
      <text>
        <r>
          <rPr>
            <b/>
            <sz val="10"/>
            <color rgb="FF000000"/>
            <rFont val="Tahoma"/>
            <family val="2"/>
          </rPr>
          <t>Keller, Zach:</t>
        </r>
        <r>
          <rPr>
            <sz val="10"/>
            <color rgb="FF000000"/>
            <rFont val="Tahoma"/>
            <family val="2"/>
          </rPr>
          <t xml:space="preserve">
Source: Forbes team page (Venue section, Oct 2025 list), https://www.forbes.com/teams/atlanta-hawks/. Name shown is the building's current name (naming rights changed over time).</t>
        </r>
      </text>
    </comment>
    <comment ref="J5" authorId="0" shapeId="0" xr:uid="{54E03A9E-BA6B-7341-9A5D-19C3F9E1D412}">
      <text>
        <r>
          <rPr>
            <b/>
            <sz val="10"/>
            <color rgb="FF000000"/>
            <rFont val="Tahoma"/>
            <family val="2"/>
          </rPr>
          <t>Keller, Zach:</t>
        </r>
        <r>
          <rPr>
            <sz val="10"/>
            <color rgb="FF000000"/>
            <rFont val="Tahoma"/>
            <family val="2"/>
          </rPr>
          <t xml:space="preserve">
Source: Forbes team page (Venue section, Oct 2025 list), https://www.forbes.com/teams/atlanta-hawks/. Name shown is the building's current name (naming rights changed over time).</t>
        </r>
      </text>
    </comment>
    <comment ref="K5" authorId="0" shapeId="0" xr:uid="{773C4A2C-782E-3045-9F62-D5D94514AEB5}">
      <text>
        <r>
          <rPr>
            <b/>
            <sz val="10"/>
            <color rgb="FF000000"/>
            <rFont val="Tahoma"/>
            <family val="2"/>
          </rPr>
          <t>Keller, Zach:</t>
        </r>
        <r>
          <rPr>
            <sz val="10"/>
            <color rgb="FF000000"/>
            <rFont val="Tahoma"/>
            <family val="2"/>
          </rPr>
          <t xml:space="preserve">
Source: Forbes team page (Venue section, Oct 2025 list), https://www.forbes.com/teams/atlanta-hawks/. Name shown is the building's current name (naming rights changed over time).</t>
        </r>
      </text>
    </comment>
    <comment ref="B6" authorId="0" shapeId="0" xr:uid="{4135C235-2FA5-7C44-A83B-57B9527E0534}">
      <text>
        <r>
          <rPr>
            <b/>
            <sz val="10"/>
            <color rgb="FF000000"/>
            <rFont val="Tahoma"/>
            <family val="2"/>
          </rPr>
          <t>Keller, Zach:</t>
        </r>
        <r>
          <rPr>
            <sz val="10"/>
            <color rgb="FF000000"/>
            <rFont val="Tahoma"/>
            <family val="2"/>
          </rPr>
          <t xml:space="preserve">
Source: Forbes team page (Venue section, Oct 2025 list), https://www.forbes.com/teams/boston-celtics/. Name shown is the building's current name (naming rights changed over time).</t>
        </r>
      </text>
    </comment>
    <comment ref="C6" authorId="0" shapeId="0" xr:uid="{0B9ABC32-61D6-1B4D-9F7E-13ECCA4E8C68}">
      <text>
        <r>
          <rPr>
            <b/>
            <sz val="10"/>
            <color rgb="FF000000"/>
            <rFont val="Tahoma"/>
            <family val="2"/>
          </rPr>
          <t>Keller, Zach:</t>
        </r>
        <r>
          <rPr>
            <sz val="10"/>
            <color rgb="FF000000"/>
            <rFont val="Tahoma"/>
            <family val="2"/>
          </rPr>
          <t xml:space="preserve">
Source: Forbes team page (Venue section, Oct 2025 list), https://www.forbes.com/teams/boston-celtics/. Name shown is the building's current name (naming rights changed over time).</t>
        </r>
      </text>
    </comment>
    <comment ref="D6" authorId="0" shapeId="0" xr:uid="{C130915E-5546-9145-9A68-E0A38537D550}">
      <text>
        <r>
          <rPr>
            <b/>
            <sz val="10"/>
            <color rgb="FF000000"/>
            <rFont val="Tahoma"/>
            <family val="2"/>
          </rPr>
          <t>Keller, Zach:</t>
        </r>
        <r>
          <rPr>
            <sz val="10"/>
            <color rgb="FF000000"/>
            <rFont val="Tahoma"/>
            <family val="2"/>
          </rPr>
          <t xml:space="preserve">
Source: Forbes team page (Venue section, Oct 2025 list), https://www.forbes.com/teams/boston-celtics/. Name shown is the building's current name (naming rights changed over time).</t>
        </r>
      </text>
    </comment>
    <comment ref="E6" authorId="0" shapeId="0" xr:uid="{EEA2A98A-D391-754F-A87C-058223CE7350}">
      <text>
        <r>
          <rPr>
            <b/>
            <sz val="10"/>
            <color rgb="FF000000"/>
            <rFont val="Tahoma"/>
            <family val="2"/>
          </rPr>
          <t>Keller, Zach:</t>
        </r>
        <r>
          <rPr>
            <sz val="10"/>
            <color rgb="FF000000"/>
            <rFont val="Tahoma"/>
            <family val="2"/>
          </rPr>
          <t xml:space="preserve">
Source: Forbes team page (Venue section, Oct 2025 list), https://www.forbes.com/teams/boston-celtics/. Name shown is the building's current name (naming rights changed over time).</t>
        </r>
      </text>
    </comment>
    <comment ref="F6" authorId="0" shapeId="0" xr:uid="{CF3FBF42-D05D-0547-8272-5D6C4BF72160}">
      <text>
        <r>
          <rPr>
            <b/>
            <sz val="10"/>
            <color rgb="FF000000"/>
            <rFont val="Tahoma"/>
            <family val="2"/>
          </rPr>
          <t>Keller, Zach:</t>
        </r>
        <r>
          <rPr>
            <sz val="10"/>
            <color rgb="FF000000"/>
            <rFont val="Tahoma"/>
            <family val="2"/>
          </rPr>
          <t xml:space="preserve">
Source: Forbes team page (Venue section, Oct 2025 list), https://www.forbes.com/teams/boston-celtics/. Name shown is the building's current name (naming rights changed over time).</t>
        </r>
      </text>
    </comment>
    <comment ref="G6" authorId="0" shapeId="0" xr:uid="{30F02471-4673-9C41-BC79-0684826AD2C4}">
      <text>
        <r>
          <rPr>
            <b/>
            <sz val="10"/>
            <color rgb="FF000000"/>
            <rFont val="Tahoma"/>
            <family val="2"/>
          </rPr>
          <t>Keller, Zach:</t>
        </r>
        <r>
          <rPr>
            <sz val="10"/>
            <color rgb="FF000000"/>
            <rFont val="Tahoma"/>
            <family val="2"/>
          </rPr>
          <t xml:space="preserve">
Source: Forbes team page (Venue section, Oct 2025 list), https://www.forbes.com/teams/boston-celtics/. Name shown is the building's current name (naming rights changed over time).</t>
        </r>
      </text>
    </comment>
    <comment ref="H6" authorId="0" shapeId="0" xr:uid="{94FB54DC-40BC-DA4A-87EF-CFF8197A78CF}">
      <text>
        <r>
          <rPr>
            <b/>
            <sz val="10"/>
            <color rgb="FF000000"/>
            <rFont val="Tahoma"/>
            <family val="2"/>
          </rPr>
          <t>Keller, Zach:</t>
        </r>
        <r>
          <rPr>
            <sz val="10"/>
            <color rgb="FF000000"/>
            <rFont val="Tahoma"/>
            <family val="2"/>
          </rPr>
          <t xml:space="preserve">
Source: Forbes team page (Venue section, Oct 2025 list), https://www.forbes.com/teams/boston-celtics/. Name shown is the building's current name (naming rights changed over time).</t>
        </r>
      </text>
    </comment>
    <comment ref="I6" authorId="0" shapeId="0" xr:uid="{FE86BA47-CE92-F243-9541-BC6D3679398D}">
      <text>
        <r>
          <rPr>
            <b/>
            <sz val="10"/>
            <color rgb="FF000000"/>
            <rFont val="Tahoma"/>
            <family val="2"/>
          </rPr>
          <t>Keller, Zach:</t>
        </r>
        <r>
          <rPr>
            <sz val="10"/>
            <color rgb="FF000000"/>
            <rFont val="Tahoma"/>
            <family val="2"/>
          </rPr>
          <t xml:space="preserve">
Source: Forbes team page (Venue section, Oct 2025 list), https://www.forbes.com/teams/boston-celtics/. Name shown is the building's current name (naming rights changed over time).</t>
        </r>
      </text>
    </comment>
    <comment ref="J6" authorId="0" shapeId="0" xr:uid="{AB22FEC9-0370-9545-AD95-98EEBAC2E56A}">
      <text>
        <r>
          <rPr>
            <b/>
            <sz val="10"/>
            <color rgb="FF000000"/>
            <rFont val="Tahoma"/>
            <family val="2"/>
          </rPr>
          <t>Keller, Zach:</t>
        </r>
        <r>
          <rPr>
            <sz val="10"/>
            <color rgb="FF000000"/>
            <rFont val="Tahoma"/>
            <family val="2"/>
          </rPr>
          <t xml:space="preserve">
Source: Forbes team page (Venue section, Oct 2025 list), https://www.forbes.com/teams/boston-celtics/. Name shown is the building's current name (naming rights changed over time).</t>
        </r>
      </text>
    </comment>
    <comment ref="K6" authorId="0" shapeId="0" xr:uid="{B951A0BC-81C8-384B-9A2F-526FADA6DD9F}">
      <text>
        <r>
          <rPr>
            <b/>
            <sz val="10"/>
            <color rgb="FF000000"/>
            <rFont val="Tahoma"/>
            <family val="2"/>
          </rPr>
          <t>Keller, Zach:</t>
        </r>
        <r>
          <rPr>
            <sz val="10"/>
            <color rgb="FF000000"/>
            <rFont val="Tahoma"/>
            <family val="2"/>
          </rPr>
          <t xml:space="preserve">
Source: Forbes team page (Venue section, Oct 2025 list), https://www.forbes.com/teams/boston-celtics/. Name shown is the building's current name (naming rights changed over time).</t>
        </r>
      </text>
    </comment>
    <comment ref="B7" authorId="0" shapeId="0" xr:uid="{D6FCA5BB-D2CE-8549-8F8B-8BEC8B29EDAE}">
      <text>
        <r>
          <rPr>
            <b/>
            <sz val="10"/>
            <color rgb="FF000000"/>
            <rFont val="Tahoma"/>
            <family val="2"/>
          </rPr>
          <t>Keller, Zach:</t>
        </r>
        <r>
          <rPr>
            <sz val="10"/>
            <color rgb="FF000000"/>
            <rFont val="Tahoma"/>
            <family val="2"/>
          </rPr>
          <t xml:space="preserve">
Source: Forbes team page (Venue section, Oct 2025 list), https://www.forbes.com/teams/brooklyn-nets/. Name shown is the building's current name (naming rights changed over time).</t>
        </r>
      </text>
    </comment>
    <comment ref="C7" authorId="0" shapeId="0" xr:uid="{8FF15701-7F18-9641-A7E2-DC8880C664D1}">
      <text>
        <r>
          <rPr>
            <b/>
            <sz val="10"/>
            <color rgb="FF000000"/>
            <rFont val="Tahoma"/>
            <family val="2"/>
          </rPr>
          <t>Keller, Zach:</t>
        </r>
        <r>
          <rPr>
            <sz val="10"/>
            <color rgb="FF000000"/>
            <rFont val="Tahoma"/>
            <family val="2"/>
          </rPr>
          <t xml:space="preserve">
</t>
        </r>
        <r>
          <rPr>
            <sz val="10"/>
            <color rgb="FF000000"/>
            <rFont val="Tahoma"/>
            <family val="2"/>
          </rPr>
          <t>Source: Forbes team page (Venue section, Oct 2025 list), https://www.forbes.com/teams/brooklyn-nets/. Name shown is the building's current name (naming rights changed over time).</t>
        </r>
      </text>
    </comment>
    <comment ref="D7" authorId="0" shapeId="0" xr:uid="{26C4328F-FAE5-E044-9425-0DC0E8560616}">
      <text>
        <r>
          <rPr>
            <b/>
            <sz val="10"/>
            <color rgb="FF000000"/>
            <rFont val="Tahoma"/>
            <family val="2"/>
          </rPr>
          <t>Keller, Zach:</t>
        </r>
        <r>
          <rPr>
            <sz val="10"/>
            <color rgb="FF000000"/>
            <rFont val="Tahoma"/>
            <family val="2"/>
          </rPr>
          <t xml:space="preserve">
Source: Forbes team page (Venue section, Oct 2025 list), https://www.forbes.com/teams/brooklyn-nets/. Name shown is the building's current name (naming rights changed over time).</t>
        </r>
      </text>
    </comment>
    <comment ref="E7" authorId="0" shapeId="0" xr:uid="{FDDB18D1-34DD-1F4B-AE77-94C27A9BCB0F}">
      <text>
        <r>
          <rPr>
            <b/>
            <sz val="10"/>
            <color rgb="FF000000"/>
            <rFont val="Tahoma"/>
            <family val="2"/>
          </rPr>
          <t>Keller, Zach:</t>
        </r>
        <r>
          <rPr>
            <sz val="10"/>
            <color rgb="FF000000"/>
            <rFont val="Tahoma"/>
            <family val="2"/>
          </rPr>
          <t xml:space="preserve">
Source: Forbes team page (Venue section, Oct 2025 list), https://www.forbes.com/teams/brooklyn-nets/. Name shown is the building's current name (naming rights changed over time).</t>
        </r>
      </text>
    </comment>
    <comment ref="F7" authorId="0" shapeId="0" xr:uid="{E146F385-1705-354E-AC04-7EB8263F5FA1}">
      <text>
        <r>
          <rPr>
            <b/>
            <sz val="10"/>
            <color rgb="FF000000"/>
            <rFont val="Tahoma"/>
            <family val="2"/>
          </rPr>
          <t>Keller, Zach:</t>
        </r>
        <r>
          <rPr>
            <sz val="10"/>
            <color rgb="FF000000"/>
            <rFont val="Tahoma"/>
            <family val="2"/>
          </rPr>
          <t xml:space="preserve">
Source: Forbes team page (Venue section, Oct 2025 list), https://www.forbes.com/teams/brooklyn-nets/. Name shown is the building's current name (naming rights changed over time).</t>
        </r>
      </text>
    </comment>
    <comment ref="G7" authorId="0" shapeId="0" xr:uid="{747CB575-8815-074C-86B3-1ED3A73792F0}">
      <text>
        <r>
          <rPr>
            <b/>
            <sz val="10"/>
            <color rgb="FF000000"/>
            <rFont val="Tahoma"/>
            <family val="2"/>
          </rPr>
          <t>Keller, Zach:</t>
        </r>
        <r>
          <rPr>
            <sz val="10"/>
            <color rgb="FF000000"/>
            <rFont val="Tahoma"/>
            <family val="2"/>
          </rPr>
          <t xml:space="preserve">
Source: Forbes team page (Venue section, Oct 2025 list), https://www.forbes.com/teams/brooklyn-nets/. Name shown is the building's current name (naming rights changed over time).</t>
        </r>
      </text>
    </comment>
    <comment ref="H7" authorId="0" shapeId="0" xr:uid="{0DA21D50-829D-034B-90E5-594A69C9426F}">
      <text>
        <r>
          <rPr>
            <b/>
            <sz val="10"/>
            <color rgb="FF000000"/>
            <rFont val="Tahoma"/>
            <family val="2"/>
          </rPr>
          <t>Keller, Zach:</t>
        </r>
        <r>
          <rPr>
            <sz val="10"/>
            <color rgb="FF000000"/>
            <rFont val="Tahoma"/>
            <family val="2"/>
          </rPr>
          <t xml:space="preserve">
Source: Forbes team page (Venue section, Oct 2025 list), https://www.forbes.com/teams/brooklyn-nets/. Name shown is the building's current name (naming rights changed over time).</t>
        </r>
      </text>
    </comment>
    <comment ref="I7" authorId="0" shapeId="0" xr:uid="{9B71DDD0-26EC-484D-B05B-7831AFAF22EB}">
      <text>
        <r>
          <rPr>
            <b/>
            <sz val="10"/>
            <color rgb="FF000000"/>
            <rFont val="Tahoma"/>
            <family val="2"/>
          </rPr>
          <t>Keller, Zach:</t>
        </r>
        <r>
          <rPr>
            <sz val="10"/>
            <color rgb="FF000000"/>
            <rFont val="Tahoma"/>
            <family val="2"/>
          </rPr>
          <t xml:space="preserve">
Source: Forbes team page (Venue section, Oct 2025 list), https://www.forbes.com/teams/brooklyn-nets/. Name shown is the building's current name (naming rights changed over time).</t>
        </r>
      </text>
    </comment>
    <comment ref="J7" authorId="0" shapeId="0" xr:uid="{10A1F6B9-1195-1A45-96D6-5FA503638CB9}">
      <text>
        <r>
          <rPr>
            <b/>
            <sz val="10"/>
            <color rgb="FF000000"/>
            <rFont val="Tahoma"/>
            <family val="2"/>
          </rPr>
          <t>Keller, Zach:</t>
        </r>
        <r>
          <rPr>
            <sz val="10"/>
            <color rgb="FF000000"/>
            <rFont val="Tahoma"/>
            <family val="2"/>
          </rPr>
          <t xml:space="preserve">
Source: Forbes team page (Venue section, Oct 2025 list), https://www.forbes.com/teams/brooklyn-nets/. Name shown is the building's current name (naming rights changed over time).</t>
        </r>
      </text>
    </comment>
    <comment ref="K7" authorId="0" shapeId="0" xr:uid="{CE5B2337-8AE1-2441-84DE-9864D05006ED}">
      <text>
        <r>
          <rPr>
            <b/>
            <sz val="10"/>
            <color rgb="FF000000"/>
            <rFont val="Tahoma"/>
            <family val="2"/>
          </rPr>
          <t>Keller, Zach:</t>
        </r>
        <r>
          <rPr>
            <sz val="10"/>
            <color rgb="FF000000"/>
            <rFont val="Tahoma"/>
            <family val="2"/>
          </rPr>
          <t xml:space="preserve">
Source: Forbes team page (Venue section, Oct 2025 list), https://www.forbes.com/teams/brooklyn-nets/. Name shown is the building's current name (naming rights changed over time).</t>
        </r>
      </text>
    </comment>
    <comment ref="B8" authorId="0" shapeId="0" xr:uid="{C14FE7B7-B61D-E148-8EBC-A0FFFB1F46D4}">
      <text>
        <r>
          <rPr>
            <b/>
            <sz val="10"/>
            <color rgb="FF000000"/>
            <rFont val="Tahoma"/>
            <family val="2"/>
          </rPr>
          <t>Keller, Zach:</t>
        </r>
        <r>
          <rPr>
            <sz val="10"/>
            <color rgb="FF000000"/>
            <rFont val="Tahoma"/>
            <family val="2"/>
          </rPr>
          <t xml:space="preserve">
Source: Forbes team page (Venue section, Oct 2025 list), https://www.forbes.com/teams/charlotte-hornets/. Name shown is the building's current name (naming rights changed over time).</t>
        </r>
      </text>
    </comment>
    <comment ref="C8" authorId="0" shapeId="0" xr:uid="{2E6412C5-6BCE-6A49-8168-1A3364EECDA8}">
      <text>
        <r>
          <rPr>
            <b/>
            <sz val="10"/>
            <color rgb="FF000000"/>
            <rFont val="Tahoma"/>
            <family val="2"/>
          </rPr>
          <t>Keller, Zach:</t>
        </r>
        <r>
          <rPr>
            <sz val="10"/>
            <color rgb="FF000000"/>
            <rFont val="Tahoma"/>
            <family val="2"/>
          </rPr>
          <t xml:space="preserve">
Source: Forbes team page (Venue section, Oct 2025 list), https://www.forbes.com/teams/charlotte-hornets/. Name shown is the building's current name (naming rights changed over time).</t>
        </r>
      </text>
    </comment>
    <comment ref="D8" authorId="0" shapeId="0" xr:uid="{0B51A971-EC42-FE40-9A4A-F1306335BA31}">
      <text>
        <r>
          <rPr>
            <b/>
            <sz val="10"/>
            <color rgb="FF000000"/>
            <rFont val="Tahoma"/>
            <family val="2"/>
          </rPr>
          <t>Keller, Zach:</t>
        </r>
        <r>
          <rPr>
            <sz val="10"/>
            <color rgb="FF000000"/>
            <rFont val="Tahoma"/>
            <family val="2"/>
          </rPr>
          <t xml:space="preserve">
Source: Forbes team page (Venue section, Oct 2025 list), https://www.forbes.com/teams/charlotte-hornets/. Name shown is the building's current name (naming rights changed over time).</t>
        </r>
      </text>
    </comment>
    <comment ref="E8" authorId="0" shapeId="0" xr:uid="{AC75FADF-7BED-5045-A555-B0987A568627}">
      <text>
        <r>
          <rPr>
            <b/>
            <sz val="10"/>
            <color rgb="FF000000"/>
            <rFont val="Tahoma"/>
            <family val="2"/>
          </rPr>
          <t>Keller, Zach:</t>
        </r>
        <r>
          <rPr>
            <sz val="10"/>
            <color rgb="FF000000"/>
            <rFont val="Tahoma"/>
            <family val="2"/>
          </rPr>
          <t xml:space="preserve">
Source: Forbes team page (Venue section, Oct 2025 list), https://www.forbes.com/teams/charlotte-hornets/. Name shown is the building's current name (naming rights changed over time).</t>
        </r>
      </text>
    </comment>
    <comment ref="F8" authorId="0" shapeId="0" xr:uid="{B0070E5E-37D4-B94B-B393-0E522D1AB4AE}">
      <text>
        <r>
          <rPr>
            <b/>
            <sz val="10"/>
            <color rgb="FF000000"/>
            <rFont val="Tahoma"/>
            <family val="2"/>
          </rPr>
          <t>Keller, Zach:</t>
        </r>
        <r>
          <rPr>
            <sz val="10"/>
            <color rgb="FF000000"/>
            <rFont val="Tahoma"/>
            <family val="2"/>
          </rPr>
          <t xml:space="preserve">
Source: Forbes team page (Venue section, Oct 2025 list), https://www.forbes.com/teams/charlotte-hornets/. Name shown is the building's current name (naming rights changed over time).</t>
        </r>
      </text>
    </comment>
    <comment ref="G8" authorId="0" shapeId="0" xr:uid="{70B76992-63B9-9B4E-BA81-2E9E932C04F3}">
      <text>
        <r>
          <rPr>
            <b/>
            <sz val="10"/>
            <color rgb="FF000000"/>
            <rFont val="Tahoma"/>
            <family val="2"/>
          </rPr>
          <t>Keller, Zach:</t>
        </r>
        <r>
          <rPr>
            <sz val="10"/>
            <color rgb="FF000000"/>
            <rFont val="Tahoma"/>
            <family val="2"/>
          </rPr>
          <t xml:space="preserve">
Source: Forbes team page (Venue section, Oct 2025 list), https://www.forbes.com/teams/charlotte-hornets/. Name shown is the building's current name (naming rights changed over time).</t>
        </r>
      </text>
    </comment>
    <comment ref="H8" authorId="0" shapeId="0" xr:uid="{C6580368-CF04-B14F-BA09-2E728DA8FDBC}">
      <text>
        <r>
          <rPr>
            <b/>
            <sz val="10"/>
            <color rgb="FF000000"/>
            <rFont val="Tahoma"/>
            <family val="2"/>
          </rPr>
          <t>Keller, Zach:</t>
        </r>
        <r>
          <rPr>
            <sz val="10"/>
            <color rgb="FF000000"/>
            <rFont val="Tahoma"/>
            <family val="2"/>
          </rPr>
          <t xml:space="preserve">
Source: Forbes team page (Venue section, Oct 2025 list), https://www.forbes.com/teams/charlotte-hornets/. Name shown is the building's current name (naming rights changed over time).</t>
        </r>
      </text>
    </comment>
    <comment ref="I8" authorId="0" shapeId="0" xr:uid="{FE7AA21D-8D6F-204E-9656-6C97037A5B5C}">
      <text>
        <r>
          <rPr>
            <b/>
            <sz val="10"/>
            <color rgb="FF000000"/>
            <rFont val="Tahoma"/>
            <family val="2"/>
          </rPr>
          <t>Keller, Zach:</t>
        </r>
        <r>
          <rPr>
            <sz val="10"/>
            <color rgb="FF000000"/>
            <rFont val="Tahoma"/>
            <family val="2"/>
          </rPr>
          <t xml:space="preserve">
Source: Forbes team page (Venue section, Oct 2025 list), https://www.forbes.com/teams/charlotte-hornets/. Name shown is the building's current name (naming rights changed over time).</t>
        </r>
      </text>
    </comment>
    <comment ref="J8" authorId="0" shapeId="0" xr:uid="{B5DD4E81-1532-AC4F-9334-0C1DDBDCBF33}">
      <text>
        <r>
          <rPr>
            <b/>
            <sz val="10"/>
            <color rgb="FF000000"/>
            <rFont val="Tahoma"/>
            <family val="2"/>
          </rPr>
          <t>Keller, Zach:</t>
        </r>
        <r>
          <rPr>
            <sz val="10"/>
            <color rgb="FF000000"/>
            <rFont val="Tahoma"/>
            <family val="2"/>
          </rPr>
          <t xml:space="preserve">
Source: Forbes team page (Venue section, Oct 2025 list), https://www.forbes.com/teams/charlotte-hornets/. Name shown is the building's current name (naming rights changed over time).</t>
        </r>
      </text>
    </comment>
    <comment ref="K8" authorId="0" shapeId="0" xr:uid="{A68DCC61-0954-EA4A-B975-D4576B462E57}">
      <text>
        <r>
          <rPr>
            <b/>
            <sz val="10"/>
            <color rgb="FF000000"/>
            <rFont val="Tahoma"/>
            <family val="2"/>
          </rPr>
          <t>Keller, Zach:</t>
        </r>
        <r>
          <rPr>
            <sz val="10"/>
            <color rgb="FF000000"/>
            <rFont val="Tahoma"/>
            <family val="2"/>
          </rPr>
          <t xml:space="preserve">
Source: Forbes team page (Venue section, Oct 2025 list), https://www.forbes.com/teams/charlotte-hornets/. Name shown is the building's current name (naming rights changed over time).</t>
        </r>
      </text>
    </comment>
    <comment ref="B9" authorId="0" shapeId="0" xr:uid="{76B6CE53-4A57-5546-BA5E-79878146FBA8}">
      <text>
        <r>
          <rPr>
            <b/>
            <sz val="10"/>
            <color rgb="FF000000"/>
            <rFont val="Tahoma"/>
            <family val="2"/>
          </rPr>
          <t>Keller, Zach:</t>
        </r>
        <r>
          <rPr>
            <sz val="10"/>
            <color rgb="FF000000"/>
            <rFont val="Tahoma"/>
            <family val="2"/>
          </rPr>
          <t xml:space="preserve">
Source: Forbes team page (Venue section, Oct 2025 list), https://www.forbes.com/teams/chicago-bulls/. Name shown is the building's current name (naming rights changed over time).</t>
        </r>
      </text>
    </comment>
    <comment ref="C9" authorId="0" shapeId="0" xr:uid="{491A0DF3-E803-7847-8ECF-A4437D2CE995}">
      <text>
        <r>
          <rPr>
            <b/>
            <sz val="10"/>
            <color rgb="FF000000"/>
            <rFont val="Tahoma"/>
            <family val="2"/>
          </rPr>
          <t>Keller, Zach:</t>
        </r>
        <r>
          <rPr>
            <sz val="10"/>
            <color rgb="FF000000"/>
            <rFont val="Tahoma"/>
            <family val="2"/>
          </rPr>
          <t xml:space="preserve">
Source: Forbes team page (Venue section, Oct 2025 list), https://www.forbes.com/teams/chicago-bulls/. Name shown is the building's current name (naming rights changed over time).</t>
        </r>
      </text>
    </comment>
    <comment ref="D9" authorId="0" shapeId="0" xr:uid="{5D1C93B6-6BEE-DC40-BD0D-E6C11114BC7F}">
      <text>
        <r>
          <rPr>
            <b/>
            <sz val="10"/>
            <color rgb="FF000000"/>
            <rFont val="Tahoma"/>
            <family val="2"/>
          </rPr>
          <t>Keller, Zach:</t>
        </r>
        <r>
          <rPr>
            <sz val="10"/>
            <color rgb="FF000000"/>
            <rFont val="Tahoma"/>
            <family val="2"/>
          </rPr>
          <t xml:space="preserve">
Source: Forbes team page (Venue section, Oct 2025 list), https://www.forbes.com/teams/chicago-bulls/. Name shown is the building's current name (naming rights changed over time).</t>
        </r>
      </text>
    </comment>
    <comment ref="E9" authorId="0" shapeId="0" xr:uid="{FA70C2D1-F2AD-5949-A551-54F9557C2A78}">
      <text>
        <r>
          <rPr>
            <b/>
            <sz val="10"/>
            <color rgb="FF000000"/>
            <rFont val="Tahoma"/>
            <family val="2"/>
          </rPr>
          <t>Keller, Zach:</t>
        </r>
        <r>
          <rPr>
            <sz val="10"/>
            <color rgb="FF000000"/>
            <rFont val="Tahoma"/>
            <family val="2"/>
          </rPr>
          <t xml:space="preserve">
Source: Forbes team page (Venue section, Oct 2025 list), https://www.forbes.com/teams/chicago-bulls/. Name shown is the building's current name (naming rights changed over time).</t>
        </r>
      </text>
    </comment>
    <comment ref="F9" authorId="0" shapeId="0" xr:uid="{F8CA7E85-8E70-E74B-879C-EE4ED276757C}">
      <text>
        <r>
          <rPr>
            <b/>
            <sz val="10"/>
            <color rgb="FF000000"/>
            <rFont val="Tahoma"/>
            <family val="2"/>
          </rPr>
          <t>Keller, Zach:</t>
        </r>
        <r>
          <rPr>
            <sz val="10"/>
            <color rgb="FF000000"/>
            <rFont val="Tahoma"/>
            <family val="2"/>
          </rPr>
          <t xml:space="preserve">
Source: Forbes team page (Venue section, Oct 2025 list), https://www.forbes.com/teams/chicago-bulls/. Name shown is the building's current name (naming rights changed over time).</t>
        </r>
      </text>
    </comment>
    <comment ref="G9" authorId="0" shapeId="0" xr:uid="{5887CC13-CEED-CA41-85AB-1736CA2D1B4E}">
      <text>
        <r>
          <rPr>
            <b/>
            <sz val="10"/>
            <color rgb="FF000000"/>
            <rFont val="Tahoma"/>
            <family val="2"/>
          </rPr>
          <t>Keller, Zach:</t>
        </r>
        <r>
          <rPr>
            <sz val="10"/>
            <color rgb="FF000000"/>
            <rFont val="Tahoma"/>
            <family val="2"/>
          </rPr>
          <t xml:space="preserve">
Source: Forbes team page (Venue section, Oct 2025 list), https://www.forbes.com/teams/chicago-bulls/. Name shown is the building's current name (naming rights changed over time).</t>
        </r>
      </text>
    </comment>
    <comment ref="H9" authorId="0" shapeId="0" xr:uid="{EAFB37DC-4CE5-D64D-99F5-DF2F3460B9B5}">
      <text>
        <r>
          <rPr>
            <b/>
            <sz val="10"/>
            <color rgb="FF000000"/>
            <rFont val="Tahoma"/>
            <family val="2"/>
          </rPr>
          <t>Keller, Zach:</t>
        </r>
        <r>
          <rPr>
            <sz val="10"/>
            <color rgb="FF000000"/>
            <rFont val="Tahoma"/>
            <family val="2"/>
          </rPr>
          <t xml:space="preserve">
Source: Forbes team page (Venue section, Oct 2025 list), https://www.forbes.com/teams/chicago-bulls/. Name shown is the building's current name (naming rights changed over time).</t>
        </r>
      </text>
    </comment>
    <comment ref="I9" authorId="0" shapeId="0" xr:uid="{DDEC7398-6D56-6749-8ACE-4803DAC4E712}">
      <text>
        <r>
          <rPr>
            <b/>
            <sz val="10"/>
            <color rgb="FF000000"/>
            <rFont val="Tahoma"/>
            <family val="2"/>
          </rPr>
          <t>Keller, Zach:</t>
        </r>
        <r>
          <rPr>
            <sz val="10"/>
            <color rgb="FF000000"/>
            <rFont val="Tahoma"/>
            <family val="2"/>
          </rPr>
          <t xml:space="preserve">
Source: Forbes team page (Venue section, Oct 2025 list), https://www.forbes.com/teams/chicago-bulls/. Name shown is the building's current name (naming rights changed over time).</t>
        </r>
      </text>
    </comment>
    <comment ref="J9" authorId="0" shapeId="0" xr:uid="{AF8EC80B-463E-B746-91DE-CE1EE88185F2}">
      <text>
        <r>
          <rPr>
            <b/>
            <sz val="10"/>
            <color rgb="FF000000"/>
            <rFont val="Tahoma"/>
            <family val="2"/>
          </rPr>
          <t>Keller, Zach:</t>
        </r>
        <r>
          <rPr>
            <sz val="10"/>
            <color rgb="FF000000"/>
            <rFont val="Tahoma"/>
            <family val="2"/>
          </rPr>
          <t xml:space="preserve">
Source: Forbes team page (Venue section, Oct 2025 list), https://www.forbes.com/teams/chicago-bulls/. Name shown is the building's current name (naming rights changed over time).</t>
        </r>
      </text>
    </comment>
    <comment ref="K9" authorId="0" shapeId="0" xr:uid="{7756EB57-0FA1-4646-B856-453FE4763CAE}">
      <text>
        <r>
          <rPr>
            <b/>
            <sz val="10"/>
            <color rgb="FF000000"/>
            <rFont val="Tahoma"/>
            <family val="2"/>
          </rPr>
          <t>Keller, Zach:</t>
        </r>
        <r>
          <rPr>
            <sz val="10"/>
            <color rgb="FF000000"/>
            <rFont val="Tahoma"/>
            <family val="2"/>
          </rPr>
          <t xml:space="preserve">
Source: Forbes team page (Venue section, Oct 2025 list), https://www.forbes.com/teams/chicago-bulls/. Name shown is the building's current name (naming rights changed over time).</t>
        </r>
      </text>
    </comment>
    <comment ref="B10" authorId="0" shapeId="0" xr:uid="{B3F6C88C-61C8-0A4A-AF1B-06A107249FEB}">
      <text>
        <r>
          <rPr>
            <b/>
            <sz val="10"/>
            <color rgb="FF000000"/>
            <rFont val="Tahoma"/>
            <family val="2"/>
          </rPr>
          <t>Keller, Zach:</t>
        </r>
        <r>
          <rPr>
            <sz val="10"/>
            <color rgb="FF000000"/>
            <rFont val="Tahoma"/>
            <family val="2"/>
          </rPr>
          <t xml:space="preserve">
Source: Forbes team page (Venue section, Oct 2025 list), https://www.forbes.com/teams/cleveland-cavaliers/. Name shown is the building's current name (naming rights changed over time).</t>
        </r>
      </text>
    </comment>
    <comment ref="C10" authorId="0" shapeId="0" xr:uid="{8A09C18E-5E73-A246-B22E-DFB5229A75F2}">
      <text>
        <r>
          <rPr>
            <b/>
            <sz val="10"/>
            <color rgb="FF000000"/>
            <rFont val="Tahoma"/>
            <family val="2"/>
          </rPr>
          <t>Keller, Zach:</t>
        </r>
        <r>
          <rPr>
            <sz val="10"/>
            <color rgb="FF000000"/>
            <rFont val="Tahoma"/>
            <family val="2"/>
          </rPr>
          <t xml:space="preserve">
Source: Forbes team page (Venue section, Oct 2025 list), https://www.forbes.com/teams/cleveland-cavaliers/. Name shown is the building's current name (naming rights changed over time).</t>
        </r>
      </text>
    </comment>
    <comment ref="D10" authorId="0" shapeId="0" xr:uid="{A70FD71B-C6BF-684B-8B5A-78AECEC7638E}">
      <text>
        <r>
          <rPr>
            <b/>
            <sz val="10"/>
            <color rgb="FF000000"/>
            <rFont val="Tahoma"/>
            <family val="2"/>
          </rPr>
          <t>Keller, Zach:</t>
        </r>
        <r>
          <rPr>
            <sz val="10"/>
            <color rgb="FF000000"/>
            <rFont val="Tahoma"/>
            <family val="2"/>
          </rPr>
          <t xml:space="preserve">
Source: Forbes team page (Venue section, Oct 2025 list), https://www.forbes.com/teams/cleveland-cavaliers/. Name shown is the building's current name (naming rights changed over time).</t>
        </r>
      </text>
    </comment>
    <comment ref="E10" authorId="0" shapeId="0" xr:uid="{10EE4A6B-75F5-BC4F-A491-9B7BD0C385C9}">
      <text>
        <r>
          <rPr>
            <b/>
            <sz val="10"/>
            <color rgb="FF000000"/>
            <rFont val="Tahoma"/>
            <family val="2"/>
          </rPr>
          <t>Keller, Zach:</t>
        </r>
        <r>
          <rPr>
            <sz val="10"/>
            <color rgb="FF000000"/>
            <rFont val="Tahoma"/>
            <family val="2"/>
          </rPr>
          <t xml:space="preserve">
Source: Forbes team page (Venue section, Oct 2025 list), https://www.forbes.com/teams/cleveland-cavaliers/. Name shown is the building's current name (naming rights changed over time).</t>
        </r>
      </text>
    </comment>
    <comment ref="F10" authorId="0" shapeId="0" xr:uid="{BDBED436-1B76-474E-9235-B34B926D2A80}">
      <text>
        <r>
          <rPr>
            <b/>
            <sz val="10"/>
            <color rgb="FF000000"/>
            <rFont val="Tahoma"/>
            <family val="2"/>
          </rPr>
          <t>Keller, Zach:</t>
        </r>
        <r>
          <rPr>
            <sz val="10"/>
            <color rgb="FF000000"/>
            <rFont val="Tahoma"/>
            <family val="2"/>
          </rPr>
          <t xml:space="preserve">
Source: Forbes team page (Venue section, Oct 2025 list), https://www.forbes.com/teams/cleveland-cavaliers/. Name shown is the building's current name (naming rights changed over time).</t>
        </r>
      </text>
    </comment>
    <comment ref="G10" authorId="0" shapeId="0" xr:uid="{EC4CCB83-0E01-704B-B89E-C662E5858156}">
      <text>
        <r>
          <rPr>
            <b/>
            <sz val="10"/>
            <color rgb="FF000000"/>
            <rFont val="Tahoma"/>
            <family val="2"/>
          </rPr>
          <t>Keller, Zach:</t>
        </r>
        <r>
          <rPr>
            <sz val="10"/>
            <color rgb="FF000000"/>
            <rFont val="Tahoma"/>
            <family val="2"/>
          </rPr>
          <t xml:space="preserve">
Source: Forbes team page (Venue section, Oct 2025 list), https://www.forbes.com/teams/cleveland-cavaliers/. Name shown is the building's current name (naming rights changed over time).</t>
        </r>
      </text>
    </comment>
    <comment ref="H10" authorId="0" shapeId="0" xr:uid="{3BF2331E-4B3B-FC43-A7AC-CB68C7BBA7F6}">
      <text>
        <r>
          <rPr>
            <b/>
            <sz val="10"/>
            <color rgb="FF000000"/>
            <rFont val="Tahoma"/>
            <family val="2"/>
          </rPr>
          <t>Keller, Zach:</t>
        </r>
        <r>
          <rPr>
            <sz val="10"/>
            <color rgb="FF000000"/>
            <rFont val="Tahoma"/>
            <family val="2"/>
          </rPr>
          <t xml:space="preserve">
Source: Forbes team page (Venue section, Oct 2025 list), https://www.forbes.com/teams/cleveland-cavaliers/. Name shown is the building's current name (naming rights changed over time).</t>
        </r>
      </text>
    </comment>
    <comment ref="I10" authorId="0" shapeId="0" xr:uid="{2F972287-A80F-F048-9AF6-D7C92352ECFC}">
      <text>
        <r>
          <rPr>
            <b/>
            <sz val="10"/>
            <color rgb="FF000000"/>
            <rFont val="Tahoma"/>
            <family val="2"/>
          </rPr>
          <t>Keller, Zach:</t>
        </r>
        <r>
          <rPr>
            <sz val="10"/>
            <color rgb="FF000000"/>
            <rFont val="Tahoma"/>
            <family val="2"/>
          </rPr>
          <t xml:space="preserve">
Source: Forbes team page (Venue section, Oct 2025 list), https://www.forbes.com/teams/cleveland-cavaliers/. Name shown is the building's current name (naming rights changed over time).</t>
        </r>
      </text>
    </comment>
    <comment ref="J10" authorId="0" shapeId="0" xr:uid="{0F067BB7-5A0B-9B40-8FC9-96D7B5903D22}">
      <text>
        <r>
          <rPr>
            <b/>
            <sz val="10"/>
            <color rgb="FF000000"/>
            <rFont val="Tahoma"/>
            <family val="2"/>
          </rPr>
          <t>Keller, Zach:</t>
        </r>
        <r>
          <rPr>
            <sz val="10"/>
            <color rgb="FF000000"/>
            <rFont val="Tahoma"/>
            <family val="2"/>
          </rPr>
          <t xml:space="preserve">
Source: Forbes team page (Venue section, Oct 2025 list), https://www.forbes.com/teams/cleveland-cavaliers/. Name shown is the building's current name (naming rights changed over time).</t>
        </r>
      </text>
    </comment>
    <comment ref="K10" authorId="0" shapeId="0" xr:uid="{D00B32C2-8896-404B-8640-7E84E0061BAA}">
      <text>
        <r>
          <rPr>
            <b/>
            <sz val="10"/>
            <color rgb="FF000000"/>
            <rFont val="Tahoma"/>
            <family val="2"/>
          </rPr>
          <t>Keller, Zach:</t>
        </r>
        <r>
          <rPr>
            <sz val="10"/>
            <color rgb="FF000000"/>
            <rFont val="Tahoma"/>
            <family val="2"/>
          </rPr>
          <t xml:space="preserve">
Source: Forbes team page (Venue section, Oct 2025 list), https://www.forbes.com/teams/cleveland-cavaliers/. Name shown is the building's current name (naming rights changed over time).</t>
        </r>
      </text>
    </comment>
    <comment ref="B11" authorId="0" shapeId="0" xr:uid="{93D0EDD8-7221-9B4D-966A-F8247F954A88}">
      <text>
        <r>
          <rPr>
            <b/>
            <sz val="10"/>
            <color rgb="FF000000"/>
            <rFont val="Tahoma"/>
            <family val="2"/>
          </rPr>
          <t>Keller, Zach:</t>
        </r>
        <r>
          <rPr>
            <sz val="10"/>
            <color rgb="FF000000"/>
            <rFont val="Tahoma"/>
            <family val="2"/>
          </rPr>
          <t xml:space="preserve">
Source: Forbes team page (Venue section, Oct 2025 list), https://www.forbes.com/teams/dallas-mavericks/. Name shown is the building's current name (naming rights changed over time).</t>
        </r>
      </text>
    </comment>
    <comment ref="C11" authorId="0" shapeId="0" xr:uid="{B4A5481C-E4C2-5948-8A4F-3599275739AE}">
      <text>
        <r>
          <rPr>
            <b/>
            <sz val="10"/>
            <color rgb="FF000000"/>
            <rFont val="Tahoma"/>
            <family val="2"/>
          </rPr>
          <t>Keller, Zach:</t>
        </r>
        <r>
          <rPr>
            <sz val="10"/>
            <color rgb="FF000000"/>
            <rFont val="Tahoma"/>
            <family val="2"/>
          </rPr>
          <t xml:space="preserve">
</t>
        </r>
        <r>
          <rPr>
            <sz val="10"/>
            <color rgb="FF000000"/>
            <rFont val="Tahoma"/>
            <family val="2"/>
          </rPr>
          <t>Source: Forbes team page (Venue section, Oct 2025 list), https://www.forbes.com/teams/dallas-mavericks/. Name shown is the building's current name (naming rights changed over time).</t>
        </r>
      </text>
    </comment>
    <comment ref="D11" authorId="0" shapeId="0" xr:uid="{9A96F1DC-14ED-A34D-AC1F-CE82E4427C97}">
      <text>
        <r>
          <rPr>
            <b/>
            <sz val="10"/>
            <color rgb="FF000000"/>
            <rFont val="Tahoma"/>
            <family val="2"/>
          </rPr>
          <t>Keller, Zach:</t>
        </r>
        <r>
          <rPr>
            <sz val="10"/>
            <color rgb="FF000000"/>
            <rFont val="Tahoma"/>
            <family val="2"/>
          </rPr>
          <t xml:space="preserve">
Source: Forbes team page (Venue section, Oct 2025 list), https://www.forbes.com/teams/dallas-mavericks/. Name shown is the building's current name (naming rights changed over time).</t>
        </r>
      </text>
    </comment>
    <comment ref="E11" authorId="0" shapeId="0" xr:uid="{E0484382-6CA8-104D-8A92-52B2D119699D}">
      <text>
        <r>
          <rPr>
            <b/>
            <sz val="10"/>
            <color rgb="FF000000"/>
            <rFont val="Tahoma"/>
            <family val="2"/>
          </rPr>
          <t>Keller, Zach:</t>
        </r>
        <r>
          <rPr>
            <sz val="10"/>
            <color rgb="FF000000"/>
            <rFont val="Tahoma"/>
            <family val="2"/>
          </rPr>
          <t xml:space="preserve">
Source: Forbes team page (Venue section, Oct 2025 list), https://www.forbes.com/teams/dallas-mavericks/. Name shown is the building's current name (naming rights changed over time).</t>
        </r>
      </text>
    </comment>
    <comment ref="F11" authorId="0" shapeId="0" xr:uid="{231F59F6-0CF3-C142-845D-94CFBB0209B0}">
      <text>
        <r>
          <rPr>
            <b/>
            <sz val="10"/>
            <color rgb="FF000000"/>
            <rFont val="Tahoma"/>
            <family val="2"/>
          </rPr>
          <t>Keller, Zach:</t>
        </r>
        <r>
          <rPr>
            <sz val="10"/>
            <color rgb="FF000000"/>
            <rFont val="Tahoma"/>
            <family val="2"/>
          </rPr>
          <t xml:space="preserve">
Source: Forbes team page (Venue section, Oct 2025 list), https://www.forbes.com/teams/dallas-mavericks/. Name shown is the building's current name (naming rights changed over time).</t>
        </r>
      </text>
    </comment>
    <comment ref="G11" authorId="0" shapeId="0" xr:uid="{8FD3386E-68FB-6646-8F2F-ABFEA8537B16}">
      <text>
        <r>
          <rPr>
            <b/>
            <sz val="10"/>
            <color rgb="FF000000"/>
            <rFont val="Tahoma"/>
            <family val="2"/>
          </rPr>
          <t>Keller, Zach:</t>
        </r>
        <r>
          <rPr>
            <sz val="10"/>
            <color rgb="FF000000"/>
            <rFont val="Tahoma"/>
            <family val="2"/>
          </rPr>
          <t xml:space="preserve">
Source: Forbes team page (Venue section, Oct 2025 list), https://www.forbes.com/teams/dallas-mavericks/. Name shown is the building's current name (naming rights changed over time).</t>
        </r>
      </text>
    </comment>
    <comment ref="H11" authorId="0" shapeId="0" xr:uid="{B8AC76B9-DA87-234B-818A-338815D27ACE}">
      <text>
        <r>
          <rPr>
            <b/>
            <sz val="10"/>
            <color rgb="FF000000"/>
            <rFont val="Tahoma"/>
            <family val="2"/>
          </rPr>
          <t>Keller, Zach:</t>
        </r>
        <r>
          <rPr>
            <sz val="10"/>
            <color rgb="FF000000"/>
            <rFont val="Tahoma"/>
            <family val="2"/>
          </rPr>
          <t xml:space="preserve">
Source: Forbes team page (Venue section, Oct 2025 list), https://www.forbes.com/teams/dallas-mavericks/. Name shown is the building's current name (naming rights changed over time).</t>
        </r>
      </text>
    </comment>
    <comment ref="I11" authorId="0" shapeId="0" xr:uid="{F083F770-CFD3-3D42-B651-A7F84C00ADFB}">
      <text>
        <r>
          <rPr>
            <b/>
            <sz val="10"/>
            <color rgb="FF000000"/>
            <rFont val="Tahoma"/>
            <family val="2"/>
          </rPr>
          <t>Keller, Zach:</t>
        </r>
        <r>
          <rPr>
            <sz val="10"/>
            <color rgb="FF000000"/>
            <rFont val="Tahoma"/>
            <family val="2"/>
          </rPr>
          <t xml:space="preserve">
Source: Forbes team page (Venue section, Oct 2025 list), https://www.forbes.com/teams/dallas-mavericks/. Name shown is the building's current name (naming rights changed over time).</t>
        </r>
      </text>
    </comment>
    <comment ref="J11" authorId="0" shapeId="0" xr:uid="{5D3C5385-21DD-4C40-9910-09C0D8580A91}">
      <text>
        <r>
          <rPr>
            <b/>
            <sz val="10"/>
            <color rgb="FF000000"/>
            <rFont val="Tahoma"/>
            <family val="2"/>
          </rPr>
          <t>Keller, Zach:</t>
        </r>
        <r>
          <rPr>
            <sz val="10"/>
            <color rgb="FF000000"/>
            <rFont val="Tahoma"/>
            <family val="2"/>
          </rPr>
          <t xml:space="preserve">
Source: Forbes team page (Venue section, Oct 2025 list), https://www.forbes.com/teams/dallas-mavericks/. Name shown is the building's current name (naming rights changed over time).</t>
        </r>
      </text>
    </comment>
    <comment ref="K11" authorId="0" shapeId="0" xr:uid="{59BCD8B3-F740-6043-848D-52A502ABD656}">
      <text>
        <r>
          <rPr>
            <b/>
            <sz val="10"/>
            <color rgb="FF000000"/>
            <rFont val="Tahoma"/>
            <family val="2"/>
          </rPr>
          <t>Keller, Zach:</t>
        </r>
        <r>
          <rPr>
            <sz val="10"/>
            <color rgb="FF000000"/>
            <rFont val="Tahoma"/>
            <family val="2"/>
          </rPr>
          <t xml:space="preserve">
Source: Forbes team page (Venue section, Oct 2025 list), https://www.forbes.com/teams/dallas-mavericks/. Name shown is the building's current name (naming rights changed over time).</t>
        </r>
      </text>
    </comment>
    <comment ref="B12" authorId="0" shapeId="0" xr:uid="{DE96C452-7D82-614C-8F41-193A661F1C0C}">
      <text>
        <r>
          <rPr>
            <b/>
            <sz val="10"/>
            <color rgb="FF000000"/>
            <rFont val="Tahoma"/>
            <family val="2"/>
          </rPr>
          <t>Keller, Zach:</t>
        </r>
        <r>
          <rPr>
            <sz val="10"/>
            <color rgb="FF000000"/>
            <rFont val="Tahoma"/>
            <family val="2"/>
          </rPr>
          <t xml:space="preserve">
Source: Forbes team page (Venue section, Oct 2025 list), https://www.forbes.com/teams/denver-nuggets/. Name shown is the building's current name (naming rights changed over time).</t>
        </r>
      </text>
    </comment>
    <comment ref="C12" authorId="0" shapeId="0" xr:uid="{960DE813-8D2E-EE48-8213-10DCC2A7AB0A}">
      <text>
        <r>
          <rPr>
            <b/>
            <sz val="10"/>
            <color rgb="FF000000"/>
            <rFont val="Tahoma"/>
            <family val="2"/>
          </rPr>
          <t>Keller, Zach:</t>
        </r>
        <r>
          <rPr>
            <sz val="10"/>
            <color rgb="FF000000"/>
            <rFont val="Tahoma"/>
            <family val="2"/>
          </rPr>
          <t xml:space="preserve">
Source: Forbes team page (Venue section, Oct 2025 list), https://www.forbes.com/teams/denver-nuggets/. Name shown is the building's current name (naming rights changed over time).</t>
        </r>
      </text>
    </comment>
    <comment ref="D12" authorId="0" shapeId="0" xr:uid="{11CA2E67-24E9-9A40-9C08-5064222E77BE}">
      <text>
        <r>
          <rPr>
            <b/>
            <sz val="10"/>
            <color rgb="FF000000"/>
            <rFont val="Tahoma"/>
            <family val="2"/>
          </rPr>
          <t>Keller, Zach:</t>
        </r>
        <r>
          <rPr>
            <sz val="10"/>
            <color rgb="FF000000"/>
            <rFont val="Tahoma"/>
            <family val="2"/>
          </rPr>
          <t xml:space="preserve">
Source: Forbes team page (Venue section, Oct 2025 list), https://www.forbes.com/teams/denver-nuggets/. Name shown is the building's current name (naming rights changed over time).</t>
        </r>
      </text>
    </comment>
    <comment ref="E12" authorId="0" shapeId="0" xr:uid="{FB1911FD-740B-644B-A800-E9ED842552D6}">
      <text>
        <r>
          <rPr>
            <b/>
            <sz val="10"/>
            <color rgb="FF000000"/>
            <rFont val="Tahoma"/>
            <family val="2"/>
          </rPr>
          <t>Keller, Zach:</t>
        </r>
        <r>
          <rPr>
            <sz val="10"/>
            <color rgb="FF000000"/>
            <rFont val="Tahoma"/>
            <family val="2"/>
          </rPr>
          <t xml:space="preserve">
Source: Forbes team page (Venue section, Oct 2025 list), https://www.forbes.com/teams/denver-nuggets/. Name shown is the building's current name (naming rights changed over time).</t>
        </r>
      </text>
    </comment>
    <comment ref="F12" authorId="0" shapeId="0" xr:uid="{1C0EB9A0-C341-D248-B705-601423396E8B}">
      <text>
        <r>
          <rPr>
            <b/>
            <sz val="10"/>
            <color rgb="FF000000"/>
            <rFont val="Tahoma"/>
            <family val="2"/>
          </rPr>
          <t>Keller, Zach:</t>
        </r>
        <r>
          <rPr>
            <sz val="10"/>
            <color rgb="FF000000"/>
            <rFont val="Tahoma"/>
            <family val="2"/>
          </rPr>
          <t xml:space="preserve">
Source: Forbes team page (Venue section, Oct 2025 list), https://www.forbes.com/teams/denver-nuggets/. Name shown is the building's current name (naming rights changed over time).</t>
        </r>
      </text>
    </comment>
    <comment ref="G12" authorId="0" shapeId="0" xr:uid="{D8D3A07B-720A-AE41-95C6-EF4BD823568F}">
      <text>
        <r>
          <rPr>
            <b/>
            <sz val="10"/>
            <color rgb="FF000000"/>
            <rFont val="Tahoma"/>
            <family val="2"/>
          </rPr>
          <t>Keller, Zach:</t>
        </r>
        <r>
          <rPr>
            <sz val="10"/>
            <color rgb="FF000000"/>
            <rFont val="Tahoma"/>
            <family val="2"/>
          </rPr>
          <t xml:space="preserve">
Source: Forbes team page (Venue section, Oct 2025 list), https://www.forbes.com/teams/denver-nuggets/. Name shown is the building's current name (naming rights changed over time).</t>
        </r>
      </text>
    </comment>
    <comment ref="H12" authorId="0" shapeId="0" xr:uid="{DDA4706B-55D4-944C-A31E-307DA324B2CB}">
      <text>
        <r>
          <rPr>
            <b/>
            <sz val="10"/>
            <color rgb="FF000000"/>
            <rFont val="Tahoma"/>
            <family val="2"/>
          </rPr>
          <t>Keller, Zach:</t>
        </r>
        <r>
          <rPr>
            <sz val="10"/>
            <color rgb="FF000000"/>
            <rFont val="Tahoma"/>
            <family val="2"/>
          </rPr>
          <t xml:space="preserve">
Source: Forbes team page (Venue section, Oct 2025 list), https://www.forbes.com/teams/denver-nuggets/. Name shown is the building's current name (naming rights changed over time).</t>
        </r>
      </text>
    </comment>
    <comment ref="I12" authorId="0" shapeId="0" xr:uid="{21498A44-3C2C-7844-97B0-4EE41D4EAD99}">
      <text>
        <r>
          <rPr>
            <b/>
            <sz val="10"/>
            <color rgb="FF000000"/>
            <rFont val="Tahoma"/>
            <family val="2"/>
          </rPr>
          <t>Keller, Zach:</t>
        </r>
        <r>
          <rPr>
            <sz val="10"/>
            <color rgb="FF000000"/>
            <rFont val="Tahoma"/>
            <family val="2"/>
          </rPr>
          <t xml:space="preserve">
Source: Forbes team page (Venue section, Oct 2025 list), https://www.forbes.com/teams/denver-nuggets/. Name shown is the building's current name (naming rights changed over time).</t>
        </r>
      </text>
    </comment>
    <comment ref="J12" authorId="0" shapeId="0" xr:uid="{D92AC666-ACF9-C74A-997B-DA5EEEEFF3EC}">
      <text>
        <r>
          <rPr>
            <b/>
            <sz val="10"/>
            <color rgb="FF000000"/>
            <rFont val="Tahoma"/>
            <family val="2"/>
          </rPr>
          <t>Keller, Zach:</t>
        </r>
        <r>
          <rPr>
            <sz val="10"/>
            <color rgb="FF000000"/>
            <rFont val="Tahoma"/>
            <family val="2"/>
          </rPr>
          <t xml:space="preserve">
Source: Forbes team page (Venue section, Oct 2025 list), https://www.forbes.com/teams/denver-nuggets/. Name shown is the building's current name (naming rights changed over time).</t>
        </r>
      </text>
    </comment>
    <comment ref="K12" authorId="0" shapeId="0" xr:uid="{47AD0BBF-C989-8E4E-BB48-52DBCB1DBB97}">
      <text>
        <r>
          <rPr>
            <b/>
            <sz val="10"/>
            <color rgb="FF000000"/>
            <rFont val="Tahoma"/>
            <family val="2"/>
          </rPr>
          <t>Keller, Zach:</t>
        </r>
        <r>
          <rPr>
            <sz val="10"/>
            <color rgb="FF000000"/>
            <rFont val="Tahoma"/>
            <family val="2"/>
          </rPr>
          <t xml:space="preserve">
Source: Forbes team page (Venue section, Oct 2025 list), https://www.forbes.com/teams/denver-nuggets/. Name shown is the building's current name (naming rights changed over time).</t>
        </r>
      </text>
    </comment>
    <comment ref="B13" authorId="0" shapeId="0" xr:uid="{AC479D41-BB64-A141-80D9-2C5E5D9B0A04}">
      <text>
        <r>
          <rPr>
            <b/>
            <sz val="10"/>
            <color rgb="FF000000"/>
            <rFont val="Tahoma"/>
            <family val="2"/>
          </rPr>
          <t>Keller, Zach:</t>
        </r>
        <r>
          <rPr>
            <sz val="10"/>
            <color rgb="FF000000"/>
            <rFont val="Tahoma"/>
            <family val="2"/>
          </rPr>
          <t xml:space="preserve">
Pistons played at the Palace through 2016–17; final NBA game there Apr 10 2017. Source: Architectural Afterlife, https://architecturalafterlife.com/2020/03/palace-of-auburn-hills/</t>
        </r>
      </text>
    </comment>
    <comment ref="C13" authorId="0" shapeId="0" xr:uid="{F82204B5-B022-B847-819C-5FC7C08A7B46}">
      <text>
        <r>
          <rPr>
            <b/>
            <sz val="10"/>
            <color rgb="FF000000"/>
            <rFont val="Tahoma"/>
            <family val="2"/>
          </rPr>
          <t>Keller, Zach:</t>
        </r>
        <r>
          <rPr>
            <sz val="10"/>
            <color rgb="FF000000"/>
            <rFont val="Tahoma"/>
            <family val="2"/>
          </rPr>
          <t xml:space="preserve">
Pistons played at the Palace through 2016–17; final NBA game there Apr 10 2017. Source: Architectural Afterlife, https://architecturalafterlife.com/2020/03/palace-of-auburn-hills/</t>
        </r>
      </text>
    </comment>
    <comment ref="D13" authorId="0" shapeId="0" xr:uid="{14E3C411-B637-9648-88FD-C14382B71B42}">
      <text>
        <r>
          <rPr>
            <b/>
            <sz val="10"/>
            <color rgb="FF000000"/>
            <rFont val="Tahoma"/>
            <family val="2"/>
          </rPr>
          <t>Keller, Zach:</t>
        </r>
        <r>
          <rPr>
            <sz val="10"/>
            <color rgb="FF000000"/>
            <rFont val="Tahoma"/>
            <family val="2"/>
          </rPr>
          <t xml:space="preserve">
Source: Forbes team page (Venue section, Oct 2025 list), https://www.forbes.com/teams/detroit-pistons/. Name shown is the building's current name (naming rights changed over time).</t>
        </r>
      </text>
    </comment>
    <comment ref="E13" authorId="0" shapeId="0" xr:uid="{F2445534-69A2-154B-94CD-F09A97581CF8}">
      <text>
        <r>
          <rPr>
            <b/>
            <sz val="10"/>
            <color rgb="FF000000"/>
            <rFont val="Tahoma"/>
            <family val="2"/>
          </rPr>
          <t>Keller, Zach:</t>
        </r>
        <r>
          <rPr>
            <sz val="10"/>
            <color rgb="FF000000"/>
            <rFont val="Tahoma"/>
            <family val="2"/>
          </rPr>
          <t xml:space="preserve">
Source: Forbes team page (Venue section, Oct 2025 list), https://www.forbes.com/teams/detroit-pistons/. Name shown is the building's current name (naming rights changed over time).</t>
        </r>
      </text>
    </comment>
    <comment ref="F13" authorId="0" shapeId="0" xr:uid="{B53548DD-CE4B-5C42-9B2A-0279538C86EE}">
      <text>
        <r>
          <rPr>
            <b/>
            <sz val="10"/>
            <color rgb="FF000000"/>
            <rFont val="Tahoma"/>
            <family val="2"/>
          </rPr>
          <t>Keller, Zach:</t>
        </r>
        <r>
          <rPr>
            <sz val="10"/>
            <color rgb="FF000000"/>
            <rFont val="Tahoma"/>
            <family val="2"/>
          </rPr>
          <t xml:space="preserve">
Source: Forbes team page (Venue section, Oct 2025 list), https://www.forbes.com/teams/detroit-pistons/. Name shown is the building's current name (naming rights changed over time).</t>
        </r>
      </text>
    </comment>
    <comment ref="G13" authorId="0" shapeId="0" xr:uid="{10C3F82A-4004-6B49-9696-662A0FEE92C4}">
      <text>
        <r>
          <rPr>
            <b/>
            <sz val="10"/>
            <color rgb="FF000000"/>
            <rFont val="Tahoma"/>
            <family val="2"/>
          </rPr>
          <t>Keller, Zach:</t>
        </r>
        <r>
          <rPr>
            <sz val="10"/>
            <color rgb="FF000000"/>
            <rFont val="Tahoma"/>
            <family val="2"/>
          </rPr>
          <t xml:space="preserve">
Source: Forbes team page (Venue section, Oct 2025 list), https://www.forbes.com/teams/detroit-pistons/. Name shown is the building's current name (naming rights changed over time).</t>
        </r>
      </text>
    </comment>
    <comment ref="H13" authorId="0" shapeId="0" xr:uid="{196E883B-5F27-FA42-9E07-E1BB517B11D3}">
      <text>
        <r>
          <rPr>
            <b/>
            <sz val="10"/>
            <color rgb="FF000000"/>
            <rFont val="Tahoma"/>
            <family val="2"/>
          </rPr>
          <t>Keller, Zach:</t>
        </r>
        <r>
          <rPr>
            <sz val="10"/>
            <color rgb="FF000000"/>
            <rFont val="Tahoma"/>
            <family val="2"/>
          </rPr>
          <t xml:space="preserve">
Source: Forbes team page (Venue section, Oct 2025 list), https://www.forbes.com/teams/detroit-pistons/. Name shown is the building's current name (naming rights changed over time).</t>
        </r>
      </text>
    </comment>
    <comment ref="I13" authorId="0" shapeId="0" xr:uid="{213473B1-7489-6148-98A1-BBE2D519E85C}">
      <text>
        <r>
          <rPr>
            <b/>
            <sz val="10"/>
            <color rgb="FF000000"/>
            <rFont val="Tahoma"/>
            <family val="2"/>
          </rPr>
          <t>Keller, Zach:</t>
        </r>
        <r>
          <rPr>
            <sz val="10"/>
            <color rgb="FF000000"/>
            <rFont val="Tahoma"/>
            <family val="2"/>
          </rPr>
          <t xml:space="preserve">
Source: Forbes team page (Venue section, Oct 2025 list), https://www.forbes.com/teams/detroit-pistons/. Name shown is the building's current name (naming rights changed over time).</t>
        </r>
      </text>
    </comment>
    <comment ref="J13" authorId="0" shapeId="0" xr:uid="{02380BA3-DA87-4E4C-9E2B-7F80A42D3F8B}">
      <text>
        <r>
          <rPr>
            <b/>
            <sz val="10"/>
            <color rgb="FF000000"/>
            <rFont val="Tahoma"/>
            <family val="2"/>
          </rPr>
          <t>Keller, Zach:</t>
        </r>
        <r>
          <rPr>
            <sz val="10"/>
            <color rgb="FF000000"/>
            <rFont val="Tahoma"/>
            <family val="2"/>
          </rPr>
          <t xml:space="preserve">
Source: Forbes team page (Venue section, Oct 2025 list), https://www.forbes.com/teams/detroit-pistons/. Name shown is the building's current name (naming rights changed over time).</t>
        </r>
      </text>
    </comment>
    <comment ref="K13" authorId="0" shapeId="0" xr:uid="{C2FAD6C5-0CBB-324D-9C99-39598ED02813}">
      <text>
        <r>
          <rPr>
            <b/>
            <sz val="10"/>
            <color rgb="FF000000"/>
            <rFont val="Tahoma"/>
            <family val="2"/>
          </rPr>
          <t>Keller, Zach:</t>
        </r>
        <r>
          <rPr>
            <sz val="10"/>
            <color rgb="FF000000"/>
            <rFont val="Tahoma"/>
            <family val="2"/>
          </rPr>
          <t xml:space="preserve">
Source: Forbes team page (Venue section, Oct 2025 list), https://www.forbes.com/teams/detroit-pistons/. Name shown is the building's current name (naming rights changed over time).</t>
        </r>
      </text>
    </comment>
    <comment ref="B14" authorId="0" shapeId="0" xr:uid="{E4116335-D4C6-BD46-9C26-31ABA9B38CC9}">
      <text>
        <r>
          <rPr>
            <b/>
            <sz val="10"/>
            <color rgb="FF000000"/>
            <rFont val="Tahoma"/>
            <family val="2"/>
          </rPr>
          <t>Keller, Zach:</t>
        </r>
        <r>
          <rPr>
            <sz val="10"/>
            <color rgb="FF000000"/>
            <rFont val="Tahoma"/>
            <family val="2"/>
          </rPr>
          <t xml:space="preserve">
Warriors played at Oracle Arena through 2018–19, moving to Chase Center for 2019–20. Source: CBS SF, https://www.cbsnews.com/amp/sanfrancisco/news/warriors-oracle-arena-lease-extension-2018-19</t>
        </r>
      </text>
    </comment>
    <comment ref="C14" authorId="0" shapeId="0" xr:uid="{86EF4BEA-1EAF-5C48-B6B7-8D79377564B4}">
      <text>
        <r>
          <rPr>
            <b/>
            <sz val="10"/>
            <color rgb="FF000000"/>
            <rFont val="Tahoma"/>
            <family val="2"/>
          </rPr>
          <t>Keller, Zach:</t>
        </r>
        <r>
          <rPr>
            <sz val="10"/>
            <color rgb="FF000000"/>
            <rFont val="Tahoma"/>
            <family val="2"/>
          </rPr>
          <t xml:space="preserve">
Warriors played at Oracle Arena through 2018–19, moving to Chase Center for 2019–20. Source: CBS SF, https://www.cbsnews.com/amp/sanfrancisco/news/warriors-oracle-arena-lease-extension-2018-19</t>
        </r>
      </text>
    </comment>
    <comment ref="D14" authorId="0" shapeId="0" xr:uid="{2E1F947B-34CC-7E46-B670-0EA1CAADEF65}">
      <text>
        <r>
          <rPr>
            <b/>
            <sz val="10"/>
            <color rgb="FF000000"/>
            <rFont val="Tahoma"/>
            <family val="2"/>
          </rPr>
          <t>Keller, Zach:</t>
        </r>
        <r>
          <rPr>
            <sz val="10"/>
            <color rgb="FF000000"/>
            <rFont val="Tahoma"/>
            <family val="2"/>
          </rPr>
          <t xml:space="preserve">
Warriors played at Oracle Arena through 2018–19, moving to Chase Center for 2019–20. Source: CBS SF, https://www.cbsnews.com/amp/sanfrancisco/news/warriors-oracle-arena-lease-extension-2018-19</t>
        </r>
      </text>
    </comment>
    <comment ref="E14" authorId="0" shapeId="0" xr:uid="{CE0A4F17-1AF8-BE4A-945A-5FD7912E8F8D}">
      <text>
        <r>
          <rPr>
            <b/>
            <sz val="10"/>
            <color rgb="FF000000"/>
            <rFont val="Tahoma"/>
            <family val="2"/>
          </rPr>
          <t>Keller, Zach:</t>
        </r>
        <r>
          <rPr>
            <sz val="10"/>
            <color rgb="FF000000"/>
            <rFont val="Tahoma"/>
            <family val="2"/>
          </rPr>
          <t xml:space="preserve">
Warriors played at Oracle Arena through 2018–19, moving to Chase Center for 2019–20. Source: CBS SF, https://www.cbsnews.com/amp/sanfrancisco/news/warriors-oracle-arena-lease-extension-2018-19</t>
        </r>
      </text>
    </comment>
    <comment ref="F14" authorId="0" shapeId="0" xr:uid="{896876BB-2F99-7B42-B98A-6CEF569177CD}">
      <text>
        <r>
          <rPr>
            <b/>
            <sz val="10"/>
            <color rgb="FF000000"/>
            <rFont val="Tahoma"/>
            <family val="2"/>
          </rPr>
          <t>Keller, Zach:</t>
        </r>
        <r>
          <rPr>
            <sz val="10"/>
            <color rgb="FF000000"/>
            <rFont val="Tahoma"/>
            <family val="2"/>
          </rPr>
          <t xml:space="preserve">
Source: Forbes team page (Venue section, Oct 2025 list), https://www.forbes.com/teams/golden-state-warriors/. Name shown is the building's current name (naming rights changed over time).</t>
        </r>
      </text>
    </comment>
    <comment ref="G14" authorId="0" shapeId="0" xr:uid="{292990DD-2ECE-6340-8418-C784E79DC31D}">
      <text>
        <r>
          <rPr>
            <b/>
            <sz val="10"/>
            <color rgb="FF000000"/>
            <rFont val="Tahoma"/>
            <family val="2"/>
          </rPr>
          <t>Keller, Zach:</t>
        </r>
        <r>
          <rPr>
            <sz val="10"/>
            <color rgb="FF000000"/>
            <rFont val="Tahoma"/>
            <family val="2"/>
          </rPr>
          <t xml:space="preserve">
Source: Forbes team page (Venue section, Oct 2025 list), https://www.forbes.com/teams/golden-state-warriors/. Name shown is the building's current name (naming rights changed over time).</t>
        </r>
      </text>
    </comment>
    <comment ref="H14" authorId="0" shapeId="0" xr:uid="{FB550022-8E67-7042-A243-073B40F07DD2}">
      <text>
        <r>
          <rPr>
            <b/>
            <sz val="10"/>
            <color rgb="FF000000"/>
            <rFont val="Tahoma"/>
            <family val="2"/>
          </rPr>
          <t>Keller, Zach:</t>
        </r>
        <r>
          <rPr>
            <sz val="10"/>
            <color rgb="FF000000"/>
            <rFont val="Tahoma"/>
            <family val="2"/>
          </rPr>
          <t xml:space="preserve">
Source: Forbes team page (Venue section, Oct 2025 list), https://www.forbes.com/teams/golden-state-warriors/. Name shown is the building's current name (naming rights changed over time).</t>
        </r>
      </text>
    </comment>
    <comment ref="I14" authorId="0" shapeId="0" xr:uid="{85EDE791-8D4A-8949-8FDF-CA2EBCBB42DD}">
      <text>
        <r>
          <rPr>
            <b/>
            <sz val="10"/>
            <color rgb="FF000000"/>
            <rFont val="Tahoma"/>
            <family val="2"/>
          </rPr>
          <t>Keller, Zach:</t>
        </r>
        <r>
          <rPr>
            <sz val="10"/>
            <color rgb="FF000000"/>
            <rFont val="Tahoma"/>
            <family val="2"/>
          </rPr>
          <t xml:space="preserve">
Source: Forbes team page (Venue section, Oct 2025 list), https://www.forbes.com/teams/golden-state-warriors/. Name shown is the building's current name (naming rights changed over time).</t>
        </r>
      </text>
    </comment>
    <comment ref="J14" authorId="0" shapeId="0" xr:uid="{505ED089-64CD-3440-A10F-AB836D14D6AC}">
      <text>
        <r>
          <rPr>
            <b/>
            <sz val="10"/>
            <color rgb="FF000000"/>
            <rFont val="Tahoma"/>
            <family val="2"/>
          </rPr>
          <t>Keller, Zach:</t>
        </r>
        <r>
          <rPr>
            <sz val="10"/>
            <color rgb="FF000000"/>
            <rFont val="Tahoma"/>
            <family val="2"/>
          </rPr>
          <t xml:space="preserve">
Source: Forbes team page (Venue section, Oct 2025 list), https://www.forbes.com/teams/golden-state-warriors/. Name shown is the building's current name (naming rights changed over time).</t>
        </r>
      </text>
    </comment>
    <comment ref="K14" authorId="0" shapeId="0" xr:uid="{E9854863-FD2A-664D-8EC6-E8A0A0C08D0E}">
      <text>
        <r>
          <rPr>
            <b/>
            <sz val="10"/>
            <color rgb="FF000000"/>
            <rFont val="Tahoma"/>
            <family val="2"/>
          </rPr>
          <t>Keller, Zach:</t>
        </r>
        <r>
          <rPr>
            <sz val="10"/>
            <color rgb="FF000000"/>
            <rFont val="Tahoma"/>
            <family val="2"/>
          </rPr>
          <t xml:space="preserve">
Source: Forbes team page (Venue section, Oct 2025 list), https://www.forbes.com/teams/golden-state-warriors/. Name shown is the building's current name (naming rights changed over time).</t>
        </r>
      </text>
    </comment>
    <comment ref="B15" authorId="0" shapeId="0" xr:uid="{3B4150D5-9551-404D-9BD1-C137BB0D0D97}">
      <text>
        <r>
          <rPr>
            <b/>
            <sz val="10"/>
            <color rgb="FF000000"/>
            <rFont val="Tahoma"/>
            <family val="2"/>
          </rPr>
          <t>Keller, Zach:</t>
        </r>
        <r>
          <rPr>
            <sz val="10"/>
            <color rgb="FF000000"/>
            <rFont val="Tahoma"/>
            <family val="2"/>
          </rPr>
          <t xml:space="preserve">
Source: Forbes team page (Venue section, Oct 2025 list), https://www.forbes.com/teams/houston-rockets/. Name shown is the building's current name (naming rights changed over time).</t>
        </r>
      </text>
    </comment>
    <comment ref="C15" authorId="0" shapeId="0" xr:uid="{33143A88-915C-3A4C-83E7-869BBC2A0D86}">
      <text>
        <r>
          <rPr>
            <b/>
            <sz val="10"/>
            <color rgb="FF000000"/>
            <rFont val="Tahoma"/>
            <family val="2"/>
          </rPr>
          <t>Keller, Zach:</t>
        </r>
        <r>
          <rPr>
            <sz val="10"/>
            <color rgb="FF000000"/>
            <rFont val="Tahoma"/>
            <family val="2"/>
          </rPr>
          <t xml:space="preserve">
Source: Forbes team page (Venue section, Oct 2025 list), https://www.forbes.com/teams/houston-rockets/. Name shown is the building's current name (naming rights changed over time).</t>
        </r>
      </text>
    </comment>
    <comment ref="D15" authorId="0" shapeId="0" xr:uid="{D13C650C-3463-244A-9771-9CC5C3B7C904}">
      <text>
        <r>
          <rPr>
            <b/>
            <sz val="10"/>
            <color rgb="FF000000"/>
            <rFont val="Tahoma"/>
            <family val="2"/>
          </rPr>
          <t>Keller, Zach:</t>
        </r>
        <r>
          <rPr>
            <sz val="10"/>
            <color rgb="FF000000"/>
            <rFont val="Tahoma"/>
            <family val="2"/>
          </rPr>
          <t xml:space="preserve">
Source: Forbes team page (Venue section, Oct 2025 list), https://www.forbes.com/teams/houston-rockets/. Name shown is the building's current name (naming rights changed over time).</t>
        </r>
      </text>
    </comment>
    <comment ref="E15" authorId="0" shapeId="0" xr:uid="{A2BDEBA1-3360-E140-B75F-C7EF2B552852}">
      <text>
        <r>
          <rPr>
            <b/>
            <sz val="10"/>
            <color rgb="FF000000"/>
            <rFont val="Tahoma"/>
            <family val="2"/>
          </rPr>
          <t>Keller, Zach:</t>
        </r>
        <r>
          <rPr>
            <sz val="10"/>
            <color rgb="FF000000"/>
            <rFont val="Tahoma"/>
            <family val="2"/>
          </rPr>
          <t xml:space="preserve">
Source: Forbes team page (Venue section, Oct 2025 list), https://www.forbes.com/teams/houston-rockets/. Name shown is the building's current name (naming rights changed over time).</t>
        </r>
      </text>
    </comment>
    <comment ref="F15" authorId="0" shapeId="0" xr:uid="{8E18C71E-32C3-4E47-A50B-9B874826DA58}">
      <text>
        <r>
          <rPr>
            <b/>
            <sz val="10"/>
            <color rgb="FF000000"/>
            <rFont val="Tahoma"/>
            <family val="2"/>
          </rPr>
          <t>Keller, Zach:</t>
        </r>
        <r>
          <rPr>
            <sz val="10"/>
            <color rgb="FF000000"/>
            <rFont val="Tahoma"/>
            <family val="2"/>
          </rPr>
          <t xml:space="preserve">
Source: Forbes team page (Venue section, Oct 2025 list), https://www.forbes.com/teams/houston-rockets/. Name shown is the building's current name (naming rights changed over time).</t>
        </r>
      </text>
    </comment>
    <comment ref="G15" authorId="0" shapeId="0" xr:uid="{CEC96DB8-B8DE-D94B-9BAE-FCD053DD2A05}">
      <text>
        <r>
          <rPr>
            <b/>
            <sz val="10"/>
            <color rgb="FF000000"/>
            <rFont val="Tahoma"/>
            <family val="2"/>
          </rPr>
          <t>Keller, Zach:</t>
        </r>
        <r>
          <rPr>
            <sz val="10"/>
            <color rgb="FF000000"/>
            <rFont val="Tahoma"/>
            <family val="2"/>
          </rPr>
          <t xml:space="preserve">
Source: Forbes team page (Venue section, Oct 2025 list), https://www.forbes.com/teams/houston-rockets/. Name shown is the building's current name (naming rights changed over time).</t>
        </r>
      </text>
    </comment>
    <comment ref="H15" authorId="0" shapeId="0" xr:uid="{C997EC62-ED7E-E04D-8AC0-2D13D42173B6}">
      <text>
        <r>
          <rPr>
            <b/>
            <sz val="10"/>
            <color rgb="FF000000"/>
            <rFont val="Tahoma"/>
            <family val="2"/>
          </rPr>
          <t>Keller, Zach:</t>
        </r>
        <r>
          <rPr>
            <sz val="10"/>
            <color rgb="FF000000"/>
            <rFont val="Tahoma"/>
            <family val="2"/>
          </rPr>
          <t xml:space="preserve">
Source: Forbes team page (Venue section, Oct 2025 list), https://www.forbes.com/teams/houston-rockets/. Name shown is the building's current name (naming rights changed over time).</t>
        </r>
      </text>
    </comment>
    <comment ref="I15" authorId="0" shapeId="0" xr:uid="{1CBD1554-7338-2948-802A-16FD154C45A2}">
      <text>
        <r>
          <rPr>
            <b/>
            <sz val="10"/>
            <color rgb="FF000000"/>
            <rFont val="Tahoma"/>
            <family val="2"/>
          </rPr>
          <t>Keller, Zach:</t>
        </r>
        <r>
          <rPr>
            <sz val="10"/>
            <color rgb="FF000000"/>
            <rFont val="Tahoma"/>
            <family val="2"/>
          </rPr>
          <t xml:space="preserve">
Source: Forbes team page (Venue section, Oct 2025 list), https://www.forbes.com/teams/houston-rockets/. Name shown is the building's current name (naming rights changed over time).</t>
        </r>
      </text>
    </comment>
    <comment ref="J15" authorId="0" shapeId="0" xr:uid="{47F5CE3A-EB80-FB44-BD21-48EE3B440637}">
      <text>
        <r>
          <rPr>
            <b/>
            <sz val="10"/>
            <color rgb="FF000000"/>
            <rFont val="Tahoma"/>
            <family val="2"/>
          </rPr>
          <t>Keller, Zach:</t>
        </r>
        <r>
          <rPr>
            <sz val="10"/>
            <color rgb="FF000000"/>
            <rFont val="Tahoma"/>
            <family val="2"/>
          </rPr>
          <t xml:space="preserve">
Source: Forbes team page (Venue section, Oct 2025 list), https://www.forbes.com/teams/houston-rockets/. Name shown is the building's current name (naming rights changed over time).</t>
        </r>
      </text>
    </comment>
    <comment ref="K15" authorId="0" shapeId="0" xr:uid="{36133D5C-BE08-AE41-B57F-35B409605D76}">
      <text>
        <r>
          <rPr>
            <b/>
            <sz val="10"/>
            <color rgb="FF000000"/>
            <rFont val="Tahoma"/>
            <family val="2"/>
          </rPr>
          <t>Keller, Zach:</t>
        </r>
        <r>
          <rPr>
            <sz val="10"/>
            <color rgb="FF000000"/>
            <rFont val="Tahoma"/>
            <family val="2"/>
          </rPr>
          <t xml:space="preserve">
Source: Forbes team page (Venue section, Oct 2025 list), https://www.forbes.com/teams/houston-rockets/. Name shown is the building's current name (naming rights changed over time).</t>
        </r>
      </text>
    </comment>
    <comment ref="B16" authorId="0" shapeId="0" xr:uid="{4CFCE2B2-E905-3F40-8C37-7B6A339938E6}">
      <text>
        <r>
          <rPr>
            <b/>
            <sz val="10"/>
            <color rgb="FF000000"/>
            <rFont val="Tahoma"/>
            <family val="2"/>
          </rPr>
          <t>Keller, Zach:</t>
        </r>
        <r>
          <rPr>
            <sz val="10"/>
            <color rgb="FF000000"/>
            <rFont val="Tahoma"/>
            <family val="2"/>
          </rPr>
          <t xml:space="preserve">
Source: Forbes team page (Venue section, Oct 2025 list), https://www.forbes.com/teams/indiana-pacers/. Name shown is the building's current name (naming rights changed over time).</t>
        </r>
      </text>
    </comment>
    <comment ref="C16" authorId="0" shapeId="0" xr:uid="{A90887F5-C9FC-C748-A45D-5B17B18F0486}">
      <text>
        <r>
          <rPr>
            <b/>
            <sz val="10"/>
            <color rgb="FF000000"/>
            <rFont val="Tahoma"/>
            <family val="2"/>
          </rPr>
          <t>Keller, Zach:</t>
        </r>
        <r>
          <rPr>
            <sz val="10"/>
            <color rgb="FF000000"/>
            <rFont val="Tahoma"/>
            <family val="2"/>
          </rPr>
          <t xml:space="preserve">
Source: Forbes team page (Venue section, Oct 2025 list), https://www.forbes.com/teams/indiana-pacers/. Name shown is the building's current name (naming rights changed over time).</t>
        </r>
      </text>
    </comment>
    <comment ref="D16" authorId="0" shapeId="0" xr:uid="{B67FC646-EEE1-CB4B-8FC8-F83B4FD36EF1}">
      <text>
        <r>
          <rPr>
            <b/>
            <sz val="10"/>
            <color rgb="FF000000"/>
            <rFont val="Tahoma"/>
            <family val="2"/>
          </rPr>
          <t>Keller, Zach:</t>
        </r>
        <r>
          <rPr>
            <sz val="10"/>
            <color rgb="FF000000"/>
            <rFont val="Tahoma"/>
            <family val="2"/>
          </rPr>
          <t xml:space="preserve">
Source: Forbes team page (Venue section, Oct 2025 list), https://www.forbes.com/teams/indiana-pacers/. Name shown is the building's current name (naming rights changed over time).</t>
        </r>
      </text>
    </comment>
    <comment ref="E16" authorId="0" shapeId="0" xr:uid="{9DEE8172-E036-0D4C-9043-1946EFAB79C2}">
      <text>
        <r>
          <rPr>
            <b/>
            <sz val="10"/>
            <color rgb="FF000000"/>
            <rFont val="Tahoma"/>
            <family val="2"/>
          </rPr>
          <t>Keller, Zach:</t>
        </r>
        <r>
          <rPr>
            <sz val="10"/>
            <color rgb="FF000000"/>
            <rFont val="Tahoma"/>
            <family val="2"/>
          </rPr>
          <t xml:space="preserve">
</t>
        </r>
        <r>
          <rPr>
            <sz val="10"/>
            <color rgb="FF000000"/>
            <rFont val="Tahoma"/>
            <family val="2"/>
          </rPr>
          <t>Source: Forbes team page (Venue section, Oct 2025 list), https://www.forbes.com/teams/indiana-pacers/. Name shown is the building's current name (naming rights changed over time).</t>
        </r>
      </text>
    </comment>
    <comment ref="F16" authorId="0" shapeId="0" xr:uid="{FD8F436F-0410-B045-9BAD-CAF6EFD1A278}">
      <text>
        <r>
          <rPr>
            <b/>
            <sz val="10"/>
            <color rgb="FF000000"/>
            <rFont val="Tahoma"/>
            <family val="2"/>
          </rPr>
          <t>Keller, Zach:</t>
        </r>
        <r>
          <rPr>
            <sz val="10"/>
            <color rgb="FF000000"/>
            <rFont val="Tahoma"/>
            <family val="2"/>
          </rPr>
          <t xml:space="preserve">
Source: Forbes team page (Venue section, Oct 2025 list), https://www.forbes.com/teams/indiana-pacers/. Name shown is the building's current name (naming rights changed over time).</t>
        </r>
      </text>
    </comment>
    <comment ref="G16" authorId="0" shapeId="0" xr:uid="{9E5BFE78-CAB9-954D-8F17-C82AA95C7622}">
      <text>
        <r>
          <rPr>
            <b/>
            <sz val="10"/>
            <color rgb="FF000000"/>
            <rFont val="Tahoma"/>
            <family val="2"/>
          </rPr>
          <t>Keller, Zach:</t>
        </r>
        <r>
          <rPr>
            <sz val="10"/>
            <color rgb="FF000000"/>
            <rFont val="Tahoma"/>
            <family val="2"/>
          </rPr>
          <t xml:space="preserve">
Source: Forbes team page (Venue section, Oct 2025 list), https://www.forbes.com/teams/indiana-pacers/. Name shown is the building's current name (naming rights changed over time).</t>
        </r>
      </text>
    </comment>
    <comment ref="H16" authorId="0" shapeId="0" xr:uid="{2DE5FCA8-9E21-F343-81DF-548E8E2E95C6}">
      <text>
        <r>
          <rPr>
            <b/>
            <sz val="10"/>
            <color rgb="FF000000"/>
            <rFont val="Tahoma"/>
            <family val="2"/>
          </rPr>
          <t>Keller, Zach:</t>
        </r>
        <r>
          <rPr>
            <sz val="10"/>
            <color rgb="FF000000"/>
            <rFont val="Tahoma"/>
            <family val="2"/>
          </rPr>
          <t xml:space="preserve">
Source: Forbes team page (Venue section, Oct 2025 list), https://www.forbes.com/teams/indiana-pacers/. Name shown is the building's current name (naming rights changed over time).</t>
        </r>
      </text>
    </comment>
    <comment ref="I16" authorId="0" shapeId="0" xr:uid="{C6C7BDAF-8949-5641-8A95-8DF619633A64}">
      <text>
        <r>
          <rPr>
            <b/>
            <sz val="10"/>
            <color rgb="FF000000"/>
            <rFont val="Tahoma"/>
            <family val="2"/>
          </rPr>
          <t>Keller, Zach:</t>
        </r>
        <r>
          <rPr>
            <sz val="10"/>
            <color rgb="FF000000"/>
            <rFont val="Tahoma"/>
            <family val="2"/>
          </rPr>
          <t xml:space="preserve">
Source: Forbes team page (Venue section, Oct 2025 list), https://www.forbes.com/teams/indiana-pacers/. Name shown is the building's current name (naming rights changed over time).</t>
        </r>
      </text>
    </comment>
    <comment ref="J16" authorId="0" shapeId="0" xr:uid="{C65A8FF8-14DA-C941-B7B4-6B1ADD9AD3A2}">
      <text>
        <r>
          <rPr>
            <b/>
            <sz val="10"/>
            <color rgb="FF000000"/>
            <rFont val="Tahoma"/>
            <family val="2"/>
          </rPr>
          <t>Keller, Zach:</t>
        </r>
        <r>
          <rPr>
            <sz val="10"/>
            <color rgb="FF000000"/>
            <rFont val="Tahoma"/>
            <family val="2"/>
          </rPr>
          <t xml:space="preserve">
Source: Forbes team page (Venue section, Oct 2025 list), https://www.forbes.com/teams/indiana-pacers/. Name shown is the building's current name (naming rights changed over time).</t>
        </r>
      </text>
    </comment>
    <comment ref="K16" authorId="0" shapeId="0" xr:uid="{F18D2BC9-518E-7645-8763-C805D455AEDA}">
      <text>
        <r>
          <rPr>
            <b/>
            <sz val="10"/>
            <color rgb="FF000000"/>
            <rFont val="Tahoma"/>
            <family val="2"/>
          </rPr>
          <t>Keller, Zach:</t>
        </r>
        <r>
          <rPr>
            <sz val="10"/>
            <color rgb="FF000000"/>
            <rFont val="Tahoma"/>
            <family val="2"/>
          </rPr>
          <t xml:space="preserve">
Source: Forbes team page (Venue section, Oct 2025 list), https://www.forbes.com/teams/indiana-pacers/. Name shown is the building's current name (naming rights changed over time).</t>
        </r>
      </text>
    </comment>
    <comment ref="B17" authorId="0" shapeId="0" xr:uid="{F2C89E79-6E59-2E4B-86CB-2285FE9C2299}">
      <text>
        <r>
          <rPr>
            <b/>
            <sz val="10"/>
            <color rgb="FF000000"/>
            <rFont val="Tahoma"/>
            <family val="2"/>
          </rPr>
          <t>Keller, Zach:</t>
        </r>
        <r>
          <rPr>
            <sz val="10"/>
            <color rgb="FF000000"/>
            <rFont val="Tahoma"/>
            <family val="2"/>
          </rPr>
          <t xml:space="preserve">
Clippers played at Staples Center / Crypto.com Arena through 2023–24; Intuit Dome opened 2024. Source: Forbes team page, https://www.forbes.com/teams/los-angeles-clippers/ (Intuit Dome 2024) and https://www.forbes.com/teams/los-angeles-lakers/</t>
        </r>
      </text>
    </comment>
    <comment ref="C17" authorId="0" shapeId="0" xr:uid="{59BAFDB2-029F-CB4D-B40A-CB67C29CE517}">
      <text>
        <r>
          <rPr>
            <b/>
            <sz val="10"/>
            <color rgb="FF000000"/>
            <rFont val="Tahoma"/>
            <family val="2"/>
          </rPr>
          <t>Keller, Zach:</t>
        </r>
        <r>
          <rPr>
            <sz val="10"/>
            <color rgb="FF000000"/>
            <rFont val="Tahoma"/>
            <family val="2"/>
          </rPr>
          <t xml:space="preserve">
Clippers played at Staples Center / Crypto.com Arena through 2023–24; Intuit Dome opened 2024. Source: Forbes team page, https://www.forbes.com/teams/los-angeles-clippers/ (Intuit Dome 2024) and https://www.forbes.com/teams/los-angeles-lakers/</t>
        </r>
      </text>
    </comment>
    <comment ref="D17" authorId="0" shapeId="0" xr:uid="{49EBBF66-D8C8-824F-80E6-DF3DC92FCFBB}">
      <text>
        <r>
          <rPr>
            <b/>
            <sz val="10"/>
            <color rgb="FF000000"/>
            <rFont val="Tahoma"/>
            <family val="2"/>
          </rPr>
          <t>Keller, Zach:</t>
        </r>
        <r>
          <rPr>
            <sz val="10"/>
            <color rgb="FF000000"/>
            <rFont val="Tahoma"/>
            <family val="2"/>
          </rPr>
          <t xml:space="preserve">
Clippers played at Staples Center / Crypto.com Arena through 2023–24; Intuit Dome opened 2024. Source: Forbes team page, https://www.forbes.com/teams/los-angeles-clippers/ (Intuit Dome 2024) and https://www.forbes.com/teams/los-angeles-lakers/</t>
        </r>
      </text>
    </comment>
    <comment ref="E17" authorId="0" shapeId="0" xr:uid="{9D1A7DC9-CFA3-3544-A558-7A0817D5FDB1}">
      <text>
        <r>
          <rPr>
            <b/>
            <sz val="10"/>
            <color rgb="FF000000"/>
            <rFont val="Tahoma"/>
            <family val="2"/>
          </rPr>
          <t>Keller, Zach:</t>
        </r>
        <r>
          <rPr>
            <sz val="10"/>
            <color rgb="FF000000"/>
            <rFont val="Tahoma"/>
            <family val="2"/>
          </rPr>
          <t xml:space="preserve">
Clippers played at Staples Center / Crypto.com Arena through 2023–24; Intuit Dome opened 2024. Source: Forbes team page, https://www.forbes.com/teams/los-angeles-clippers/ (Intuit Dome 2024) and https://www.forbes.com/teams/los-angeles-lakers/</t>
        </r>
      </text>
    </comment>
    <comment ref="F17" authorId="0" shapeId="0" xr:uid="{4F0E63DC-FEA3-A44B-8319-15793B9B7C4A}">
      <text>
        <r>
          <rPr>
            <b/>
            <sz val="10"/>
            <color rgb="FF000000"/>
            <rFont val="Tahoma"/>
            <family val="2"/>
          </rPr>
          <t>Keller, Zach:</t>
        </r>
        <r>
          <rPr>
            <sz val="10"/>
            <color rgb="FF000000"/>
            <rFont val="Tahoma"/>
            <family val="2"/>
          </rPr>
          <t xml:space="preserve">
Clippers played at Staples Center / Crypto.com Arena through 2023–24; Intuit Dome opened 2024. Source: Forbes team page, https://www.forbes.com/teams/los-angeles-clippers/ (Intuit Dome 2024) and https://www.forbes.com/teams/los-angeles-lakers/</t>
        </r>
      </text>
    </comment>
    <comment ref="G17" authorId="0" shapeId="0" xr:uid="{4D828BBB-077B-7247-8FA6-423F30F50910}">
      <text>
        <r>
          <rPr>
            <b/>
            <sz val="10"/>
            <color rgb="FF000000"/>
            <rFont val="Tahoma"/>
            <family val="2"/>
          </rPr>
          <t>Keller, Zach:</t>
        </r>
        <r>
          <rPr>
            <sz val="10"/>
            <color rgb="FF000000"/>
            <rFont val="Tahoma"/>
            <family val="2"/>
          </rPr>
          <t xml:space="preserve">
Clippers played at Staples Center / Crypto.com Arena through 2023–24; Intuit Dome opened 2024. Source: Forbes team page, https://www.forbes.com/teams/los-angeles-clippers/ (Intuit Dome 2024) and https://www.forbes.com/teams/los-angeles-lakers/</t>
        </r>
      </text>
    </comment>
    <comment ref="H17" authorId="0" shapeId="0" xr:uid="{456C0E86-8EE9-124B-B243-C5FD111727EB}">
      <text>
        <r>
          <rPr>
            <b/>
            <sz val="10"/>
            <color rgb="FF000000"/>
            <rFont val="Tahoma"/>
            <family val="2"/>
          </rPr>
          <t>Keller, Zach:</t>
        </r>
        <r>
          <rPr>
            <sz val="10"/>
            <color rgb="FF000000"/>
            <rFont val="Tahoma"/>
            <family val="2"/>
          </rPr>
          <t xml:space="preserve">
Clippers played at Staples Center / Crypto.com Arena through 2023–24; Intuit Dome opened 2024. Source: Forbes team page, https://www.forbes.com/teams/los-angeles-clippers/ (Intuit Dome 2024) and https://www.forbes.com/teams/los-angeles-lakers/</t>
        </r>
      </text>
    </comment>
    <comment ref="I17" authorId="0" shapeId="0" xr:uid="{D88628A4-716D-4046-B9A1-065413C23B6A}">
      <text>
        <r>
          <rPr>
            <b/>
            <sz val="10"/>
            <color rgb="FF000000"/>
            <rFont val="Tahoma"/>
            <family val="2"/>
          </rPr>
          <t>Keller, Zach:</t>
        </r>
        <r>
          <rPr>
            <sz val="10"/>
            <color rgb="FF000000"/>
            <rFont val="Tahoma"/>
            <family val="2"/>
          </rPr>
          <t xml:space="preserve">
Clippers played at Staples Center / Crypto.com Arena through 2023–24; Intuit Dome opened 2024. Source: Forbes team page, https://www.forbes.com/teams/los-angeles-clippers/ (Intuit Dome 2024) and https://www.forbes.com/teams/los-angeles-lakers/</t>
        </r>
      </text>
    </comment>
    <comment ref="J17" authorId="0" shapeId="0" xr:uid="{5F76347A-1993-984E-98DE-C4B68FCB6BE1}">
      <text>
        <r>
          <rPr>
            <b/>
            <sz val="10"/>
            <color rgb="FF000000"/>
            <rFont val="Tahoma"/>
            <family val="2"/>
          </rPr>
          <t>Keller, Zach:</t>
        </r>
        <r>
          <rPr>
            <sz val="10"/>
            <color rgb="FF000000"/>
            <rFont val="Tahoma"/>
            <family val="2"/>
          </rPr>
          <t xml:space="preserve">
Clippers played at Staples Center / Crypto.com Arena through 2023–24; Intuit Dome opened 2024. Source: Forbes team page, https://www.forbes.com/teams/los-angeles-clippers/ (Intuit Dome 2024) and https://www.forbes.com/teams/los-angeles-lakers/</t>
        </r>
      </text>
    </comment>
    <comment ref="K17" authorId="0" shapeId="0" xr:uid="{2FD1C328-6AA8-1D46-AC3C-D43C474D9099}">
      <text>
        <r>
          <rPr>
            <b/>
            <sz val="10"/>
            <color rgb="FF000000"/>
            <rFont val="Tahoma"/>
            <family val="2"/>
          </rPr>
          <t>Keller, Zach:</t>
        </r>
        <r>
          <rPr>
            <sz val="10"/>
            <color rgb="FF000000"/>
            <rFont val="Tahoma"/>
            <family val="2"/>
          </rPr>
          <t xml:space="preserve">
Source: Forbes team page (Venue section, Oct 2025 list), https://www.forbes.com/teams/los-angeles-clippers/. Name shown is the building's current name (naming rights changed over time).</t>
        </r>
      </text>
    </comment>
    <comment ref="B18" authorId="0" shapeId="0" xr:uid="{CBD13670-0257-8D4C-9879-9457ACF952F2}">
      <text>
        <r>
          <rPr>
            <b/>
            <sz val="10"/>
            <color rgb="FF000000"/>
            <rFont val="Tahoma"/>
            <family val="2"/>
          </rPr>
          <t>Keller, Zach:</t>
        </r>
        <r>
          <rPr>
            <sz val="10"/>
            <color rgb="FF000000"/>
            <rFont val="Tahoma"/>
            <family val="2"/>
          </rPr>
          <t xml:space="preserve">
Source: Forbes team page (Venue section, Oct 2025 list), https://www.forbes.com/teams/los-angeles-lakers/. Name shown is the building's current name (naming rights changed over time).</t>
        </r>
      </text>
    </comment>
    <comment ref="C18" authorId="0" shapeId="0" xr:uid="{2E2387CF-6D36-2D43-9C17-CC64F30AB02E}">
      <text>
        <r>
          <rPr>
            <b/>
            <sz val="10"/>
            <color rgb="FF000000"/>
            <rFont val="Tahoma"/>
            <family val="2"/>
          </rPr>
          <t>Keller, Zach:</t>
        </r>
        <r>
          <rPr>
            <sz val="10"/>
            <color rgb="FF000000"/>
            <rFont val="Tahoma"/>
            <family val="2"/>
          </rPr>
          <t xml:space="preserve">
Source: Forbes team page (Venue section, Oct 2025 list), https://www.forbes.com/teams/los-angeles-lakers/. Name shown is the building's current name (naming rights changed over time).</t>
        </r>
      </text>
    </comment>
    <comment ref="D18" authorId="0" shapeId="0" xr:uid="{FF761202-4D3A-8E4A-A256-FB9F81D6060B}">
      <text>
        <r>
          <rPr>
            <b/>
            <sz val="10"/>
            <color rgb="FF000000"/>
            <rFont val="Tahoma"/>
            <family val="2"/>
          </rPr>
          <t>Keller, Zach:</t>
        </r>
        <r>
          <rPr>
            <sz val="10"/>
            <color rgb="FF000000"/>
            <rFont val="Tahoma"/>
            <family val="2"/>
          </rPr>
          <t xml:space="preserve">
Source: Forbes team page (Venue section, Oct 2025 list), https://www.forbes.com/teams/los-angeles-lakers/. Name shown is the building's current name (naming rights changed over time).</t>
        </r>
      </text>
    </comment>
    <comment ref="E18" authorId="0" shapeId="0" xr:uid="{9742F371-2D62-AF4E-87C6-018ADBD7E581}">
      <text>
        <r>
          <rPr>
            <b/>
            <sz val="10"/>
            <color rgb="FF000000"/>
            <rFont val="Tahoma"/>
            <family val="2"/>
          </rPr>
          <t>Keller, Zach:</t>
        </r>
        <r>
          <rPr>
            <sz val="10"/>
            <color rgb="FF000000"/>
            <rFont val="Tahoma"/>
            <family val="2"/>
          </rPr>
          <t xml:space="preserve">
Source: Forbes team page (Venue section, Oct 2025 list), https://www.forbes.com/teams/los-angeles-lakers/. Name shown is the building's current name (naming rights changed over time).</t>
        </r>
      </text>
    </comment>
    <comment ref="F18" authorId="0" shapeId="0" xr:uid="{8B149274-AB42-9346-A652-EABD976FCDCC}">
      <text>
        <r>
          <rPr>
            <b/>
            <sz val="10"/>
            <color rgb="FF000000"/>
            <rFont val="Tahoma"/>
            <family val="2"/>
          </rPr>
          <t>Keller, Zach:</t>
        </r>
        <r>
          <rPr>
            <sz val="10"/>
            <color rgb="FF000000"/>
            <rFont val="Tahoma"/>
            <family val="2"/>
          </rPr>
          <t xml:space="preserve">
Source: Forbes team page (Venue section, Oct 2025 list), https://www.forbes.com/teams/los-angeles-lakers/. Name shown is the building's current name (naming rights changed over time).</t>
        </r>
      </text>
    </comment>
    <comment ref="G18" authorId="0" shapeId="0" xr:uid="{79638445-8576-234F-981F-E1DDF1B01476}">
      <text>
        <r>
          <rPr>
            <b/>
            <sz val="10"/>
            <color rgb="FF000000"/>
            <rFont val="Tahoma"/>
            <family val="2"/>
          </rPr>
          <t>Keller, Zach:</t>
        </r>
        <r>
          <rPr>
            <sz val="10"/>
            <color rgb="FF000000"/>
            <rFont val="Tahoma"/>
            <family val="2"/>
          </rPr>
          <t xml:space="preserve">
Source: Forbes team page (Venue section, Oct 2025 list), https://www.forbes.com/teams/los-angeles-lakers/. Name shown is the building's current name (naming rights changed over time).</t>
        </r>
      </text>
    </comment>
    <comment ref="H18" authorId="0" shapeId="0" xr:uid="{4090565B-D58B-0A48-B9B7-9ECA13096EA0}">
      <text>
        <r>
          <rPr>
            <b/>
            <sz val="10"/>
            <color rgb="FF000000"/>
            <rFont val="Tahoma"/>
            <family val="2"/>
          </rPr>
          <t>Keller, Zach:</t>
        </r>
        <r>
          <rPr>
            <sz val="10"/>
            <color rgb="FF000000"/>
            <rFont val="Tahoma"/>
            <family val="2"/>
          </rPr>
          <t xml:space="preserve">
Source: Forbes team page (Venue section, Oct 2025 list), https://www.forbes.com/teams/los-angeles-lakers/. Name shown is the building's current name (naming rights changed over time).</t>
        </r>
      </text>
    </comment>
    <comment ref="I18" authorId="0" shapeId="0" xr:uid="{5D950A4B-EE67-644C-B386-848499606ABE}">
      <text>
        <r>
          <rPr>
            <b/>
            <sz val="10"/>
            <color rgb="FF000000"/>
            <rFont val="Tahoma"/>
            <family val="2"/>
          </rPr>
          <t>Keller, Zach:</t>
        </r>
        <r>
          <rPr>
            <sz val="10"/>
            <color rgb="FF000000"/>
            <rFont val="Tahoma"/>
            <family val="2"/>
          </rPr>
          <t xml:space="preserve">
Source: Forbes team page (Venue section, Oct 2025 list), https://www.forbes.com/teams/los-angeles-lakers/. Name shown is the building's current name (naming rights changed over time).</t>
        </r>
      </text>
    </comment>
    <comment ref="J18" authorId="0" shapeId="0" xr:uid="{3B5546AA-176B-8645-86BA-08603A678E05}">
      <text>
        <r>
          <rPr>
            <b/>
            <sz val="10"/>
            <color rgb="FF000000"/>
            <rFont val="Tahoma"/>
            <family val="2"/>
          </rPr>
          <t>Keller, Zach:</t>
        </r>
        <r>
          <rPr>
            <sz val="10"/>
            <color rgb="FF000000"/>
            <rFont val="Tahoma"/>
            <family val="2"/>
          </rPr>
          <t xml:space="preserve">
Source: Forbes team page (Venue section, Oct 2025 list), https://www.forbes.com/teams/los-angeles-lakers/. Name shown is the building's current name (naming rights changed over time).</t>
        </r>
      </text>
    </comment>
    <comment ref="K18" authorId="0" shapeId="0" xr:uid="{B1594455-256D-1D45-AC46-554A31CE2ECF}">
      <text>
        <r>
          <rPr>
            <b/>
            <sz val="10"/>
            <color rgb="FF000000"/>
            <rFont val="Tahoma"/>
            <family val="2"/>
          </rPr>
          <t>Keller, Zach:</t>
        </r>
        <r>
          <rPr>
            <sz val="10"/>
            <color rgb="FF000000"/>
            <rFont val="Tahoma"/>
            <family val="2"/>
          </rPr>
          <t xml:space="preserve">
Source: Forbes team page (Venue section, Oct 2025 list), https://www.forbes.com/teams/los-angeles-lakers/. Name shown is the building's current name (naming rights changed over time).</t>
        </r>
      </text>
    </comment>
    <comment ref="B19" authorId="0" shapeId="0" xr:uid="{67E53001-8934-6342-8D6E-BB6DED4082CE}">
      <text>
        <r>
          <rPr>
            <b/>
            <sz val="10"/>
            <color rgb="FF000000"/>
            <rFont val="Tahoma"/>
            <family val="2"/>
          </rPr>
          <t>Keller, Zach:</t>
        </r>
        <r>
          <rPr>
            <sz val="10"/>
            <color rgb="FF000000"/>
            <rFont val="Tahoma"/>
            <family val="2"/>
          </rPr>
          <t xml:space="preserve">
Source: Forbes team page (Venue section, Oct 2025 list), https://www.forbes.com/teams/memphis-grizzlies/. Name shown is the building's current name (naming rights changed over time).</t>
        </r>
      </text>
    </comment>
    <comment ref="C19" authorId="0" shapeId="0" xr:uid="{D882B34E-B7FA-1E47-A2EF-626AC7B916E0}">
      <text>
        <r>
          <rPr>
            <b/>
            <sz val="10"/>
            <color rgb="FF000000"/>
            <rFont val="Tahoma"/>
            <family val="2"/>
          </rPr>
          <t>Keller, Zach:</t>
        </r>
        <r>
          <rPr>
            <sz val="10"/>
            <color rgb="FF000000"/>
            <rFont val="Tahoma"/>
            <family val="2"/>
          </rPr>
          <t xml:space="preserve">
Source: Forbes team page (Venue section, Oct 2025 list), https://www.forbes.com/teams/memphis-grizzlies/. Name shown is the building's current name (naming rights changed over time).</t>
        </r>
      </text>
    </comment>
    <comment ref="D19" authorId="0" shapeId="0" xr:uid="{676C2210-F3AC-0D42-BA6E-969F57F113B3}">
      <text>
        <r>
          <rPr>
            <b/>
            <sz val="10"/>
            <color rgb="FF000000"/>
            <rFont val="Tahoma"/>
            <family val="2"/>
          </rPr>
          <t>Keller, Zach:</t>
        </r>
        <r>
          <rPr>
            <sz val="10"/>
            <color rgb="FF000000"/>
            <rFont val="Tahoma"/>
            <family val="2"/>
          </rPr>
          <t xml:space="preserve">
Source: Forbes team page (Venue section, Oct 2025 list), https://www.forbes.com/teams/memphis-grizzlies/. Name shown is the building's current name (naming rights changed over time).</t>
        </r>
      </text>
    </comment>
    <comment ref="E19" authorId="0" shapeId="0" xr:uid="{155254FD-F5A3-9C4E-AAC7-6761C80504BE}">
      <text>
        <r>
          <rPr>
            <b/>
            <sz val="10"/>
            <color rgb="FF000000"/>
            <rFont val="Tahoma"/>
            <family val="2"/>
          </rPr>
          <t>Keller, Zach:</t>
        </r>
        <r>
          <rPr>
            <sz val="10"/>
            <color rgb="FF000000"/>
            <rFont val="Tahoma"/>
            <family val="2"/>
          </rPr>
          <t xml:space="preserve">
Source: Forbes team page (Venue section, Oct 2025 list), https://www.forbes.com/teams/memphis-grizzlies/. Name shown is the building's current name (naming rights changed over time).</t>
        </r>
      </text>
    </comment>
    <comment ref="F19" authorId="0" shapeId="0" xr:uid="{17E40399-16A2-054F-AC9F-310C6A6F499D}">
      <text>
        <r>
          <rPr>
            <b/>
            <sz val="10"/>
            <color rgb="FF000000"/>
            <rFont val="Tahoma"/>
            <family val="2"/>
          </rPr>
          <t>Keller, Zach:</t>
        </r>
        <r>
          <rPr>
            <sz val="10"/>
            <color rgb="FF000000"/>
            <rFont val="Tahoma"/>
            <family val="2"/>
          </rPr>
          <t xml:space="preserve">
Source: Forbes team page (Venue section, Oct 2025 list), https://www.forbes.com/teams/memphis-grizzlies/. Name shown is the building's current name (naming rights changed over time).</t>
        </r>
      </text>
    </comment>
    <comment ref="G19" authorId="0" shapeId="0" xr:uid="{577A28DC-F61C-E043-B478-5BBD75F7FC5F}">
      <text>
        <r>
          <rPr>
            <b/>
            <sz val="10"/>
            <color rgb="FF000000"/>
            <rFont val="Tahoma"/>
            <family val="2"/>
          </rPr>
          <t>Keller, Zach:</t>
        </r>
        <r>
          <rPr>
            <sz val="10"/>
            <color rgb="FF000000"/>
            <rFont val="Tahoma"/>
            <family val="2"/>
          </rPr>
          <t xml:space="preserve">
Source: Forbes team page (Venue section, Oct 2025 list), https://www.forbes.com/teams/memphis-grizzlies/. Name shown is the building's current name (naming rights changed over time).</t>
        </r>
      </text>
    </comment>
    <comment ref="H19" authorId="0" shapeId="0" xr:uid="{5F2D8A42-7613-5844-8513-BB610A96998A}">
      <text>
        <r>
          <rPr>
            <b/>
            <sz val="10"/>
            <color rgb="FF000000"/>
            <rFont val="Tahoma"/>
            <family val="2"/>
          </rPr>
          <t>Keller, Zach:</t>
        </r>
        <r>
          <rPr>
            <sz val="10"/>
            <color rgb="FF000000"/>
            <rFont val="Tahoma"/>
            <family val="2"/>
          </rPr>
          <t xml:space="preserve">
Source: Forbes team page (Venue section, Oct 2025 list), https://www.forbes.com/teams/memphis-grizzlies/. Name shown is the building's current name (naming rights changed over time).</t>
        </r>
      </text>
    </comment>
    <comment ref="I19" authorId="0" shapeId="0" xr:uid="{9FF2A000-6539-7447-ADB0-0436EA4864CA}">
      <text>
        <r>
          <rPr>
            <b/>
            <sz val="10"/>
            <color rgb="FF000000"/>
            <rFont val="Tahoma"/>
            <family val="2"/>
          </rPr>
          <t>Keller, Zach:</t>
        </r>
        <r>
          <rPr>
            <sz val="10"/>
            <color rgb="FF000000"/>
            <rFont val="Tahoma"/>
            <family val="2"/>
          </rPr>
          <t xml:space="preserve">
Source: Forbes team page (Venue section, Oct 2025 list), https://www.forbes.com/teams/memphis-grizzlies/. Name shown is the building's current name (naming rights changed over time).</t>
        </r>
      </text>
    </comment>
    <comment ref="J19" authorId="0" shapeId="0" xr:uid="{CF6F907B-FD40-EC40-91F7-FF4A5E4449B4}">
      <text>
        <r>
          <rPr>
            <b/>
            <sz val="10"/>
            <color rgb="FF000000"/>
            <rFont val="Tahoma"/>
            <family val="2"/>
          </rPr>
          <t>Keller, Zach:</t>
        </r>
        <r>
          <rPr>
            <sz val="10"/>
            <color rgb="FF000000"/>
            <rFont val="Tahoma"/>
            <family val="2"/>
          </rPr>
          <t xml:space="preserve">
Source: Forbes team page (Venue section, Oct 2025 list), https://www.forbes.com/teams/memphis-grizzlies/. Name shown is the building's current name (naming rights changed over time).</t>
        </r>
      </text>
    </comment>
    <comment ref="K19" authorId="0" shapeId="0" xr:uid="{98D6AD1E-A59C-F54A-B45D-B0692E4F6352}">
      <text>
        <r>
          <rPr>
            <b/>
            <sz val="10"/>
            <color rgb="FF000000"/>
            <rFont val="Tahoma"/>
            <family val="2"/>
          </rPr>
          <t>Keller, Zach:</t>
        </r>
        <r>
          <rPr>
            <sz val="10"/>
            <color rgb="FF000000"/>
            <rFont val="Tahoma"/>
            <family val="2"/>
          </rPr>
          <t xml:space="preserve">
Source: Forbes team page (Venue section, Oct 2025 list), https://www.forbes.com/teams/memphis-grizzlies/. Name shown is the building's current name (naming rights changed over time).</t>
        </r>
      </text>
    </comment>
    <comment ref="B20" authorId="0" shapeId="0" xr:uid="{2EA2AEBD-733D-AA4C-A6DE-F64DE5468E6A}">
      <text>
        <r>
          <rPr>
            <b/>
            <sz val="10"/>
            <color rgb="FF000000"/>
            <rFont val="Tahoma"/>
            <family val="2"/>
          </rPr>
          <t>Keller, Zach:</t>
        </r>
        <r>
          <rPr>
            <sz val="10"/>
            <color rgb="FF000000"/>
            <rFont val="Tahoma"/>
            <family val="2"/>
          </rPr>
          <t xml:space="preserve">
Source: Forbes team page (Venue section, Oct 2025 list), https://www.forbes.com/teams/miami-heat/. Name shown is the building's current name (naming rights changed over time).</t>
        </r>
      </text>
    </comment>
    <comment ref="C20" authorId="0" shapeId="0" xr:uid="{E5BBBED8-6B94-114E-BE61-DEC4C98F64D6}">
      <text>
        <r>
          <rPr>
            <b/>
            <sz val="10"/>
            <color rgb="FF000000"/>
            <rFont val="Tahoma"/>
            <family val="2"/>
          </rPr>
          <t>Keller, Zach:</t>
        </r>
        <r>
          <rPr>
            <sz val="10"/>
            <color rgb="FF000000"/>
            <rFont val="Tahoma"/>
            <family val="2"/>
          </rPr>
          <t xml:space="preserve">
Source: Forbes team page (Venue section, Oct 2025 list), https://www.forbes.com/teams/miami-heat/. Name shown is the building's current name (naming rights changed over time).</t>
        </r>
      </text>
    </comment>
    <comment ref="D20" authorId="0" shapeId="0" xr:uid="{4A02119E-BF05-A346-AF5E-EB8F2A6CAACD}">
      <text>
        <r>
          <rPr>
            <b/>
            <sz val="10"/>
            <color rgb="FF000000"/>
            <rFont val="Tahoma"/>
            <family val="2"/>
          </rPr>
          <t>Keller, Zach:</t>
        </r>
        <r>
          <rPr>
            <sz val="10"/>
            <color rgb="FF000000"/>
            <rFont val="Tahoma"/>
            <family val="2"/>
          </rPr>
          <t xml:space="preserve">
Source: Forbes team page (Venue section, Oct 2025 list), https://www.forbes.com/teams/miami-heat/. Name shown is the building's current name (naming rights changed over time).</t>
        </r>
      </text>
    </comment>
    <comment ref="E20" authorId="0" shapeId="0" xr:uid="{E510EB40-8209-924D-BDDB-28997675C125}">
      <text>
        <r>
          <rPr>
            <b/>
            <sz val="10"/>
            <color rgb="FF000000"/>
            <rFont val="Tahoma"/>
            <family val="2"/>
          </rPr>
          <t>Keller, Zach:</t>
        </r>
        <r>
          <rPr>
            <sz val="10"/>
            <color rgb="FF000000"/>
            <rFont val="Tahoma"/>
            <family val="2"/>
          </rPr>
          <t xml:space="preserve">
Source: Forbes team page (Venue section, Oct 2025 list), https://www.forbes.com/teams/miami-heat/. Name shown is the building's current name (naming rights changed over time).</t>
        </r>
      </text>
    </comment>
    <comment ref="F20" authorId="0" shapeId="0" xr:uid="{875C36EB-10E5-7E45-97D7-74DF6E9E180E}">
      <text>
        <r>
          <rPr>
            <b/>
            <sz val="10"/>
            <color rgb="FF000000"/>
            <rFont val="Tahoma"/>
            <family val="2"/>
          </rPr>
          <t>Keller, Zach:</t>
        </r>
        <r>
          <rPr>
            <sz val="10"/>
            <color rgb="FF000000"/>
            <rFont val="Tahoma"/>
            <family val="2"/>
          </rPr>
          <t xml:space="preserve">
Source: Forbes team page (Venue section, Oct 2025 list), https://www.forbes.com/teams/miami-heat/. Name shown is the building's current name (naming rights changed over time).</t>
        </r>
      </text>
    </comment>
    <comment ref="G20" authorId="0" shapeId="0" xr:uid="{DACDC8A4-4947-B04C-99C2-5D4423976371}">
      <text>
        <r>
          <rPr>
            <b/>
            <sz val="10"/>
            <color rgb="FF000000"/>
            <rFont val="Tahoma"/>
            <family val="2"/>
          </rPr>
          <t>Keller, Zach:</t>
        </r>
        <r>
          <rPr>
            <sz val="10"/>
            <color rgb="FF000000"/>
            <rFont val="Tahoma"/>
            <family val="2"/>
          </rPr>
          <t xml:space="preserve">
Source: Forbes team page (Venue section, Oct 2025 list), https://www.forbes.com/teams/miami-heat/. Name shown is the building's current name (naming rights changed over time).</t>
        </r>
      </text>
    </comment>
    <comment ref="H20" authorId="0" shapeId="0" xr:uid="{C1F3F31D-5E4A-114F-9361-3D4577E584D2}">
      <text>
        <r>
          <rPr>
            <b/>
            <sz val="10"/>
            <color rgb="FF000000"/>
            <rFont val="Tahoma"/>
            <family val="2"/>
          </rPr>
          <t>Keller, Zach:</t>
        </r>
        <r>
          <rPr>
            <sz val="10"/>
            <color rgb="FF000000"/>
            <rFont val="Tahoma"/>
            <family val="2"/>
          </rPr>
          <t xml:space="preserve">
Source: Forbes team page (Venue section, Oct 2025 list), https://www.forbes.com/teams/miami-heat/. Name shown is the building's current name (naming rights changed over time).</t>
        </r>
      </text>
    </comment>
    <comment ref="I20" authorId="0" shapeId="0" xr:uid="{D791A1DB-9304-4843-9DF7-893AF21883AF}">
      <text>
        <r>
          <rPr>
            <b/>
            <sz val="10"/>
            <color rgb="FF000000"/>
            <rFont val="Tahoma"/>
            <family val="2"/>
          </rPr>
          <t>Keller, Zach:</t>
        </r>
        <r>
          <rPr>
            <sz val="10"/>
            <color rgb="FF000000"/>
            <rFont val="Tahoma"/>
            <family val="2"/>
          </rPr>
          <t xml:space="preserve">
Source: Forbes team page (Venue section, Oct 2025 list), https://www.forbes.com/teams/miami-heat/. Name shown is the building's current name (naming rights changed over time).</t>
        </r>
      </text>
    </comment>
    <comment ref="J20" authorId="0" shapeId="0" xr:uid="{406E1B21-5598-2347-B8CD-1C4533701748}">
      <text>
        <r>
          <rPr>
            <b/>
            <sz val="10"/>
            <color rgb="FF000000"/>
            <rFont val="Tahoma"/>
            <family val="2"/>
          </rPr>
          <t>Keller, Zach:</t>
        </r>
        <r>
          <rPr>
            <sz val="10"/>
            <color rgb="FF000000"/>
            <rFont val="Tahoma"/>
            <family val="2"/>
          </rPr>
          <t xml:space="preserve">
Source: Forbes team page (Venue section, Oct 2025 list), https://www.forbes.com/teams/miami-heat/. Name shown is the building's current name (naming rights changed over time).</t>
        </r>
      </text>
    </comment>
    <comment ref="K20" authorId="0" shapeId="0" xr:uid="{628C3163-1393-DA4D-9E05-1B30DA4F9F78}">
      <text>
        <r>
          <rPr>
            <b/>
            <sz val="10"/>
            <color rgb="FF000000"/>
            <rFont val="Tahoma"/>
            <family val="2"/>
          </rPr>
          <t>Keller, Zach:</t>
        </r>
        <r>
          <rPr>
            <sz val="10"/>
            <color rgb="FF000000"/>
            <rFont val="Tahoma"/>
            <family val="2"/>
          </rPr>
          <t xml:space="preserve">
Source: Forbes team page (Venue section, Oct 2025 list), https://www.forbes.com/teams/miami-heat/. Name shown is the building's current name (naming rights changed over time).</t>
        </r>
      </text>
    </comment>
    <comment ref="B21" authorId="0" shapeId="0" xr:uid="{E896D3EF-7D41-5D4A-87E3-62F3973FCCC6}">
      <text>
        <r>
          <rPr>
            <b/>
            <sz val="10"/>
            <color rgb="FF000000"/>
            <rFont val="Tahoma"/>
            <family val="2"/>
          </rPr>
          <t>Keller, Zach:</t>
        </r>
        <r>
          <rPr>
            <sz val="10"/>
            <color rgb="FF000000"/>
            <rFont val="Tahoma"/>
            <family val="2"/>
          </rPr>
          <t xml:space="preserve">
Bucks' home 1988–2018; replaced by Fiserv Forum for 2018–19. Source: Stadium Journey, https://www.stadiumjourney.com/stadiums/bmo-harris-bradley-center-milwaukee-bucks</t>
        </r>
      </text>
    </comment>
    <comment ref="C21" authorId="0" shapeId="0" xr:uid="{E4996BC3-7491-C341-B80D-F547E0A54DA4}">
      <text>
        <r>
          <rPr>
            <b/>
            <sz val="10"/>
            <color rgb="FF000000"/>
            <rFont val="Tahoma"/>
            <family val="2"/>
          </rPr>
          <t>Keller, Zach:</t>
        </r>
        <r>
          <rPr>
            <sz val="10"/>
            <color rgb="FF000000"/>
            <rFont val="Tahoma"/>
            <family val="2"/>
          </rPr>
          <t xml:space="preserve">
Bucks' home 1988–2018; replaced by Fiserv Forum for 2018–19. Source: Stadium Journey, https://www.stadiumjourney.com/stadiums/bmo-harris-bradley-center-milwaukee-bucks</t>
        </r>
      </text>
    </comment>
    <comment ref="D21" authorId="0" shapeId="0" xr:uid="{F74B5148-4DFB-3340-84C8-7B1ACCFB13E3}">
      <text>
        <r>
          <rPr>
            <b/>
            <sz val="10"/>
            <color rgb="FF000000"/>
            <rFont val="Tahoma"/>
            <family val="2"/>
          </rPr>
          <t>Keller, Zach:</t>
        </r>
        <r>
          <rPr>
            <sz val="10"/>
            <color rgb="FF000000"/>
            <rFont val="Tahoma"/>
            <family val="2"/>
          </rPr>
          <t xml:space="preserve">
Bucks' home 1988–2018; replaced by Fiserv Forum for 2018–19. Source: Stadium Journey, https://www.stadiumjourney.com/stadiums/bmo-harris-bradley-center-milwaukee-bucks</t>
        </r>
      </text>
    </comment>
    <comment ref="E21" authorId="0" shapeId="0" xr:uid="{70BA2801-30B5-424B-BDCD-6AA131D093C9}">
      <text>
        <r>
          <rPr>
            <b/>
            <sz val="10"/>
            <color rgb="FF000000"/>
            <rFont val="Tahoma"/>
            <family val="2"/>
          </rPr>
          <t>Keller, Zach:</t>
        </r>
        <r>
          <rPr>
            <sz val="10"/>
            <color rgb="FF000000"/>
            <rFont val="Tahoma"/>
            <family val="2"/>
          </rPr>
          <t xml:space="preserve">
Source: Forbes team page (Venue section, Oct 2025 list), https://www.forbes.com/teams/milwaukee-bucks/. Name shown is the building's current name (naming rights changed over time).</t>
        </r>
      </text>
    </comment>
    <comment ref="F21" authorId="0" shapeId="0" xr:uid="{3B4910BB-CE51-4640-97E8-8E652DCD5D8A}">
      <text>
        <r>
          <rPr>
            <b/>
            <sz val="10"/>
            <color rgb="FF000000"/>
            <rFont val="Tahoma"/>
            <family val="2"/>
          </rPr>
          <t>Keller, Zach:</t>
        </r>
        <r>
          <rPr>
            <sz val="10"/>
            <color rgb="FF000000"/>
            <rFont val="Tahoma"/>
            <family val="2"/>
          </rPr>
          <t xml:space="preserve">
Source: Forbes team page (Venue section, Oct 2025 list), https://www.forbes.com/teams/milwaukee-bucks/. Name shown is the building's current name (naming rights changed over time).</t>
        </r>
      </text>
    </comment>
    <comment ref="G21" authorId="0" shapeId="0" xr:uid="{D5AB3737-BE1E-1F46-ADD0-106E2C56E6BE}">
      <text>
        <r>
          <rPr>
            <b/>
            <sz val="10"/>
            <color rgb="FF000000"/>
            <rFont val="Tahoma"/>
            <family val="2"/>
          </rPr>
          <t>Keller, Zach:</t>
        </r>
        <r>
          <rPr>
            <sz val="10"/>
            <color rgb="FF000000"/>
            <rFont val="Tahoma"/>
            <family val="2"/>
          </rPr>
          <t xml:space="preserve">
Source: Forbes team page (Venue section, Oct 2025 list), https://www.forbes.com/teams/milwaukee-bucks/. Name shown is the building's current name (naming rights changed over time).</t>
        </r>
      </text>
    </comment>
    <comment ref="H21" authorId="0" shapeId="0" xr:uid="{96F98430-DD66-7142-A5DA-32B0810C6032}">
      <text>
        <r>
          <rPr>
            <b/>
            <sz val="10"/>
            <color rgb="FF000000"/>
            <rFont val="Tahoma"/>
            <family val="2"/>
          </rPr>
          <t>Keller, Zach:</t>
        </r>
        <r>
          <rPr>
            <sz val="10"/>
            <color rgb="FF000000"/>
            <rFont val="Tahoma"/>
            <family val="2"/>
          </rPr>
          <t xml:space="preserve">
Source: Forbes team page (Venue section, Oct 2025 list), https://www.forbes.com/teams/milwaukee-bucks/. Name shown is the building's current name (naming rights changed over time).</t>
        </r>
      </text>
    </comment>
    <comment ref="I21" authorId="0" shapeId="0" xr:uid="{4C7B437A-6447-9D40-BB26-6944F5811AAE}">
      <text>
        <r>
          <rPr>
            <b/>
            <sz val="10"/>
            <color rgb="FF000000"/>
            <rFont val="Tahoma"/>
            <family val="2"/>
          </rPr>
          <t>Keller, Zach:</t>
        </r>
        <r>
          <rPr>
            <sz val="10"/>
            <color rgb="FF000000"/>
            <rFont val="Tahoma"/>
            <family val="2"/>
          </rPr>
          <t xml:space="preserve">
Source: Forbes team page (Venue section, Oct 2025 list), https://www.forbes.com/teams/milwaukee-bucks/. Name shown is the building's current name (naming rights changed over time).</t>
        </r>
      </text>
    </comment>
    <comment ref="J21" authorId="0" shapeId="0" xr:uid="{63DB15EF-6902-EA46-9DE2-269520D8B7FB}">
      <text>
        <r>
          <rPr>
            <b/>
            <sz val="10"/>
            <color rgb="FF000000"/>
            <rFont val="Tahoma"/>
            <family val="2"/>
          </rPr>
          <t>Keller, Zach:</t>
        </r>
        <r>
          <rPr>
            <sz val="10"/>
            <color rgb="FF000000"/>
            <rFont val="Tahoma"/>
            <family val="2"/>
          </rPr>
          <t xml:space="preserve">
Source: Forbes team page (Venue section, Oct 2025 list), https://www.forbes.com/teams/milwaukee-bucks/. Name shown is the building's current name (naming rights changed over time).</t>
        </r>
      </text>
    </comment>
    <comment ref="K21" authorId="0" shapeId="0" xr:uid="{6AA699AB-2BA1-A944-9C7D-86923A6B55AA}">
      <text>
        <r>
          <rPr>
            <b/>
            <sz val="10"/>
            <color rgb="FF000000"/>
            <rFont val="Tahoma"/>
            <family val="2"/>
          </rPr>
          <t>Keller, Zach:</t>
        </r>
        <r>
          <rPr>
            <sz val="10"/>
            <color rgb="FF000000"/>
            <rFont val="Tahoma"/>
            <family val="2"/>
          </rPr>
          <t xml:space="preserve">
Source: Forbes team page (Venue section, Oct 2025 list), https://www.forbes.com/teams/milwaukee-bucks/. Name shown is the building's current name (naming rights changed over time).</t>
        </r>
      </text>
    </comment>
    <comment ref="B22" authorId="0" shapeId="0" xr:uid="{8DCEE232-DDF6-C94F-AC55-8BC4EC5DC0E2}">
      <text>
        <r>
          <rPr>
            <b/>
            <sz val="10"/>
            <color rgb="FF000000"/>
            <rFont val="Tahoma"/>
            <family val="2"/>
          </rPr>
          <t>Keller, Zach:</t>
        </r>
        <r>
          <rPr>
            <sz val="10"/>
            <color rgb="FF000000"/>
            <rFont val="Tahoma"/>
            <family val="2"/>
          </rPr>
          <t xml:space="preserve">
Source: Forbes team page (Venue section, Oct 2025 list), https://www.forbes.com/teams/minnesota-timberwolves/. Name shown is the building's current name (naming rights changed over time).</t>
        </r>
      </text>
    </comment>
    <comment ref="C22" authorId="0" shapeId="0" xr:uid="{CFB94924-B3C8-D546-85F7-C670212378F6}">
      <text>
        <r>
          <rPr>
            <b/>
            <sz val="10"/>
            <color rgb="FF000000"/>
            <rFont val="Tahoma"/>
            <family val="2"/>
          </rPr>
          <t>Keller, Zach:</t>
        </r>
        <r>
          <rPr>
            <sz val="10"/>
            <color rgb="FF000000"/>
            <rFont val="Tahoma"/>
            <family val="2"/>
          </rPr>
          <t xml:space="preserve">
Source: Forbes team page (Venue section, Oct 2025 list), https://www.forbes.com/teams/minnesota-timberwolves/. Name shown is the building's current name (naming rights changed over time).</t>
        </r>
      </text>
    </comment>
    <comment ref="D22" authorId="0" shapeId="0" xr:uid="{067CF2C3-C7E3-6E42-B096-DE037007A554}">
      <text>
        <r>
          <rPr>
            <b/>
            <sz val="10"/>
            <color rgb="FF000000"/>
            <rFont val="Tahoma"/>
            <family val="2"/>
          </rPr>
          <t>Keller, Zach:</t>
        </r>
        <r>
          <rPr>
            <sz val="10"/>
            <color rgb="FF000000"/>
            <rFont val="Tahoma"/>
            <family val="2"/>
          </rPr>
          <t xml:space="preserve">
Source: Forbes team page (Venue section, Oct 2025 list), https://www.forbes.com/teams/minnesota-timberwolves/. Name shown is the building's current name (naming rights changed over time).</t>
        </r>
      </text>
    </comment>
    <comment ref="E22" authorId="0" shapeId="0" xr:uid="{9C816CA9-661F-2748-9D24-22F52702F1AB}">
      <text>
        <r>
          <rPr>
            <b/>
            <sz val="10"/>
            <color rgb="FF000000"/>
            <rFont val="Tahoma"/>
            <family val="2"/>
          </rPr>
          <t>Keller, Zach:</t>
        </r>
        <r>
          <rPr>
            <sz val="10"/>
            <color rgb="FF000000"/>
            <rFont val="Tahoma"/>
            <family val="2"/>
          </rPr>
          <t xml:space="preserve">
Source: Forbes team page (Venue section, Oct 2025 list), https://www.forbes.com/teams/minnesota-timberwolves/. Name shown is the building's current name (naming rights changed over time).</t>
        </r>
      </text>
    </comment>
    <comment ref="F22" authorId="0" shapeId="0" xr:uid="{C40DE7E3-760B-B94C-AA21-6CCC23BD08C2}">
      <text>
        <r>
          <rPr>
            <b/>
            <sz val="10"/>
            <color rgb="FF000000"/>
            <rFont val="Tahoma"/>
            <family val="2"/>
          </rPr>
          <t>Keller, Zach:</t>
        </r>
        <r>
          <rPr>
            <sz val="10"/>
            <color rgb="FF000000"/>
            <rFont val="Tahoma"/>
            <family val="2"/>
          </rPr>
          <t xml:space="preserve">
Source: Forbes team page (Venue section, Oct 2025 list), https://www.forbes.com/teams/minnesota-timberwolves/. Name shown is the building's current name (naming rights changed over time).</t>
        </r>
      </text>
    </comment>
    <comment ref="G22" authorId="0" shapeId="0" xr:uid="{DADCA4EB-0642-3149-9634-E75D010087B5}">
      <text>
        <r>
          <rPr>
            <b/>
            <sz val="10"/>
            <color rgb="FF000000"/>
            <rFont val="Tahoma"/>
            <family val="2"/>
          </rPr>
          <t>Keller, Zach:</t>
        </r>
        <r>
          <rPr>
            <sz val="10"/>
            <color rgb="FF000000"/>
            <rFont val="Tahoma"/>
            <family val="2"/>
          </rPr>
          <t xml:space="preserve">
Source: Forbes team page (Venue section, Oct 2025 list), https://www.forbes.com/teams/minnesota-timberwolves/. Name shown is the building's current name (naming rights changed over time).</t>
        </r>
      </text>
    </comment>
    <comment ref="H22" authorId="0" shapeId="0" xr:uid="{18AC5E29-DF0F-DA49-B137-66EC946A3F33}">
      <text>
        <r>
          <rPr>
            <b/>
            <sz val="10"/>
            <color rgb="FF000000"/>
            <rFont val="Tahoma"/>
            <family val="2"/>
          </rPr>
          <t>Keller, Zach:</t>
        </r>
        <r>
          <rPr>
            <sz val="10"/>
            <color rgb="FF000000"/>
            <rFont val="Tahoma"/>
            <family val="2"/>
          </rPr>
          <t xml:space="preserve">
Source: Forbes team page (Venue section, Oct 2025 list), https://www.forbes.com/teams/minnesota-timberwolves/. Name shown is the building's current name (naming rights changed over time).</t>
        </r>
      </text>
    </comment>
    <comment ref="I22" authorId="0" shapeId="0" xr:uid="{15961AD6-D533-A747-B406-BE3F5BE7BE7B}">
      <text>
        <r>
          <rPr>
            <b/>
            <sz val="10"/>
            <color rgb="FF000000"/>
            <rFont val="Tahoma"/>
            <family val="2"/>
          </rPr>
          <t>Keller, Zach:</t>
        </r>
        <r>
          <rPr>
            <sz val="10"/>
            <color rgb="FF000000"/>
            <rFont val="Tahoma"/>
            <family val="2"/>
          </rPr>
          <t xml:space="preserve">
Source: Forbes team page (Venue section, Oct 2025 list), https://www.forbes.com/teams/minnesota-timberwolves/. Name shown is the building's current name (naming rights changed over time).</t>
        </r>
      </text>
    </comment>
    <comment ref="J22" authorId="0" shapeId="0" xr:uid="{96A99E67-0596-4447-A3E5-0A1B9C247CD8}">
      <text>
        <r>
          <rPr>
            <b/>
            <sz val="10"/>
            <color rgb="FF000000"/>
            <rFont val="Tahoma"/>
            <family val="2"/>
          </rPr>
          <t>Keller, Zach:</t>
        </r>
        <r>
          <rPr>
            <sz val="10"/>
            <color rgb="FF000000"/>
            <rFont val="Tahoma"/>
            <family val="2"/>
          </rPr>
          <t xml:space="preserve">
Source: Forbes team page (Venue section, Oct 2025 list), https://www.forbes.com/teams/minnesota-timberwolves/. Name shown is the building's current name (naming rights changed over time).</t>
        </r>
      </text>
    </comment>
    <comment ref="K22" authorId="0" shapeId="0" xr:uid="{BF2EE976-6752-7E43-927F-7D4DAFC41EF4}">
      <text>
        <r>
          <rPr>
            <b/>
            <sz val="10"/>
            <color rgb="FF000000"/>
            <rFont val="Tahoma"/>
            <family val="2"/>
          </rPr>
          <t>Keller, Zach:</t>
        </r>
        <r>
          <rPr>
            <sz val="10"/>
            <color rgb="FF000000"/>
            <rFont val="Tahoma"/>
            <family val="2"/>
          </rPr>
          <t xml:space="preserve">
Source: Forbes team page (Venue section, Oct 2025 list), https://www.forbes.com/teams/minnesota-timberwolves/. Name shown is the building's current name (naming rights changed over time).</t>
        </r>
      </text>
    </comment>
    <comment ref="B23" authorId="0" shapeId="0" xr:uid="{381ED8A1-3743-8642-8A23-81973012D07D}">
      <text>
        <r>
          <rPr>
            <b/>
            <sz val="10"/>
            <color rgb="FF000000"/>
            <rFont val="Tahoma"/>
            <family val="2"/>
          </rPr>
          <t>Keller, Zach:</t>
        </r>
        <r>
          <rPr>
            <sz val="10"/>
            <color rgb="FF000000"/>
            <rFont val="Tahoma"/>
            <family val="2"/>
          </rPr>
          <t xml:space="preserve">
Source: Forbes team page (Venue section, Oct 2025 list), https://www.forbes.com/teams/new-orleans-pelicans/. Name shown is the building's current name (naming rights changed over time).</t>
        </r>
      </text>
    </comment>
    <comment ref="C23" authorId="0" shapeId="0" xr:uid="{314DB549-FF2B-724B-83CB-C940D2E9937D}">
      <text>
        <r>
          <rPr>
            <b/>
            <sz val="10"/>
            <color rgb="FF000000"/>
            <rFont val="Tahoma"/>
            <family val="2"/>
          </rPr>
          <t>Keller, Zach:</t>
        </r>
        <r>
          <rPr>
            <sz val="10"/>
            <color rgb="FF000000"/>
            <rFont val="Tahoma"/>
            <family val="2"/>
          </rPr>
          <t xml:space="preserve">
Source: Forbes team page (Venue section, Oct 2025 list), https://www.forbes.com/teams/new-orleans-pelicans/. Name shown is the building's current name (naming rights changed over time).</t>
        </r>
      </text>
    </comment>
    <comment ref="D23" authorId="0" shapeId="0" xr:uid="{433E84AC-A053-A840-BC2F-4A901CF4D401}">
      <text>
        <r>
          <rPr>
            <b/>
            <sz val="10"/>
            <color rgb="FF000000"/>
            <rFont val="Tahoma"/>
            <family val="2"/>
          </rPr>
          <t>Keller, Zach:</t>
        </r>
        <r>
          <rPr>
            <sz val="10"/>
            <color rgb="FF000000"/>
            <rFont val="Tahoma"/>
            <family val="2"/>
          </rPr>
          <t xml:space="preserve">
Source: Forbes team page (Venue section, Oct 2025 list), https://www.forbes.com/teams/new-orleans-pelicans/. Name shown is the building's current name (naming rights changed over time).</t>
        </r>
      </text>
    </comment>
    <comment ref="E23" authorId="0" shapeId="0" xr:uid="{8C468561-D114-734D-841F-4D3CCD783085}">
      <text>
        <r>
          <rPr>
            <b/>
            <sz val="10"/>
            <color rgb="FF000000"/>
            <rFont val="Tahoma"/>
            <family val="2"/>
          </rPr>
          <t>Keller, Zach:</t>
        </r>
        <r>
          <rPr>
            <sz val="10"/>
            <color rgb="FF000000"/>
            <rFont val="Tahoma"/>
            <family val="2"/>
          </rPr>
          <t xml:space="preserve">
Source: Forbes team page (Venue section, Oct 2025 list), https://www.forbes.com/teams/new-orleans-pelicans/. Name shown is the building's current name (naming rights changed over time).</t>
        </r>
      </text>
    </comment>
    <comment ref="F23" authorId="0" shapeId="0" xr:uid="{8CE34A84-6D3F-5B42-9321-CF174EB7BA0B}">
      <text>
        <r>
          <rPr>
            <b/>
            <sz val="10"/>
            <color rgb="FF000000"/>
            <rFont val="Tahoma"/>
            <family val="2"/>
          </rPr>
          <t>Keller, Zach:</t>
        </r>
        <r>
          <rPr>
            <sz val="10"/>
            <color rgb="FF000000"/>
            <rFont val="Tahoma"/>
            <family val="2"/>
          </rPr>
          <t xml:space="preserve">
Source: Forbes team page (Venue section, Oct 2025 list), https://www.forbes.com/teams/new-orleans-pelicans/. Name shown is the building's current name (naming rights changed over time).</t>
        </r>
      </text>
    </comment>
    <comment ref="G23" authorId="0" shapeId="0" xr:uid="{828F4B62-EA47-7C4B-9614-6BA56C47D0D6}">
      <text>
        <r>
          <rPr>
            <b/>
            <sz val="10"/>
            <color rgb="FF000000"/>
            <rFont val="Tahoma"/>
            <family val="2"/>
          </rPr>
          <t>Keller, Zach:</t>
        </r>
        <r>
          <rPr>
            <sz val="10"/>
            <color rgb="FF000000"/>
            <rFont val="Tahoma"/>
            <family val="2"/>
          </rPr>
          <t xml:space="preserve">
Source: Forbes team page (Venue section, Oct 2025 list), https://www.forbes.com/teams/new-orleans-pelicans/. Name shown is the building's current name (naming rights changed over time).</t>
        </r>
      </text>
    </comment>
    <comment ref="H23" authorId="0" shapeId="0" xr:uid="{423A69EC-EB0E-A04A-94BC-0B4DFDED5178}">
      <text>
        <r>
          <rPr>
            <b/>
            <sz val="10"/>
            <color rgb="FF000000"/>
            <rFont val="Tahoma"/>
            <family val="2"/>
          </rPr>
          <t>Keller, Zach:</t>
        </r>
        <r>
          <rPr>
            <sz val="10"/>
            <color rgb="FF000000"/>
            <rFont val="Tahoma"/>
            <family val="2"/>
          </rPr>
          <t xml:space="preserve">
Source: Forbes team page (Venue section, Oct 2025 list), https://www.forbes.com/teams/new-orleans-pelicans/. Name shown is the building's current name (naming rights changed over time).</t>
        </r>
      </text>
    </comment>
    <comment ref="I23" authorId="0" shapeId="0" xr:uid="{522F7FA1-0684-FF4E-A347-EBD80D350B88}">
      <text>
        <r>
          <rPr>
            <b/>
            <sz val="10"/>
            <color rgb="FF000000"/>
            <rFont val="Tahoma"/>
            <family val="2"/>
          </rPr>
          <t>Keller, Zach:</t>
        </r>
        <r>
          <rPr>
            <sz val="10"/>
            <color rgb="FF000000"/>
            <rFont val="Tahoma"/>
            <family val="2"/>
          </rPr>
          <t xml:space="preserve">
Source: Forbes team page (Venue section, Oct 2025 list), https://www.forbes.com/teams/new-orleans-pelicans/. Name shown is the building's current name (naming rights changed over time).</t>
        </r>
      </text>
    </comment>
    <comment ref="J23" authorId="0" shapeId="0" xr:uid="{12C3355A-EC62-6348-9261-91D5C83F4177}">
      <text>
        <r>
          <rPr>
            <b/>
            <sz val="10"/>
            <color rgb="FF000000"/>
            <rFont val="Tahoma"/>
            <family val="2"/>
          </rPr>
          <t>Keller, Zach:</t>
        </r>
        <r>
          <rPr>
            <sz val="10"/>
            <color rgb="FF000000"/>
            <rFont val="Tahoma"/>
            <family val="2"/>
          </rPr>
          <t xml:space="preserve">
Source: Forbes team page (Venue section, Oct 2025 list), https://www.forbes.com/teams/new-orleans-pelicans/. Name shown is the building's current name (naming rights changed over time).</t>
        </r>
      </text>
    </comment>
    <comment ref="K23" authorId="0" shapeId="0" xr:uid="{DA318414-522E-4941-8AB6-0845BEDFBF43}">
      <text>
        <r>
          <rPr>
            <b/>
            <sz val="10"/>
            <color rgb="FF000000"/>
            <rFont val="Tahoma"/>
            <family val="2"/>
          </rPr>
          <t>Keller, Zach:</t>
        </r>
        <r>
          <rPr>
            <sz val="10"/>
            <color rgb="FF000000"/>
            <rFont val="Tahoma"/>
            <family val="2"/>
          </rPr>
          <t xml:space="preserve">
Source: Forbes team page (Venue section, Oct 2025 list), https://www.forbes.com/teams/new-orleans-pelicans/. Name shown is the building's current name (naming rights changed over time).</t>
        </r>
      </text>
    </comment>
    <comment ref="B24" authorId="0" shapeId="0" xr:uid="{E33DB924-8D5E-AB49-B97F-031261E39915}">
      <text>
        <r>
          <rPr>
            <b/>
            <sz val="10"/>
            <color rgb="FF000000"/>
            <rFont val="Tahoma"/>
            <family val="2"/>
          </rPr>
          <t>Keller, Zach:</t>
        </r>
        <r>
          <rPr>
            <sz val="10"/>
            <color rgb="FF000000"/>
            <rFont val="Tahoma"/>
            <family val="2"/>
          </rPr>
          <t xml:space="preserve">
Source: Forbes team page (Venue section, Oct 2025 list), https://www.forbes.com/teams/new-york-knicks/. Name shown is the building's current name (naming rights changed over time).</t>
        </r>
      </text>
    </comment>
    <comment ref="C24" authorId="0" shapeId="0" xr:uid="{3290FDEE-A4C2-FD4C-8489-F638211153EA}">
      <text>
        <r>
          <rPr>
            <b/>
            <sz val="10"/>
            <color rgb="FF000000"/>
            <rFont val="Tahoma"/>
            <family val="2"/>
          </rPr>
          <t>Keller, Zach:</t>
        </r>
        <r>
          <rPr>
            <sz val="10"/>
            <color rgb="FF000000"/>
            <rFont val="Tahoma"/>
            <family val="2"/>
          </rPr>
          <t xml:space="preserve">
Source: Forbes team page (Venue section, Oct 2025 list), https://www.forbes.com/teams/new-york-knicks/. Name shown is the building's current name (naming rights changed over time).</t>
        </r>
      </text>
    </comment>
    <comment ref="D24" authorId="0" shapeId="0" xr:uid="{CEC16AA3-6E5C-0447-A806-5DAF6AC161CE}">
      <text>
        <r>
          <rPr>
            <b/>
            <sz val="10"/>
            <color rgb="FF000000"/>
            <rFont val="Tahoma"/>
            <family val="2"/>
          </rPr>
          <t>Keller, Zach:</t>
        </r>
        <r>
          <rPr>
            <sz val="10"/>
            <color rgb="FF000000"/>
            <rFont val="Tahoma"/>
            <family val="2"/>
          </rPr>
          <t xml:space="preserve">
Source: Forbes team page (Venue section, Oct 2025 list), https://www.forbes.com/teams/new-york-knicks/. Name shown is the building's current name (naming rights changed over time).</t>
        </r>
      </text>
    </comment>
    <comment ref="E24" authorId="0" shapeId="0" xr:uid="{7233CBD5-433F-CC4D-9D78-AF3E1FEC4367}">
      <text>
        <r>
          <rPr>
            <b/>
            <sz val="10"/>
            <color rgb="FF000000"/>
            <rFont val="Tahoma"/>
            <family val="2"/>
          </rPr>
          <t>Keller, Zach:</t>
        </r>
        <r>
          <rPr>
            <sz val="10"/>
            <color rgb="FF000000"/>
            <rFont val="Tahoma"/>
            <family val="2"/>
          </rPr>
          <t xml:space="preserve">
Source: Forbes team page (Venue section, Oct 2025 list), https://www.forbes.com/teams/new-york-knicks/. Name shown is the building's current name (naming rights changed over time).</t>
        </r>
      </text>
    </comment>
    <comment ref="F24" authorId="0" shapeId="0" xr:uid="{1CA4EAC4-E30A-B04F-AD63-7A38527E2DE6}">
      <text>
        <r>
          <rPr>
            <b/>
            <sz val="10"/>
            <color rgb="FF000000"/>
            <rFont val="Tahoma"/>
            <family val="2"/>
          </rPr>
          <t>Keller, Zach:</t>
        </r>
        <r>
          <rPr>
            <sz val="10"/>
            <color rgb="FF000000"/>
            <rFont val="Tahoma"/>
            <family val="2"/>
          </rPr>
          <t xml:space="preserve">
Source: Forbes team page (Venue section, Oct 2025 list), https://www.forbes.com/teams/new-york-knicks/. Name shown is the building's current name (naming rights changed over time).</t>
        </r>
      </text>
    </comment>
    <comment ref="G24" authorId="0" shapeId="0" xr:uid="{27C19929-5337-A447-BA0D-7A2A1E57EF33}">
      <text>
        <r>
          <rPr>
            <b/>
            <sz val="10"/>
            <color rgb="FF000000"/>
            <rFont val="Tahoma"/>
            <family val="2"/>
          </rPr>
          <t>Keller, Zach:</t>
        </r>
        <r>
          <rPr>
            <sz val="10"/>
            <color rgb="FF000000"/>
            <rFont val="Tahoma"/>
            <family val="2"/>
          </rPr>
          <t xml:space="preserve">
Source: Forbes team page (Venue section, Oct 2025 list), https://www.forbes.com/teams/new-york-knicks/. Name shown is the building's current name (naming rights changed over time).</t>
        </r>
      </text>
    </comment>
    <comment ref="H24" authorId="0" shapeId="0" xr:uid="{E8A303D7-EB71-8F46-A641-3E5C4923A54D}">
      <text>
        <r>
          <rPr>
            <b/>
            <sz val="10"/>
            <color rgb="FF000000"/>
            <rFont val="Tahoma"/>
            <family val="2"/>
          </rPr>
          <t>Keller, Zach:</t>
        </r>
        <r>
          <rPr>
            <sz val="10"/>
            <color rgb="FF000000"/>
            <rFont val="Tahoma"/>
            <family val="2"/>
          </rPr>
          <t xml:space="preserve">
Source: Forbes team page (Venue section, Oct 2025 list), https://www.forbes.com/teams/new-york-knicks/. Name shown is the building's current name (naming rights changed over time).</t>
        </r>
      </text>
    </comment>
    <comment ref="I24" authorId="0" shapeId="0" xr:uid="{F5CA5994-EC92-E848-AC7F-76C8DA54C93F}">
      <text>
        <r>
          <rPr>
            <b/>
            <sz val="10"/>
            <color rgb="FF000000"/>
            <rFont val="Tahoma"/>
            <family val="2"/>
          </rPr>
          <t>Keller, Zach:</t>
        </r>
        <r>
          <rPr>
            <sz val="10"/>
            <color rgb="FF000000"/>
            <rFont val="Tahoma"/>
            <family val="2"/>
          </rPr>
          <t xml:space="preserve">
Source: Forbes team page (Venue section, Oct 2025 list), https://www.forbes.com/teams/new-york-knicks/. Name shown is the building's current name (naming rights changed over time).</t>
        </r>
      </text>
    </comment>
    <comment ref="J24" authorId="0" shapeId="0" xr:uid="{5D19839F-F521-1C44-9077-666C7F2FA2B8}">
      <text>
        <r>
          <rPr>
            <b/>
            <sz val="10"/>
            <color rgb="FF000000"/>
            <rFont val="Tahoma"/>
            <family val="2"/>
          </rPr>
          <t>Keller, Zach:</t>
        </r>
        <r>
          <rPr>
            <sz val="10"/>
            <color rgb="FF000000"/>
            <rFont val="Tahoma"/>
            <family val="2"/>
          </rPr>
          <t xml:space="preserve">
Source: Forbes team page (Venue section, Oct 2025 list), https://www.forbes.com/teams/new-york-knicks/. Name shown is the building's current name (naming rights changed over time).</t>
        </r>
      </text>
    </comment>
    <comment ref="K24" authorId="0" shapeId="0" xr:uid="{9D63AC7E-F353-8549-898C-83A70D3D3932}">
      <text>
        <r>
          <rPr>
            <b/>
            <sz val="10"/>
            <color rgb="FF000000"/>
            <rFont val="Tahoma"/>
            <family val="2"/>
          </rPr>
          <t>Keller, Zach:</t>
        </r>
        <r>
          <rPr>
            <sz val="10"/>
            <color rgb="FF000000"/>
            <rFont val="Tahoma"/>
            <family val="2"/>
          </rPr>
          <t xml:space="preserve">
Source: Forbes team page (Venue section, Oct 2025 list), https://www.forbes.com/teams/new-york-knicks/. Name shown is the building's current name (naming rights changed over time).</t>
        </r>
      </text>
    </comment>
    <comment ref="B25" authorId="0" shapeId="0" xr:uid="{ADD734BC-3061-694F-AA27-3E45D857253A}">
      <text>
        <r>
          <rPr>
            <b/>
            <sz val="10"/>
            <color rgb="FF000000"/>
            <rFont val="Tahoma"/>
            <family val="2"/>
          </rPr>
          <t>Keller, Zach:</t>
        </r>
        <r>
          <rPr>
            <sz val="10"/>
            <color rgb="FF000000"/>
            <rFont val="Tahoma"/>
            <family val="2"/>
          </rPr>
          <t xml:space="preserve">
Source: Forbes team page (Venue section, Oct 2025 list), https://www.forbes.com/teams/oklahoma-city-thunder/. Name shown is the building's current name (naming rights changed over time).</t>
        </r>
      </text>
    </comment>
    <comment ref="C25" authorId="0" shapeId="0" xr:uid="{AE783A1E-7A6C-844A-84A5-192C56E3EFF0}">
      <text>
        <r>
          <rPr>
            <b/>
            <sz val="10"/>
            <color rgb="FF000000"/>
            <rFont val="Tahoma"/>
            <family val="2"/>
          </rPr>
          <t>Keller, Zach:</t>
        </r>
        <r>
          <rPr>
            <sz val="10"/>
            <color rgb="FF000000"/>
            <rFont val="Tahoma"/>
            <family val="2"/>
          </rPr>
          <t xml:space="preserve">
Source: Forbes team page (Venue section, Oct 2025 list), https://www.forbes.com/teams/oklahoma-city-thunder/. Name shown is the building's current name (naming rights changed over time).</t>
        </r>
      </text>
    </comment>
    <comment ref="D25" authorId="0" shapeId="0" xr:uid="{937381D6-B94B-E44B-A5CD-DD6C72EF2BA3}">
      <text>
        <r>
          <rPr>
            <b/>
            <sz val="10"/>
            <color rgb="FF000000"/>
            <rFont val="Tahoma"/>
            <family val="2"/>
          </rPr>
          <t>Keller, Zach:</t>
        </r>
        <r>
          <rPr>
            <sz val="10"/>
            <color rgb="FF000000"/>
            <rFont val="Tahoma"/>
            <family val="2"/>
          </rPr>
          <t xml:space="preserve">
Source: Forbes team page (Venue section, Oct 2025 list), https://www.forbes.com/teams/oklahoma-city-thunder/. Name shown is the building's current name (naming rights changed over time).</t>
        </r>
      </text>
    </comment>
    <comment ref="E25" authorId="0" shapeId="0" xr:uid="{59D0F1E5-8801-1245-AE3C-C44F4EEC25BD}">
      <text>
        <r>
          <rPr>
            <b/>
            <sz val="10"/>
            <color rgb="FF000000"/>
            <rFont val="Tahoma"/>
            <family val="2"/>
          </rPr>
          <t>Keller, Zach:</t>
        </r>
        <r>
          <rPr>
            <sz val="10"/>
            <color rgb="FF000000"/>
            <rFont val="Tahoma"/>
            <family val="2"/>
          </rPr>
          <t xml:space="preserve">
Source: Forbes team page (Venue section, Oct 2025 list), https://www.forbes.com/teams/oklahoma-city-thunder/. Name shown is the building's current name (naming rights changed over time).</t>
        </r>
      </text>
    </comment>
    <comment ref="F25" authorId="0" shapeId="0" xr:uid="{E226E1A7-B4C9-7D4C-BEB9-2F99341378BA}">
      <text>
        <r>
          <rPr>
            <b/>
            <sz val="10"/>
            <color rgb="FF000000"/>
            <rFont val="Tahoma"/>
            <family val="2"/>
          </rPr>
          <t>Keller, Zach:</t>
        </r>
        <r>
          <rPr>
            <sz val="10"/>
            <color rgb="FF000000"/>
            <rFont val="Tahoma"/>
            <family val="2"/>
          </rPr>
          <t xml:space="preserve">
Source: Forbes team page (Venue section, Oct 2025 list), https://www.forbes.com/teams/oklahoma-city-thunder/. Name shown is the building's current name (naming rights changed over time).</t>
        </r>
      </text>
    </comment>
    <comment ref="G25" authorId="0" shapeId="0" xr:uid="{79D31F0A-A512-1A4D-BA2E-DFA08F0659E9}">
      <text>
        <r>
          <rPr>
            <b/>
            <sz val="10"/>
            <color rgb="FF000000"/>
            <rFont val="Tahoma"/>
            <family val="2"/>
          </rPr>
          <t>Keller, Zach:</t>
        </r>
        <r>
          <rPr>
            <sz val="10"/>
            <color rgb="FF000000"/>
            <rFont val="Tahoma"/>
            <family val="2"/>
          </rPr>
          <t xml:space="preserve">
Source: Forbes team page (Venue section, Oct 2025 list), https://www.forbes.com/teams/oklahoma-city-thunder/. Name shown is the building's current name (naming rights changed over time).</t>
        </r>
      </text>
    </comment>
    <comment ref="H25" authorId="0" shapeId="0" xr:uid="{CCBE4559-0459-3B4D-9398-3692879F3E47}">
      <text>
        <r>
          <rPr>
            <b/>
            <sz val="10"/>
            <color rgb="FF000000"/>
            <rFont val="Tahoma"/>
            <family val="2"/>
          </rPr>
          <t>Keller, Zach:</t>
        </r>
        <r>
          <rPr>
            <sz val="10"/>
            <color rgb="FF000000"/>
            <rFont val="Tahoma"/>
            <family val="2"/>
          </rPr>
          <t xml:space="preserve">
Source: Forbes team page (Venue section, Oct 2025 list), https://www.forbes.com/teams/oklahoma-city-thunder/. Name shown is the building's current name (naming rights changed over time).</t>
        </r>
      </text>
    </comment>
    <comment ref="I25" authorId="0" shapeId="0" xr:uid="{AB81D1FA-C8BF-4F43-AB38-ADF167A3CACE}">
      <text>
        <r>
          <rPr>
            <b/>
            <sz val="10"/>
            <color rgb="FF000000"/>
            <rFont val="Tahoma"/>
            <family val="2"/>
          </rPr>
          <t>Keller, Zach:</t>
        </r>
        <r>
          <rPr>
            <sz val="10"/>
            <color rgb="FF000000"/>
            <rFont val="Tahoma"/>
            <family val="2"/>
          </rPr>
          <t xml:space="preserve">
Source: Forbes team page (Venue section, Oct 2025 list), https://www.forbes.com/teams/oklahoma-city-thunder/. Name shown is the building's current name (naming rights changed over time).</t>
        </r>
      </text>
    </comment>
    <comment ref="J25" authorId="0" shapeId="0" xr:uid="{75D93678-EBF1-5C49-A062-14623DF2E36C}">
      <text>
        <r>
          <rPr>
            <b/>
            <sz val="10"/>
            <color rgb="FF000000"/>
            <rFont val="Tahoma"/>
            <family val="2"/>
          </rPr>
          <t>Keller, Zach:</t>
        </r>
        <r>
          <rPr>
            <sz val="10"/>
            <color rgb="FF000000"/>
            <rFont val="Tahoma"/>
            <family val="2"/>
          </rPr>
          <t xml:space="preserve">
Source: Forbes team page (Venue section, Oct 2025 list), https://www.forbes.com/teams/oklahoma-city-thunder/. Name shown is the building's current name (naming rights changed over time).</t>
        </r>
      </text>
    </comment>
    <comment ref="K25" authorId="0" shapeId="0" xr:uid="{4467D436-36CB-3145-82D1-794BFDA95ADA}">
      <text>
        <r>
          <rPr>
            <b/>
            <sz val="10"/>
            <color rgb="FF000000"/>
            <rFont val="Tahoma"/>
            <family val="2"/>
          </rPr>
          <t>Keller, Zach:</t>
        </r>
        <r>
          <rPr>
            <sz val="10"/>
            <color rgb="FF000000"/>
            <rFont val="Tahoma"/>
            <family val="2"/>
          </rPr>
          <t xml:space="preserve">
Source: Forbes team page (Venue section, Oct 2025 list), https://www.forbes.com/teams/oklahoma-city-thunder/. Name shown is the building's current name (naming rights changed over time).</t>
        </r>
      </text>
    </comment>
    <comment ref="B26" authorId="0" shapeId="0" xr:uid="{F9FEA048-07C2-D742-AFE3-CF7FFF502180}">
      <text>
        <r>
          <rPr>
            <b/>
            <sz val="10"/>
            <color rgb="FF000000"/>
            <rFont val="Tahoma"/>
            <family val="2"/>
          </rPr>
          <t>Keller, Zach:</t>
        </r>
        <r>
          <rPr>
            <sz val="10"/>
            <color rgb="FF000000"/>
            <rFont val="Tahoma"/>
            <family val="2"/>
          </rPr>
          <t xml:space="preserve">
Source: Forbes team page (Venue section, Oct 2025 list), https://www.forbes.com/teams/orlando-magic/. Name shown is the building's current name (naming rights changed over time).</t>
        </r>
      </text>
    </comment>
    <comment ref="C26" authorId="0" shapeId="0" xr:uid="{C1D77F89-5CCE-A946-8AD9-C15A38F5F4AF}">
      <text>
        <r>
          <rPr>
            <b/>
            <sz val="10"/>
            <color rgb="FF000000"/>
            <rFont val="Tahoma"/>
            <family val="2"/>
          </rPr>
          <t>Keller, Zach:</t>
        </r>
        <r>
          <rPr>
            <sz val="10"/>
            <color rgb="FF000000"/>
            <rFont val="Tahoma"/>
            <family val="2"/>
          </rPr>
          <t xml:space="preserve">
Source: Forbes team page (Venue section, Oct 2025 list), https://www.forbes.com/teams/orlando-magic/. Name shown is the building's current name (naming rights changed over time).</t>
        </r>
      </text>
    </comment>
    <comment ref="D26" authorId="0" shapeId="0" xr:uid="{9DA11675-B432-3A44-ADDD-D638342426FF}">
      <text>
        <r>
          <rPr>
            <b/>
            <sz val="10"/>
            <color rgb="FF000000"/>
            <rFont val="Tahoma"/>
            <family val="2"/>
          </rPr>
          <t>Keller, Zach:</t>
        </r>
        <r>
          <rPr>
            <sz val="10"/>
            <color rgb="FF000000"/>
            <rFont val="Tahoma"/>
            <family val="2"/>
          </rPr>
          <t xml:space="preserve">
Source: Forbes team page (Venue section, Oct 2025 list), https://www.forbes.com/teams/orlando-magic/. Name shown is the building's current name (naming rights changed over time).</t>
        </r>
      </text>
    </comment>
    <comment ref="E26" authorId="0" shapeId="0" xr:uid="{006B0A5D-D5EE-CE48-80EA-3A078243BDF4}">
      <text>
        <r>
          <rPr>
            <b/>
            <sz val="10"/>
            <color rgb="FF000000"/>
            <rFont val="Tahoma"/>
            <family val="2"/>
          </rPr>
          <t>Keller, Zach:</t>
        </r>
        <r>
          <rPr>
            <sz val="10"/>
            <color rgb="FF000000"/>
            <rFont val="Tahoma"/>
            <family val="2"/>
          </rPr>
          <t xml:space="preserve">
Source: Forbes team page (Venue section, Oct 2025 list), https://www.forbes.com/teams/orlando-magic/. Name shown is the building's current name (naming rights changed over time).</t>
        </r>
      </text>
    </comment>
    <comment ref="F26" authorId="0" shapeId="0" xr:uid="{FDB8FA40-ED4D-0B49-AA48-186EF7AD3C10}">
      <text>
        <r>
          <rPr>
            <b/>
            <sz val="10"/>
            <color rgb="FF000000"/>
            <rFont val="Tahoma"/>
            <family val="2"/>
          </rPr>
          <t>Keller, Zach:</t>
        </r>
        <r>
          <rPr>
            <sz val="10"/>
            <color rgb="FF000000"/>
            <rFont val="Tahoma"/>
            <family val="2"/>
          </rPr>
          <t xml:space="preserve">
Source: Forbes team page (Venue section, Oct 2025 list), https://www.forbes.com/teams/orlando-magic/. Name shown is the building's current name (naming rights changed over time).</t>
        </r>
      </text>
    </comment>
    <comment ref="G26" authorId="0" shapeId="0" xr:uid="{31E2647F-E033-4441-B867-BDE9CDF9F914}">
      <text>
        <r>
          <rPr>
            <b/>
            <sz val="10"/>
            <color rgb="FF000000"/>
            <rFont val="Tahoma"/>
            <family val="2"/>
          </rPr>
          <t>Keller, Zach:</t>
        </r>
        <r>
          <rPr>
            <sz val="10"/>
            <color rgb="FF000000"/>
            <rFont val="Tahoma"/>
            <family val="2"/>
          </rPr>
          <t xml:space="preserve">
Source: Forbes team page (Venue section, Oct 2025 list), https://www.forbes.com/teams/orlando-magic/. Name shown is the building's current name (naming rights changed over time).</t>
        </r>
      </text>
    </comment>
    <comment ref="H26" authorId="0" shapeId="0" xr:uid="{ECCD259B-8A2B-D848-8FCA-F982C0BD7376}">
      <text>
        <r>
          <rPr>
            <b/>
            <sz val="10"/>
            <color rgb="FF000000"/>
            <rFont val="Tahoma"/>
            <family val="2"/>
          </rPr>
          <t>Keller, Zach:</t>
        </r>
        <r>
          <rPr>
            <sz val="10"/>
            <color rgb="FF000000"/>
            <rFont val="Tahoma"/>
            <family val="2"/>
          </rPr>
          <t xml:space="preserve">
Source: Forbes team page (Venue section, Oct 2025 list), https://www.forbes.com/teams/orlando-magic/. Name shown is the building's current name (naming rights changed over time).</t>
        </r>
      </text>
    </comment>
    <comment ref="I26" authorId="0" shapeId="0" xr:uid="{729B38E9-DFE9-BA4A-9A34-FE310F02648D}">
      <text>
        <r>
          <rPr>
            <b/>
            <sz val="10"/>
            <color rgb="FF000000"/>
            <rFont val="Tahoma"/>
            <family val="2"/>
          </rPr>
          <t>Keller, Zach:</t>
        </r>
        <r>
          <rPr>
            <sz val="10"/>
            <color rgb="FF000000"/>
            <rFont val="Tahoma"/>
            <family val="2"/>
          </rPr>
          <t xml:space="preserve">
Source: Forbes team page (Venue section, Oct 2025 list), https://www.forbes.com/teams/orlando-magic/. Name shown is the building's current name (naming rights changed over time).</t>
        </r>
      </text>
    </comment>
    <comment ref="J26" authorId="0" shapeId="0" xr:uid="{22C261B3-6CCF-2743-9BF4-1FB27F150C7F}">
      <text>
        <r>
          <rPr>
            <b/>
            <sz val="10"/>
            <color rgb="FF000000"/>
            <rFont val="Tahoma"/>
            <family val="2"/>
          </rPr>
          <t>Keller, Zach:</t>
        </r>
        <r>
          <rPr>
            <sz val="10"/>
            <color rgb="FF000000"/>
            <rFont val="Tahoma"/>
            <family val="2"/>
          </rPr>
          <t xml:space="preserve">
Source: Forbes team page (Venue section, Oct 2025 list), https://www.forbes.com/teams/orlando-magic/. Name shown is the building's current name (naming rights changed over time).</t>
        </r>
      </text>
    </comment>
    <comment ref="K26" authorId="0" shapeId="0" xr:uid="{3CB0396C-0047-FC43-86D1-304FF2E1823E}">
      <text>
        <r>
          <rPr>
            <b/>
            <sz val="10"/>
            <color rgb="FF000000"/>
            <rFont val="Tahoma"/>
            <family val="2"/>
          </rPr>
          <t>Keller, Zach:</t>
        </r>
        <r>
          <rPr>
            <sz val="10"/>
            <color rgb="FF000000"/>
            <rFont val="Tahoma"/>
            <family val="2"/>
          </rPr>
          <t xml:space="preserve">
Source: Forbes team page (Venue section, Oct 2025 list), https://www.forbes.com/teams/orlando-magic/. Name shown is the building's current name (naming rights changed over time).</t>
        </r>
      </text>
    </comment>
    <comment ref="B27" authorId="0" shapeId="0" xr:uid="{4B1BF7C5-1271-C347-A3DA-B239678F71E5}">
      <text>
        <r>
          <rPr>
            <b/>
            <sz val="10"/>
            <color rgb="FF000000"/>
            <rFont val="Tahoma"/>
            <family val="2"/>
          </rPr>
          <t>Keller, Zach:</t>
        </r>
        <r>
          <rPr>
            <sz val="10"/>
            <color rgb="FF000000"/>
            <rFont val="Tahoma"/>
            <family val="2"/>
          </rPr>
          <t xml:space="preserve">
Source: Forbes team page (Venue section, Oct 2025 list), https://www.forbes.com/teams/philadelphia-76ers/. Name shown is the building's current name (naming rights changed over time).</t>
        </r>
      </text>
    </comment>
    <comment ref="C27" authorId="0" shapeId="0" xr:uid="{55D1EEF4-C73C-6746-B1B2-1636D417D354}">
      <text>
        <r>
          <rPr>
            <b/>
            <sz val="10"/>
            <color rgb="FF000000"/>
            <rFont val="Tahoma"/>
            <family val="2"/>
          </rPr>
          <t>Keller, Zach:</t>
        </r>
        <r>
          <rPr>
            <sz val="10"/>
            <color rgb="FF000000"/>
            <rFont val="Tahoma"/>
            <family val="2"/>
          </rPr>
          <t xml:space="preserve">
Source: Forbes team page (Venue section, Oct 2025 list), https://www.forbes.com/teams/philadelphia-76ers/. Name shown is the building's current name (naming rights changed over time).</t>
        </r>
      </text>
    </comment>
    <comment ref="D27" authorId="0" shapeId="0" xr:uid="{9EF1BA7B-9108-CB48-B7F5-6C0810E8339D}">
      <text>
        <r>
          <rPr>
            <b/>
            <sz val="10"/>
            <color rgb="FF000000"/>
            <rFont val="Tahoma"/>
            <family val="2"/>
          </rPr>
          <t>Keller, Zach:</t>
        </r>
        <r>
          <rPr>
            <sz val="10"/>
            <color rgb="FF000000"/>
            <rFont val="Tahoma"/>
            <family val="2"/>
          </rPr>
          <t xml:space="preserve">
Source: Forbes team page (Venue section, Oct 2025 list), https://www.forbes.com/teams/philadelphia-76ers/. Name shown is the building's current name (naming rights changed over time).</t>
        </r>
      </text>
    </comment>
    <comment ref="E27" authorId="0" shapeId="0" xr:uid="{245DCACA-D9D0-474F-A808-69FE3C69A700}">
      <text>
        <r>
          <rPr>
            <b/>
            <sz val="10"/>
            <color rgb="FF000000"/>
            <rFont val="Tahoma"/>
            <family val="2"/>
          </rPr>
          <t>Keller, Zach:</t>
        </r>
        <r>
          <rPr>
            <sz val="10"/>
            <color rgb="FF000000"/>
            <rFont val="Tahoma"/>
            <family val="2"/>
          </rPr>
          <t xml:space="preserve">
Source: Forbes team page (Venue section, Oct 2025 list), https://www.forbes.com/teams/philadelphia-76ers/. Name shown is the building's current name (naming rights changed over time).</t>
        </r>
      </text>
    </comment>
    <comment ref="F27" authorId="0" shapeId="0" xr:uid="{FD21E5BC-FC07-F14B-9FF0-71FD0AFEF16C}">
      <text>
        <r>
          <rPr>
            <b/>
            <sz val="10"/>
            <color rgb="FF000000"/>
            <rFont val="Tahoma"/>
            <family val="2"/>
          </rPr>
          <t>Keller, Zach:</t>
        </r>
        <r>
          <rPr>
            <sz val="10"/>
            <color rgb="FF000000"/>
            <rFont val="Tahoma"/>
            <family val="2"/>
          </rPr>
          <t xml:space="preserve">
Source: Forbes team page (Venue section, Oct 2025 list), https://www.forbes.com/teams/philadelphia-76ers/. Name shown is the building's current name (naming rights changed over time).</t>
        </r>
      </text>
    </comment>
    <comment ref="G27" authorId="0" shapeId="0" xr:uid="{EDA3A544-1650-764D-885C-F1657DE1FC26}">
      <text>
        <r>
          <rPr>
            <b/>
            <sz val="10"/>
            <color rgb="FF000000"/>
            <rFont val="Tahoma"/>
            <family val="2"/>
          </rPr>
          <t>Keller, Zach:</t>
        </r>
        <r>
          <rPr>
            <sz val="10"/>
            <color rgb="FF000000"/>
            <rFont val="Tahoma"/>
            <family val="2"/>
          </rPr>
          <t xml:space="preserve">
Source: Forbes team page (Venue section, Oct 2025 list), https://www.forbes.com/teams/philadelphia-76ers/. Name shown is the building's current name (naming rights changed over time).</t>
        </r>
      </text>
    </comment>
    <comment ref="H27" authorId="0" shapeId="0" xr:uid="{89F42A82-BE62-DB4C-A441-6D2330DD6F73}">
      <text>
        <r>
          <rPr>
            <b/>
            <sz val="10"/>
            <color rgb="FF000000"/>
            <rFont val="Tahoma"/>
            <family val="2"/>
          </rPr>
          <t>Keller, Zach:</t>
        </r>
        <r>
          <rPr>
            <sz val="10"/>
            <color rgb="FF000000"/>
            <rFont val="Tahoma"/>
            <family val="2"/>
          </rPr>
          <t xml:space="preserve">
Source: Forbes team page (Venue section, Oct 2025 list), https://www.forbes.com/teams/philadelphia-76ers/. Name shown is the building's current name (naming rights changed over time).</t>
        </r>
      </text>
    </comment>
    <comment ref="I27" authorId="0" shapeId="0" xr:uid="{B0E4E10B-7982-AA43-8018-DC7B48262BA2}">
      <text>
        <r>
          <rPr>
            <b/>
            <sz val="10"/>
            <color rgb="FF000000"/>
            <rFont val="Tahoma"/>
            <family val="2"/>
          </rPr>
          <t>Keller, Zach:</t>
        </r>
        <r>
          <rPr>
            <sz val="10"/>
            <color rgb="FF000000"/>
            <rFont val="Tahoma"/>
            <family val="2"/>
          </rPr>
          <t xml:space="preserve">
Source: Forbes team page (Venue section, Oct 2025 list), https://www.forbes.com/teams/philadelphia-76ers/. Name shown is the building's current name (naming rights changed over time).</t>
        </r>
      </text>
    </comment>
    <comment ref="J27" authorId="0" shapeId="0" xr:uid="{7BBD738C-90CE-F34F-BE88-1E07F948AB6B}">
      <text>
        <r>
          <rPr>
            <b/>
            <sz val="10"/>
            <color rgb="FF000000"/>
            <rFont val="Tahoma"/>
            <family val="2"/>
          </rPr>
          <t>Keller, Zach:</t>
        </r>
        <r>
          <rPr>
            <sz val="10"/>
            <color rgb="FF000000"/>
            <rFont val="Tahoma"/>
            <family val="2"/>
          </rPr>
          <t xml:space="preserve">
Source: Forbes team page (Venue section, Oct 2025 list), https://www.forbes.com/teams/philadelphia-76ers/. Name shown is the building's current name (naming rights changed over time).</t>
        </r>
      </text>
    </comment>
    <comment ref="K27" authorId="0" shapeId="0" xr:uid="{15C8387B-C131-094F-A7B4-095ECD81D2BC}">
      <text>
        <r>
          <rPr>
            <b/>
            <sz val="10"/>
            <color rgb="FF000000"/>
            <rFont val="Tahoma"/>
            <family val="2"/>
          </rPr>
          <t>Keller, Zach:</t>
        </r>
        <r>
          <rPr>
            <sz val="10"/>
            <color rgb="FF000000"/>
            <rFont val="Tahoma"/>
            <family val="2"/>
          </rPr>
          <t xml:space="preserve">
Source: Forbes team page (Venue section, Oct 2025 list), https://www.forbes.com/teams/philadelphia-76ers/. Name shown is the building's current name (naming rights changed over time).</t>
        </r>
      </text>
    </comment>
    <comment ref="B28" authorId="0" shapeId="0" xr:uid="{50909586-1E4E-AE40-88AD-3DC0EB5A3B3E}">
      <text>
        <r>
          <rPr>
            <b/>
            <sz val="10"/>
            <color rgb="FF000000"/>
            <rFont val="Tahoma"/>
            <family val="2"/>
          </rPr>
          <t>Keller, Zach:</t>
        </r>
        <r>
          <rPr>
            <sz val="10"/>
            <color rgb="FF000000"/>
            <rFont val="Tahoma"/>
            <family val="2"/>
          </rPr>
          <t xml:space="preserve">
Source: Forbes team page (Venue section, Oct 2025 list), https://www.forbes.com/teams/phoenix-suns/. Name shown is the building's current name (naming rights changed over time).</t>
        </r>
      </text>
    </comment>
    <comment ref="C28" authorId="0" shapeId="0" xr:uid="{5B8CA027-2D5B-B648-927D-19CD5DF99BC3}">
      <text>
        <r>
          <rPr>
            <b/>
            <sz val="10"/>
            <color rgb="FF000000"/>
            <rFont val="Tahoma"/>
            <family val="2"/>
          </rPr>
          <t>Keller, Zach:</t>
        </r>
        <r>
          <rPr>
            <sz val="10"/>
            <color rgb="FF000000"/>
            <rFont val="Tahoma"/>
            <family val="2"/>
          </rPr>
          <t xml:space="preserve">
Source: Forbes team page (Venue section, Oct 2025 list), https://www.forbes.com/teams/phoenix-suns/. Name shown is the building's current name (naming rights changed over time).</t>
        </r>
      </text>
    </comment>
    <comment ref="D28" authorId="0" shapeId="0" xr:uid="{8A197566-BBC5-B84A-BED4-C9AEB2D7172D}">
      <text>
        <r>
          <rPr>
            <b/>
            <sz val="10"/>
            <color rgb="FF000000"/>
            <rFont val="Tahoma"/>
            <family val="2"/>
          </rPr>
          <t>Keller, Zach:</t>
        </r>
        <r>
          <rPr>
            <sz val="10"/>
            <color rgb="FF000000"/>
            <rFont val="Tahoma"/>
            <family val="2"/>
          </rPr>
          <t xml:space="preserve">
Source: Forbes team page (Venue section, Oct 2025 list), https://www.forbes.com/teams/phoenix-suns/. Name shown is the building's current name (naming rights changed over time).</t>
        </r>
      </text>
    </comment>
    <comment ref="E28" authorId="0" shapeId="0" xr:uid="{E8547824-F129-9744-AE14-EDC0CD722450}">
      <text>
        <r>
          <rPr>
            <b/>
            <sz val="10"/>
            <color rgb="FF000000"/>
            <rFont val="Tahoma"/>
            <family val="2"/>
          </rPr>
          <t>Keller, Zach:</t>
        </r>
        <r>
          <rPr>
            <sz val="10"/>
            <color rgb="FF000000"/>
            <rFont val="Tahoma"/>
            <family val="2"/>
          </rPr>
          <t xml:space="preserve">
Source: Forbes team page (Venue section, Oct 2025 list), https://www.forbes.com/teams/phoenix-suns/. Name shown is the building's current name (naming rights changed over time).</t>
        </r>
      </text>
    </comment>
    <comment ref="F28" authorId="0" shapeId="0" xr:uid="{091492F1-2F12-174C-8A1C-49ADD5E4B1B9}">
      <text>
        <r>
          <rPr>
            <b/>
            <sz val="10"/>
            <color rgb="FF000000"/>
            <rFont val="Tahoma"/>
            <family val="2"/>
          </rPr>
          <t>Keller, Zach:</t>
        </r>
        <r>
          <rPr>
            <sz val="10"/>
            <color rgb="FF000000"/>
            <rFont val="Tahoma"/>
            <family val="2"/>
          </rPr>
          <t xml:space="preserve">
Source: Forbes team page (Venue section, Oct 2025 list), https://www.forbes.com/teams/phoenix-suns/. Name shown is the building's current name (naming rights changed over time).</t>
        </r>
      </text>
    </comment>
    <comment ref="G28" authorId="0" shapeId="0" xr:uid="{1843800C-E6A1-8A40-8BC9-53AA827EB55B}">
      <text>
        <r>
          <rPr>
            <b/>
            <sz val="10"/>
            <color rgb="FF000000"/>
            <rFont val="Tahoma"/>
            <family val="2"/>
          </rPr>
          <t>Keller, Zach:</t>
        </r>
        <r>
          <rPr>
            <sz val="10"/>
            <color rgb="FF000000"/>
            <rFont val="Tahoma"/>
            <family val="2"/>
          </rPr>
          <t xml:space="preserve">
Source: Forbes team page (Venue section, Oct 2025 list), https://www.forbes.com/teams/phoenix-suns/. Name shown is the building's current name (naming rights changed over time).</t>
        </r>
      </text>
    </comment>
    <comment ref="H28" authorId="0" shapeId="0" xr:uid="{B45448BA-3E88-AF44-833A-8FF092B20B53}">
      <text>
        <r>
          <rPr>
            <b/>
            <sz val="10"/>
            <color rgb="FF000000"/>
            <rFont val="Tahoma"/>
            <family val="2"/>
          </rPr>
          <t>Keller, Zach:</t>
        </r>
        <r>
          <rPr>
            <sz val="10"/>
            <color rgb="FF000000"/>
            <rFont val="Tahoma"/>
            <family val="2"/>
          </rPr>
          <t xml:space="preserve">
Source: Forbes team page (Venue section, Oct 2025 list), https://www.forbes.com/teams/phoenix-suns/. Name shown is the building's current name (naming rights changed over time).</t>
        </r>
      </text>
    </comment>
    <comment ref="I28" authorId="0" shapeId="0" xr:uid="{C99C7687-2A6B-3E47-BAD9-CB2047D1467B}">
      <text>
        <r>
          <rPr>
            <b/>
            <sz val="10"/>
            <color rgb="FF000000"/>
            <rFont val="Tahoma"/>
            <family val="2"/>
          </rPr>
          <t>Keller, Zach:</t>
        </r>
        <r>
          <rPr>
            <sz val="10"/>
            <color rgb="FF000000"/>
            <rFont val="Tahoma"/>
            <family val="2"/>
          </rPr>
          <t xml:space="preserve">
Source: Forbes team page (Venue section, Oct 2025 list), https://www.forbes.com/teams/phoenix-suns/. Name shown is the building's current name (naming rights changed over time).</t>
        </r>
      </text>
    </comment>
    <comment ref="J28" authorId="0" shapeId="0" xr:uid="{73020417-B776-9C48-96CC-202571FA092F}">
      <text>
        <r>
          <rPr>
            <b/>
            <sz val="10"/>
            <color rgb="FF000000"/>
            <rFont val="Tahoma"/>
            <family val="2"/>
          </rPr>
          <t>Keller, Zach:</t>
        </r>
        <r>
          <rPr>
            <sz val="10"/>
            <color rgb="FF000000"/>
            <rFont val="Tahoma"/>
            <family val="2"/>
          </rPr>
          <t xml:space="preserve">
Source: Forbes team page (Venue section, Oct 2025 list), https://www.forbes.com/teams/phoenix-suns/. Name shown is the building's current name (naming rights changed over time).</t>
        </r>
      </text>
    </comment>
    <comment ref="K28" authorId="0" shapeId="0" xr:uid="{1E167680-D07F-4440-B0CC-A8B7493EC1B6}">
      <text>
        <r>
          <rPr>
            <b/>
            <sz val="10"/>
            <color rgb="FF000000"/>
            <rFont val="Tahoma"/>
            <family val="2"/>
          </rPr>
          <t>Keller, Zach:</t>
        </r>
        <r>
          <rPr>
            <sz val="10"/>
            <color rgb="FF000000"/>
            <rFont val="Tahoma"/>
            <family val="2"/>
          </rPr>
          <t xml:space="preserve">
Source: Forbes team page (Venue section, Oct 2025 list), https://www.forbes.com/teams/phoenix-suns/. Name shown is the building's current name (naming rights changed over time).</t>
        </r>
      </text>
    </comment>
    <comment ref="B29" authorId="0" shapeId="0" xr:uid="{956C9000-53EE-EE49-AD33-0116638CBE60}">
      <text>
        <r>
          <rPr>
            <b/>
            <sz val="10"/>
            <color rgb="FF000000"/>
            <rFont val="Tahoma"/>
            <family val="2"/>
          </rPr>
          <t>Keller, Zach:</t>
        </r>
        <r>
          <rPr>
            <sz val="10"/>
            <color rgb="FF000000"/>
            <rFont val="Tahoma"/>
            <family val="2"/>
          </rPr>
          <t xml:space="preserve">
Source: Forbes team page (Venue section, Oct 2025 list), https://www.forbes.com/teams/portland-trail-blazers/. Name shown is the building's current name (naming rights changed over time).</t>
        </r>
      </text>
    </comment>
    <comment ref="C29" authorId="0" shapeId="0" xr:uid="{FC4154DD-853E-6E41-B46B-61B7B54D5C67}">
      <text>
        <r>
          <rPr>
            <b/>
            <sz val="10"/>
            <color rgb="FF000000"/>
            <rFont val="Tahoma"/>
            <family val="2"/>
          </rPr>
          <t>Keller, Zach:</t>
        </r>
        <r>
          <rPr>
            <sz val="10"/>
            <color rgb="FF000000"/>
            <rFont val="Tahoma"/>
            <family val="2"/>
          </rPr>
          <t xml:space="preserve">
Source: Forbes team page (Venue section, Oct 2025 list), https://www.forbes.com/teams/portland-trail-blazers/. Name shown is the building's current name (naming rights changed over time).</t>
        </r>
      </text>
    </comment>
    <comment ref="D29" authorId="0" shapeId="0" xr:uid="{DDE8BAC3-072A-F34E-8852-E6EDAF15E0E3}">
      <text>
        <r>
          <rPr>
            <b/>
            <sz val="10"/>
            <color rgb="FF000000"/>
            <rFont val="Tahoma"/>
            <family val="2"/>
          </rPr>
          <t>Keller, Zach:</t>
        </r>
        <r>
          <rPr>
            <sz val="10"/>
            <color rgb="FF000000"/>
            <rFont val="Tahoma"/>
            <family val="2"/>
          </rPr>
          <t xml:space="preserve">
Source: Forbes team page (Venue section, Oct 2025 list), https://www.forbes.com/teams/portland-trail-blazers/. Name shown is the building's current name (naming rights changed over time).</t>
        </r>
      </text>
    </comment>
    <comment ref="E29" authorId="0" shapeId="0" xr:uid="{03AC41B0-A03C-8F43-9C8B-19EBE921370B}">
      <text>
        <r>
          <rPr>
            <b/>
            <sz val="10"/>
            <color rgb="FF000000"/>
            <rFont val="Tahoma"/>
            <family val="2"/>
          </rPr>
          <t>Keller, Zach:</t>
        </r>
        <r>
          <rPr>
            <sz val="10"/>
            <color rgb="FF000000"/>
            <rFont val="Tahoma"/>
            <family val="2"/>
          </rPr>
          <t xml:space="preserve">
Source: Forbes team page (Venue section, Oct 2025 list), https://www.forbes.com/teams/portland-trail-blazers/. Name shown is the building's current name (naming rights changed over time).</t>
        </r>
      </text>
    </comment>
    <comment ref="F29" authorId="0" shapeId="0" xr:uid="{4180A555-260C-E14F-A98C-7623035A1647}">
      <text>
        <r>
          <rPr>
            <b/>
            <sz val="10"/>
            <color rgb="FF000000"/>
            <rFont val="Tahoma"/>
            <family val="2"/>
          </rPr>
          <t>Keller, Zach:</t>
        </r>
        <r>
          <rPr>
            <sz val="10"/>
            <color rgb="FF000000"/>
            <rFont val="Tahoma"/>
            <family val="2"/>
          </rPr>
          <t xml:space="preserve">
Source: Forbes team page (Venue section, Oct 2025 list), https://www.forbes.com/teams/portland-trail-blazers/. Name shown is the building's current name (naming rights changed over time).</t>
        </r>
      </text>
    </comment>
    <comment ref="G29" authorId="0" shapeId="0" xr:uid="{1BF3C881-7E06-9142-98FC-B6446F94469B}">
      <text>
        <r>
          <rPr>
            <b/>
            <sz val="10"/>
            <color rgb="FF000000"/>
            <rFont val="Tahoma"/>
            <family val="2"/>
          </rPr>
          <t>Keller, Zach:</t>
        </r>
        <r>
          <rPr>
            <sz val="10"/>
            <color rgb="FF000000"/>
            <rFont val="Tahoma"/>
            <family val="2"/>
          </rPr>
          <t xml:space="preserve">
Source: Forbes team page (Venue section, Oct 2025 list), https://www.forbes.com/teams/portland-trail-blazers/. Name shown is the building's current name (naming rights changed over time).</t>
        </r>
      </text>
    </comment>
    <comment ref="H29" authorId="0" shapeId="0" xr:uid="{47FA7C19-B790-2647-B5B6-4404CD1AF2F4}">
      <text>
        <r>
          <rPr>
            <b/>
            <sz val="10"/>
            <color rgb="FF000000"/>
            <rFont val="Tahoma"/>
            <family val="2"/>
          </rPr>
          <t>Keller, Zach:</t>
        </r>
        <r>
          <rPr>
            <sz val="10"/>
            <color rgb="FF000000"/>
            <rFont val="Tahoma"/>
            <family val="2"/>
          </rPr>
          <t xml:space="preserve">
Source: Forbes team page (Venue section, Oct 2025 list), https://www.forbes.com/teams/portland-trail-blazers/. Name shown is the building's current name (naming rights changed over time).</t>
        </r>
      </text>
    </comment>
    <comment ref="I29" authorId="0" shapeId="0" xr:uid="{C13EEAB4-A107-AD41-922F-DAD8FF61CC4D}">
      <text>
        <r>
          <rPr>
            <b/>
            <sz val="10"/>
            <color rgb="FF000000"/>
            <rFont val="Tahoma"/>
            <family val="2"/>
          </rPr>
          <t>Keller, Zach:</t>
        </r>
        <r>
          <rPr>
            <sz val="10"/>
            <color rgb="FF000000"/>
            <rFont val="Tahoma"/>
            <family val="2"/>
          </rPr>
          <t xml:space="preserve">
Source: Forbes team page (Venue section, Oct 2025 list), https://www.forbes.com/teams/portland-trail-blazers/. Name shown is the building's current name (naming rights changed over time).</t>
        </r>
      </text>
    </comment>
    <comment ref="J29" authorId="0" shapeId="0" xr:uid="{389366EA-9205-8D43-869F-4B82C85D92BD}">
      <text>
        <r>
          <rPr>
            <b/>
            <sz val="10"/>
            <color rgb="FF000000"/>
            <rFont val="Tahoma"/>
            <family val="2"/>
          </rPr>
          <t>Keller, Zach:</t>
        </r>
        <r>
          <rPr>
            <sz val="10"/>
            <color rgb="FF000000"/>
            <rFont val="Tahoma"/>
            <family val="2"/>
          </rPr>
          <t xml:space="preserve">
Source: Forbes team page (Venue section, Oct 2025 list), https://www.forbes.com/teams/portland-trail-blazers/. Name shown is the building's current name (naming rights changed over time).</t>
        </r>
      </text>
    </comment>
    <comment ref="K29" authorId="0" shapeId="0" xr:uid="{2F0ADF2D-2964-2A41-B6DC-C51A58EAFF8A}">
      <text>
        <r>
          <rPr>
            <b/>
            <sz val="10"/>
            <color rgb="FF000000"/>
            <rFont val="Tahoma"/>
            <family val="2"/>
          </rPr>
          <t>Keller, Zach:</t>
        </r>
        <r>
          <rPr>
            <sz val="10"/>
            <color rgb="FF000000"/>
            <rFont val="Tahoma"/>
            <family val="2"/>
          </rPr>
          <t xml:space="preserve">
Source: Forbes team page (Venue section, Oct 2025 list), https://www.forbes.com/teams/portland-trail-blazers/. Name shown is the building's current name (naming rights changed over time).</t>
        </r>
      </text>
    </comment>
    <comment ref="B30" authorId="0" shapeId="0" xr:uid="{F8362426-4B86-5849-BFF4-54840C837980}">
      <text>
        <r>
          <rPr>
            <b/>
            <sz val="10"/>
            <color rgb="FF000000"/>
            <rFont val="Tahoma"/>
            <family val="2"/>
          </rPr>
          <t>Keller, Zach:</t>
        </r>
        <r>
          <rPr>
            <sz val="10"/>
            <color rgb="FF000000"/>
            <rFont val="Tahoma"/>
            <family val="2"/>
          </rPr>
          <t xml:space="preserve">
Kings played 2015–16 at Sleep Train Arena; last home game Apr 9 2016, Golden 1 Center from 2016–17. Source: Bleacher Report, https://bleacherreport.com/articles/2630531-kings-owe-sacramento-fresh-start-as-embarrassing-era-ends-at-sleep-train-arena</t>
        </r>
      </text>
    </comment>
    <comment ref="C30" authorId="0" shapeId="0" xr:uid="{E02EC1BB-CDB9-6246-90F6-8CE718033CFD}">
      <text>
        <r>
          <rPr>
            <b/>
            <sz val="10"/>
            <color rgb="FF000000"/>
            <rFont val="Tahoma"/>
            <family val="2"/>
          </rPr>
          <t>Keller, Zach:</t>
        </r>
        <r>
          <rPr>
            <sz val="10"/>
            <color rgb="FF000000"/>
            <rFont val="Tahoma"/>
            <family val="2"/>
          </rPr>
          <t xml:space="preserve">
Source: Forbes team page (Venue section, Oct 2025 list), https://www.forbes.com/teams/sacramento-kings/. Name shown is the building's current name (naming rights changed over time).</t>
        </r>
      </text>
    </comment>
    <comment ref="D30" authorId="0" shapeId="0" xr:uid="{E78B7B67-6EDF-4E4C-87F5-B1B22649D351}">
      <text>
        <r>
          <rPr>
            <b/>
            <sz val="10"/>
            <color rgb="FF000000"/>
            <rFont val="Tahoma"/>
            <family val="2"/>
          </rPr>
          <t>Keller, Zach:</t>
        </r>
        <r>
          <rPr>
            <sz val="10"/>
            <color rgb="FF000000"/>
            <rFont val="Tahoma"/>
            <family val="2"/>
          </rPr>
          <t xml:space="preserve">
Source: Forbes team page (Venue section, Oct 2025 list), https://www.forbes.com/teams/sacramento-kings/. Name shown is the building's current name (naming rights changed over time).</t>
        </r>
      </text>
    </comment>
    <comment ref="E30" authorId="0" shapeId="0" xr:uid="{B5F65AD9-4119-2646-B45C-7F276E1138E0}">
      <text>
        <r>
          <rPr>
            <b/>
            <sz val="10"/>
            <color rgb="FF000000"/>
            <rFont val="Tahoma"/>
            <family val="2"/>
          </rPr>
          <t>Keller, Zach:</t>
        </r>
        <r>
          <rPr>
            <sz val="10"/>
            <color rgb="FF000000"/>
            <rFont val="Tahoma"/>
            <family val="2"/>
          </rPr>
          <t xml:space="preserve">
Source: Forbes team page (Venue section, Oct 2025 list), https://www.forbes.com/teams/sacramento-kings/. Name shown is the building's current name (naming rights changed over time).</t>
        </r>
      </text>
    </comment>
    <comment ref="F30" authorId="0" shapeId="0" xr:uid="{D4889A38-8866-D047-B39C-02BECBB6A7D3}">
      <text>
        <r>
          <rPr>
            <b/>
            <sz val="10"/>
            <color rgb="FF000000"/>
            <rFont val="Tahoma"/>
            <family val="2"/>
          </rPr>
          <t>Keller, Zach:</t>
        </r>
        <r>
          <rPr>
            <sz val="10"/>
            <color rgb="FF000000"/>
            <rFont val="Tahoma"/>
            <family val="2"/>
          </rPr>
          <t xml:space="preserve">
Source: Forbes team page (Venue section, Oct 2025 list), https://www.forbes.com/teams/sacramento-kings/. Name shown is the building's current name (naming rights changed over time).</t>
        </r>
      </text>
    </comment>
    <comment ref="G30" authorId="0" shapeId="0" xr:uid="{9ED415D5-6985-444F-B49B-17661A207BCA}">
      <text>
        <r>
          <rPr>
            <b/>
            <sz val="10"/>
            <color rgb="FF000000"/>
            <rFont val="Tahoma"/>
            <family val="2"/>
          </rPr>
          <t>Keller, Zach:</t>
        </r>
        <r>
          <rPr>
            <sz val="10"/>
            <color rgb="FF000000"/>
            <rFont val="Tahoma"/>
            <family val="2"/>
          </rPr>
          <t xml:space="preserve">
Source: Forbes team page (Venue section, Oct 2025 list), https://www.forbes.com/teams/sacramento-kings/. Name shown is the building's current name (naming rights changed over time).</t>
        </r>
      </text>
    </comment>
    <comment ref="H30" authorId="0" shapeId="0" xr:uid="{0A2958BB-132E-F34F-A95B-2884FA1754DA}">
      <text>
        <r>
          <rPr>
            <b/>
            <sz val="10"/>
            <color rgb="FF000000"/>
            <rFont val="Tahoma"/>
            <family val="2"/>
          </rPr>
          <t>Keller, Zach:</t>
        </r>
        <r>
          <rPr>
            <sz val="10"/>
            <color rgb="FF000000"/>
            <rFont val="Tahoma"/>
            <family val="2"/>
          </rPr>
          <t xml:space="preserve">
Source: Forbes team page (Venue section, Oct 2025 list), https://www.forbes.com/teams/sacramento-kings/. Name shown is the building's current name (naming rights changed over time).</t>
        </r>
      </text>
    </comment>
    <comment ref="I30" authorId="0" shapeId="0" xr:uid="{FCBA7F9F-421D-C048-A427-5ADF087EF759}">
      <text>
        <r>
          <rPr>
            <b/>
            <sz val="10"/>
            <color rgb="FF000000"/>
            <rFont val="Tahoma"/>
            <family val="2"/>
          </rPr>
          <t>Keller, Zach:</t>
        </r>
        <r>
          <rPr>
            <sz val="10"/>
            <color rgb="FF000000"/>
            <rFont val="Tahoma"/>
            <family val="2"/>
          </rPr>
          <t xml:space="preserve">
Source: Forbes team page (Venue section, Oct 2025 list), https://www.forbes.com/teams/sacramento-kings/. Name shown is the building's current name (naming rights changed over time).</t>
        </r>
      </text>
    </comment>
    <comment ref="J30" authorId="0" shapeId="0" xr:uid="{8BBFF94F-01A0-9E4F-92CF-6184DEFE9601}">
      <text>
        <r>
          <rPr>
            <b/>
            <sz val="10"/>
            <color rgb="FF000000"/>
            <rFont val="Tahoma"/>
            <family val="2"/>
          </rPr>
          <t>Keller, Zach:</t>
        </r>
        <r>
          <rPr>
            <sz val="10"/>
            <color rgb="FF000000"/>
            <rFont val="Tahoma"/>
            <family val="2"/>
          </rPr>
          <t xml:space="preserve">
Source: Forbes team page (Venue section, Oct 2025 list), https://www.forbes.com/teams/sacramento-kings/. Name shown is the building's current name (naming rights changed over time).</t>
        </r>
      </text>
    </comment>
    <comment ref="K30" authorId="0" shapeId="0" xr:uid="{E3398F6A-A5A3-0C4C-9F5E-B6F5DEB8348E}">
      <text>
        <r>
          <rPr>
            <b/>
            <sz val="10"/>
            <color rgb="FF000000"/>
            <rFont val="Tahoma"/>
            <family val="2"/>
          </rPr>
          <t>Keller, Zach:</t>
        </r>
        <r>
          <rPr>
            <sz val="10"/>
            <color rgb="FF000000"/>
            <rFont val="Tahoma"/>
            <family val="2"/>
          </rPr>
          <t xml:space="preserve">
Source: Forbes team page (Venue section, Oct 2025 list), https://www.forbes.com/teams/sacramento-kings/. Name shown is the building's current name (naming rights changed over time).</t>
        </r>
      </text>
    </comment>
    <comment ref="B31" authorId="0" shapeId="0" xr:uid="{C01821A6-F38F-3E4C-8203-EDCC03BD1CEC}">
      <text>
        <r>
          <rPr>
            <b/>
            <sz val="10"/>
            <color rgb="FF000000"/>
            <rFont val="Tahoma"/>
            <family val="2"/>
          </rPr>
          <t>Keller, Zach:</t>
        </r>
        <r>
          <rPr>
            <sz val="10"/>
            <color rgb="FF000000"/>
            <rFont val="Tahoma"/>
            <family val="2"/>
          </rPr>
          <t xml:space="preserve">
Source: Forbes team page (Venue section, Oct 2025 list), https://www.forbes.com/teams/san-antonio-spurs/. Name shown is the building's current name (naming rights changed over time).</t>
        </r>
      </text>
    </comment>
    <comment ref="C31" authorId="0" shapeId="0" xr:uid="{69FCCA20-67E4-914E-ACE4-ECA1D913B87E}">
      <text>
        <r>
          <rPr>
            <b/>
            <sz val="10"/>
            <color rgb="FF000000"/>
            <rFont val="Tahoma"/>
            <family val="2"/>
          </rPr>
          <t>Keller, Zach:</t>
        </r>
        <r>
          <rPr>
            <sz val="10"/>
            <color rgb="FF000000"/>
            <rFont val="Tahoma"/>
            <family val="2"/>
          </rPr>
          <t xml:space="preserve">
Source: Forbes team page (Venue section, Oct 2025 list), https://www.forbes.com/teams/san-antonio-spurs/. Name shown is the building's current name (naming rights changed over time).</t>
        </r>
      </text>
    </comment>
    <comment ref="D31" authorId="0" shapeId="0" xr:uid="{33D36B95-6B1E-D94E-871C-1A82EF530A34}">
      <text>
        <r>
          <rPr>
            <b/>
            <sz val="10"/>
            <color rgb="FF000000"/>
            <rFont val="Tahoma"/>
            <family val="2"/>
          </rPr>
          <t>Keller, Zach:</t>
        </r>
        <r>
          <rPr>
            <sz val="10"/>
            <color rgb="FF000000"/>
            <rFont val="Tahoma"/>
            <family val="2"/>
          </rPr>
          <t xml:space="preserve">
Source: Forbes team page (Venue section, Oct 2025 list), https://www.forbes.com/teams/san-antonio-spurs/. Name shown is the building's current name (naming rights changed over time).</t>
        </r>
      </text>
    </comment>
    <comment ref="E31" authorId="0" shapeId="0" xr:uid="{BDE5197A-BA3C-DA49-B322-A88B4406B66D}">
      <text>
        <r>
          <rPr>
            <b/>
            <sz val="10"/>
            <color rgb="FF000000"/>
            <rFont val="Tahoma"/>
            <family val="2"/>
          </rPr>
          <t>Keller, Zach:</t>
        </r>
        <r>
          <rPr>
            <sz val="10"/>
            <color rgb="FF000000"/>
            <rFont val="Tahoma"/>
            <family val="2"/>
          </rPr>
          <t xml:space="preserve">
Source: Forbes team page (Venue section, Oct 2025 list), https://www.forbes.com/teams/san-antonio-spurs/. Name shown is the building's current name (naming rights changed over time).</t>
        </r>
      </text>
    </comment>
    <comment ref="F31" authorId="0" shapeId="0" xr:uid="{1E499BF7-5368-C94B-A2FD-483CE15B5821}">
      <text>
        <r>
          <rPr>
            <b/>
            <sz val="10"/>
            <color rgb="FF000000"/>
            <rFont val="Tahoma"/>
            <family val="2"/>
          </rPr>
          <t>Keller, Zach:</t>
        </r>
        <r>
          <rPr>
            <sz val="10"/>
            <color rgb="FF000000"/>
            <rFont val="Tahoma"/>
            <family val="2"/>
          </rPr>
          <t xml:space="preserve">
Source: Forbes team page (Venue section, Oct 2025 list), https://www.forbes.com/teams/san-antonio-spurs/. Name shown is the building's current name (naming rights changed over time).</t>
        </r>
      </text>
    </comment>
    <comment ref="G31" authorId="0" shapeId="0" xr:uid="{280ED998-084F-2A43-91BE-F7F4B591B0EC}">
      <text>
        <r>
          <rPr>
            <b/>
            <sz val="10"/>
            <color rgb="FF000000"/>
            <rFont val="Tahoma"/>
            <family val="2"/>
          </rPr>
          <t>Keller, Zach:</t>
        </r>
        <r>
          <rPr>
            <sz val="10"/>
            <color rgb="FF000000"/>
            <rFont val="Tahoma"/>
            <family val="2"/>
          </rPr>
          <t xml:space="preserve">
Source: Forbes team page (Venue section, Oct 2025 list), https://www.forbes.com/teams/san-antonio-spurs/. Name shown is the building's current name (naming rights changed over time).</t>
        </r>
      </text>
    </comment>
    <comment ref="H31" authorId="0" shapeId="0" xr:uid="{3E5510DA-4171-D94D-8DA8-2C1D8E0D744C}">
      <text>
        <r>
          <rPr>
            <b/>
            <sz val="10"/>
            <color rgb="FF000000"/>
            <rFont val="Tahoma"/>
            <family val="2"/>
          </rPr>
          <t>Keller, Zach:</t>
        </r>
        <r>
          <rPr>
            <sz val="10"/>
            <color rgb="FF000000"/>
            <rFont val="Tahoma"/>
            <family val="2"/>
          </rPr>
          <t xml:space="preserve">
Source: Forbes team page (Venue section, Oct 2025 list), https://www.forbes.com/teams/san-antonio-spurs/. Name shown is the building's current name (naming rights changed over time).</t>
        </r>
      </text>
    </comment>
    <comment ref="I31" authorId="0" shapeId="0" xr:uid="{622AC0CB-C2FF-EC4F-8083-769425EFD85C}">
      <text>
        <r>
          <rPr>
            <b/>
            <sz val="10"/>
            <color rgb="FF000000"/>
            <rFont val="Tahoma"/>
            <family val="2"/>
          </rPr>
          <t>Keller, Zach:</t>
        </r>
        <r>
          <rPr>
            <sz val="10"/>
            <color rgb="FF000000"/>
            <rFont val="Tahoma"/>
            <family val="2"/>
          </rPr>
          <t xml:space="preserve">
Source: Forbes team page (Venue section, Oct 2025 list), https://www.forbes.com/teams/san-antonio-spurs/. Name shown is the building's current name (naming rights changed over time).</t>
        </r>
      </text>
    </comment>
    <comment ref="J31" authorId="0" shapeId="0" xr:uid="{9C9D5FF9-CE34-114B-8504-9BC57E971313}">
      <text>
        <r>
          <rPr>
            <b/>
            <sz val="10"/>
            <color rgb="FF000000"/>
            <rFont val="Tahoma"/>
            <family val="2"/>
          </rPr>
          <t>Keller, Zach:</t>
        </r>
        <r>
          <rPr>
            <sz val="10"/>
            <color rgb="FF000000"/>
            <rFont val="Tahoma"/>
            <family val="2"/>
          </rPr>
          <t xml:space="preserve">
Source: Forbes team page (Venue section, Oct 2025 list), https://www.forbes.com/teams/san-antonio-spurs/. Name shown is the building's current name (naming rights changed over time).</t>
        </r>
      </text>
    </comment>
    <comment ref="K31" authorId="0" shapeId="0" xr:uid="{AB8291DB-F474-DA48-AB52-DDE10BB4A140}">
      <text>
        <r>
          <rPr>
            <b/>
            <sz val="10"/>
            <color rgb="FF000000"/>
            <rFont val="Tahoma"/>
            <family val="2"/>
          </rPr>
          <t>Keller, Zach:</t>
        </r>
        <r>
          <rPr>
            <sz val="10"/>
            <color rgb="FF000000"/>
            <rFont val="Tahoma"/>
            <family val="2"/>
          </rPr>
          <t xml:space="preserve">
Source: Forbes team page (Venue section, Oct 2025 list), https://www.forbes.com/teams/san-antonio-spurs/. Name shown is the building's current name (naming rights changed over time).</t>
        </r>
      </text>
    </comment>
    <comment ref="B32" authorId="0" shapeId="0" xr:uid="{C21EF76A-E9F2-AE49-8D93-CCE7C45F8709}">
      <text>
        <r>
          <rPr>
            <b/>
            <sz val="10"/>
            <color rgb="FF000000"/>
            <rFont val="Tahoma"/>
            <family val="2"/>
          </rPr>
          <t>Keller, Zach:</t>
        </r>
        <r>
          <rPr>
            <sz val="10"/>
            <color rgb="FF000000"/>
            <rFont val="Tahoma"/>
            <family val="2"/>
          </rPr>
          <t xml:space="preserve">
Source: Forbes team page (Venue section, Oct 2025 list), https://www.forbes.com/teams/toronto-raptors/. Name shown is the building's current name (naming rights changed over time).</t>
        </r>
      </text>
    </comment>
    <comment ref="C32" authorId="0" shapeId="0" xr:uid="{A6E4B8A6-AA37-9148-A4BA-2687AFE5098C}">
      <text>
        <r>
          <rPr>
            <b/>
            <sz val="10"/>
            <color rgb="FF000000"/>
            <rFont val="Tahoma"/>
            <family val="2"/>
          </rPr>
          <t>Keller, Zach:</t>
        </r>
        <r>
          <rPr>
            <sz val="10"/>
            <color rgb="FF000000"/>
            <rFont val="Tahoma"/>
            <family val="2"/>
          </rPr>
          <t xml:space="preserve">
Source: Forbes team page (Venue section, Oct 2025 list), https://www.forbes.com/teams/toronto-raptors/. Name shown is the building's current name (naming rights changed over time).</t>
        </r>
      </text>
    </comment>
    <comment ref="D32" authorId="0" shapeId="0" xr:uid="{9D39F0EF-EC02-0F43-BEF4-ACA6B55A5540}">
      <text>
        <r>
          <rPr>
            <b/>
            <sz val="10"/>
            <color rgb="FF000000"/>
            <rFont val="Tahoma"/>
            <family val="2"/>
          </rPr>
          <t>Keller, Zach:</t>
        </r>
        <r>
          <rPr>
            <sz val="10"/>
            <color rgb="FF000000"/>
            <rFont val="Tahoma"/>
            <family val="2"/>
          </rPr>
          <t xml:space="preserve">
Source: Forbes team page (Venue section, Oct 2025 list), https://www.forbes.com/teams/toronto-raptors/. Name shown is the building's current name (naming rights changed over time).</t>
        </r>
      </text>
    </comment>
    <comment ref="E32" authorId="0" shapeId="0" xr:uid="{C273C84D-04A6-784D-A627-1D85E5608E11}">
      <text>
        <r>
          <rPr>
            <b/>
            <sz val="10"/>
            <color rgb="FF000000"/>
            <rFont val="Tahoma"/>
            <family val="2"/>
          </rPr>
          <t>Keller, Zach:</t>
        </r>
        <r>
          <rPr>
            <sz val="10"/>
            <color rgb="FF000000"/>
            <rFont val="Tahoma"/>
            <family val="2"/>
          </rPr>
          <t xml:space="preserve">
Source: Forbes team page (Venue section, Oct 2025 list), https://www.forbes.com/teams/toronto-raptors/. Name shown is the building's current name (naming rights changed over time).</t>
        </r>
      </text>
    </comment>
    <comment ref="F32" authorId="0" shapeId="0" xr:uid="{FB4F2756-77DC-4B42-B20F-71ADF71843BB}">
      <text>
        <r>
          <rPr>
            <b/>
            <sz val="10"/>
            <color rgb="FF000000"/>
            <rFont val="Tahoma"/>
            <family val="2"/>
          </rPr>
          <t>Keller, Zach:</t>
        </r>
        <r>
          <rPr>
            <sz val="10"/>
            <color rgb="FF000000"/>
            <rFont val="Tahoma"/>
            <family val="2"/>
          </rPr>
          <t xml:space="preserve">
Source: Forbes team page (Venue section, Oct 2025 list), https://www.forbes.com/teams/toronto-raptors/. Name shown is the building's current name (naming rights changed over time).</t>
        </r>
      </text>
    </comment>
    <comment ref="G32" authorId="0" shapeId="0" xr:uid="{5AE6B4B3-3324-CE42-8F34-469E121C1D0E}">
      <text>
        <r>
          <rPr>
            <b/>
            <sz val="10"/>
            <color rgb="FF000000"/>
            <rFont val="Tahoma"/>
            <family val="2"/>
          </rPr>
          <t>Keller, Zach:</t>
        </r>
        <r>
          <rPr>
            <sz val="10"/>
            <color rgb="FF000000"/>
            <rFont val="Tahoma"/>
            <family val="2"/>
          </rPr>
          <t xml:space="preserve">
Source: Forbes team page (Venue section, Oct 2025 list), https://www.forbes.com/teams/toronto-raptors/. Name shown is the building's current name (naming rights changed over time). NOTE: in 2020–21 the Raptors played home games at Amalie Arena, Tampa, because of COVID border rules. Source: NBA.com, https://www.nba.com/news/raptors-to-finish-2020-21-season-in-tampa</t>
        </r>
      </text>
    </comment>
    <comment ref="H32" authorId="0" shapeId="0" xr:uid="{70280BDA-29DE-0147-A372-28084DE3AEB1}">
      <text>
        <r>
          <rPr>
            <b/>
            <sz val="10"/>
            <color rgb="FF000000"/>
            <rFont val="Tahoma"/>
            <family val="2"/>
          </rPr>
          <t>Keller, Zach:</t>
        </r>
        <r>
          <rPr>
            <sz val="10"/>
            <color rgb="FF000000"/>
            <rFont val="Tahoma"/>
            <family val="2"/>
          </rPr>
          <t xml:space="preserve">
Source: Forbes team page (Venue section, Oct 2025 list), https://www.forbes.com/teams/toronto-raptors/. Name shown is the building's current name (naming rights changed over time).</t>
        </r>
      </text>
    </comment>
    <comment ref="I32" authorId="0" shapeId="0" xr:uid="{E3818D58-6447-5840-B81D-2D3DBE4A1980}">
      <text>
        <r>
          <rPr>
            <b/>
            <sz val="10"/>
            <color rgb="FF000000"/>
            <rFont val="Tahoma"/>
            <family val="2"/>
          </rPr>
          <t>Keller, Zach:</t>
        </r>
        <r>
          <rPr>
            <sz val="10"/>
            <color rgb="FF000000"/>
            <rFont val="Tahoma"/>
            <family val="2"/>
          </rPr>
          <t xml:space="preserve">
Source: Forbes team page (Venue section, Oct 2025 list), https://www.forbes.com/teams/toronto-raptors/. Name shown is the building's current name (naming rights changed over time).</t>
        </r>
      </text>
    </comment>
    <comment ref="J32" authorId="0" shapeId="0" xr:uid="{BA9A4CD7-1995-2342-9766-2BF9015C9376}">
      <text>
        <r>
          <rPr>
            <b/>
            <sz val="10"/>
            <color rgb="FF000000"/>
            <rFont val="Tahoma"/>
            <family val="2"/>
          </rPr>
          <t>Keller, Zach:</t>
        </r>
        <r>
          <rPr>
            <sz val="10"/>
            <color rgb="FF000000"/>
            <rFont val="Tahoma"/>
            <family val="2"/>
          </rPr>
          <t xml:space="preserve">
Source: Forbes team page (Venue section, Oct 2025 list), https://www.forbes.com/teams/toronto-raptors/. Name shown is the building's current name (naming rights changed over time).</t>
        </r>
      </text>
    </comment>
    <comment ref="K32" authorId="0" shapeId="0" xr:uid="{F7C60EE7-2CDE-FF49-8C62-38F8584A8A34}">
      <text>
        <r>
          <rPr>
            <b/>
            <sz val="10"/>
            <color rgb="FF000000"/>
            <rFont val="Tahoma"/>
            <family val="2"/>
          </rPr>
          <t>Keller, Zach:</t>
        </r>
        <r>
          <rPr>
            <sz val="10"/>
            <color rgb="FF000000"/>
            <rFont val="Tahoma"/>
            <family val="2"/>
          </rPr>
          <t xml:space="preserve">
Source: Forbes team page (Venue section, Oct 2025 list), https://www.forbes.com/teams/toronto-raptors/. Name shown is the building's current name (naming rights changed over time).</t>
        </r>
      </text>
    </comment>
    <comment ref="B33" authorId="0" shapeId="0" xr:uid="{2604604B-F460-3A42-B017-59FD69F170C1}">
      <text>
        <r>
          <rPr>
            <b/>
            <sz val="10"/>
            <color rgb="FF000000"/>
            <rFont val="Tahoma"/>
            <family val="2"/>
          </rPr>
          <t>Keller, Zach:</t>
        </r>
        <r>
          <rPr>
            <sz val="10"/>
            <color rgb="FF000000"/>
            <rFont val="Tahoma"/>
            <family val="2"/>
          </rPr>
          <t xml:space="preserve">
Source: Forbes team page (Venue section, Oct 2025 list), https://www.forbes.com/teams/utah-jazz/. Name shown is the building's current name (naming rights changed over time).</t>
        </r>
      </text>
    </comment>
    <comment ref="C33" authorId="0" shapeId="0" xr:uid="{CB416720-C160-854D-ADBC-446E474F23F9}">
      <text>
        <r>
          <rPr>
            <b/>
            <sz val="10"/>
            <color rgb="FF000000"/>
            <rFont val="Tahoma"/>
            <family val="2"/>
          </rPr>
          <t>Keller, Zach:</t>
        </r>
        <r>
          <rPr>
            <sz val="10"/>
            <color rgb="FF000000"/>
            <rFont val="Tahoma"/>
            <family val="2"/>
          </rPr>
          <t xml:space="preserve">
Source: Forbes team page (Venue section, Oct 2025 list), https://www.forbes.com/teams/utah-jazz/. Name shown is the building's current name (naming rights changed over time).</t>
        </r>
      </text>
    </comment>
    <comment ref="D33" authorId="0" shapeId="0" xr:uid="{898A72DC-8291-D147-82B0-60178179783A}">
      <text>
        <r>
          <rPr>
            <b/>
            <sz val="10"/>
            <color rgb="FF000000"/>
            <rFont val="Tahoma"/>
            <family val="2"/>
          </rPr>
          <t>Keller, Zach:</t>
        </r>
        <r>
          <rPr>
            <sz val="10"/>
            <color rgb="FF000000"/>
            <rFont val="Tahoma"/>
            <family val="2"/>
          </rPr>
          <t xml:space="preserve">
Source: Forbes team page (Venue section, Oct 2025 list), https://www.forbes.com/teams/utah-jazz/. Name shown is the building's current name (naming rights changed over time).</t>
        </r>
      </text>
    </comment>
    <comment ref="E33" authorId="0" shapeId="0" xr:uid="{7D6C9EDC-F836-F941-BB9D-3F1DC62D0286}">
      <text>
        <r>
          <rPr>
            <b/>
            <sz val="10"/>
            <color rgb="FF000000"/>
            <rFont val="Tahoma"/>
            <family val="2"/>
          </rPr>
          <t>Keller, Zach:</t>
        </r>
        <r>
          <rPr>
            <sz val="10"/>
            <color rgb="FF000000"/>
            <rFont val="Tahoma"/>
            <family val="2"/>
          </rPr>
          <t xml:space="preserve">
Source: Forbes team page (Venue section, Oct 2025 list), https://www.forbes.com/teams/utah-jazz/. Name shown is the building's current name (naming rights changed over time).</t>
        </r>
      </text>
    </comment>
    <comment ref="F33" authorId="0" shapeId="0" xr:uid="{F022B29A-6DA9-7B41-B5D4-06D62B98D6E6}">
      <text>
        <r>
          <rPr>
            <b/>
            <sz val="10"/>
            <color rgb="FF000000"/>
            <rFont val="Tahoma"/>
            <family val="2"/>
          </rPr>
          <t>Keller, Zach:</t>
        </r>
        <r>
          <rPr>
            <sz val="10"/>
            <color rgb="FF000000"/>
            <rFont val="Tahoma"/>
            <family val="2"/>
          </rPr>
          <t xml:space="preserve">
Source: Forbes team page (Venue section, Oct 2025 list), https://www.forbes.com/teams/utah-jazz/. Name shown is the building's current name (naming rights changed over time).</t>
        </r>
      </text>
    </comment>
    <comment ref="G33" authorId="0" shapeId="0" xr:uid="{E5D4FF1C-60AA-7B4B-ACCC-847A113831FC}">
      <text>
        <r>
          <rPr>
            <b/>
            <sz val="10"/>
            <color rgb="FF000000"/>
            <rFont val="Tahoma"/>
            <family val="2"/>
          </rPr>
          <t>Keller, Zach:</t>
        </r>
        <r>
          <rPr>
            <sz val="10"/>
            <color rgb="FF000000"/>
            <rFont val="Tahoma"/>
            <family val="2"/>
          </rPr>
          <t xml:space="preserve">
Source: Forbes team page (Venue section, Oct 2025 list), https://www.forbes.com/teams/utah-jazz/. Name shown is the building's current name (naming rights changed over time).</t>
        </r>
      </text>
    </comment>
    <comment ref="H33" authorId="0" shapeId="0" xr:uid="{D33DF820-D7A4-ED45-8B12-1CF365F38025}">
      <text>
        <r>
          <rPr>
            <b/>
            <sz val="10"/>
            <color rgb="FF000000"/>
            <rFont val="Tahoma"/>
            <family val="2"/>
          </rPr>
          <t>Keller, Zach:</t>
        </r>
        <r>
          <rPr>
            <sz val="10"/>
            <color rgb="FF000000"/>
            <rFont val="Tahoma"/>
            <family val="2"/>
          </rPr>
          <t xml:space="preserve">
Source: Forbes team page (Venue section, Oct 2025 list), https://www.forbes.com/teams/utah-jazz/. Name shown is the building's current name (naming rights changed over time).</t>
        </r>
      </text>
    </comment>
    <comment ref="I33" authorId="0" shapeId="0" xr:uid="{F0FFA4F6-3D4C-EE41-B479-62CC5997714B}">
      <text>
        <r>
          <rPr>
            <b/>
            <sz val="10"/>
            <color rgb="FF000000"/>
            <rFont val="Tahoma"/>
            <family val="2"/>
          </rPr>
          <t>Keller, Zach:</t>
        </r>
        <r>
          <rPr>
            <sz val="10"/>
            <color rgb="FF000000"/>
            <rFont val="Tahoma"/>
            <family val="2"/>
          </rPr>
          <t xml:space="preserve">
Source: Forbes team page (Venue section, Oct 2025 list), https://www.forbes.com/teams/utah-jazz/. Name shown is the building's current name (naming rights changed over time).</t>
        </r>
      </text>
    </comment>
    <comment ref="J33" authorId="0" shapeId="0" xr:uid="{7B97004A-7B6D-6D41-B329-53AEC3A86F79}">
      <text>
        <r>
          <rPr>
            <b/>
            <sz val="10"/>
            <color rgb="FF000000"/>
            <rFont val="Tahoma"/>
            <family val="2"/>
          </rPr>
          <t>Keller, Zach:</t>
        </r>
        <r>
          <rPr>
            <sz val="10"/>
            <color rgb="FF000000"/>
            <rFont val="Tahoma"/>
            <family val="2"/>
          </rPr>
          <t xml:space="preserve">
Source: Forbes team page (Venue section, Oct 2025 list), https://www.forbes.com/teams/utah-jazz/. Name shown is the building's current name (naming rights changed over time).</t>
        </r>
      </text>
    </comment>
    <comment ref="K33" authorId="0" shapeId="0" xr:uid="{338D16DF-65E1-0946-AC52-0BA9A4768293}">
      <text>
        <r>
          <rPr>
            <b/>
            <sz val="10"/>
            <color rgb="FF000000"/>
            <rFont val="Tahoma"/>
            <family val="2"/>
          </rPr>
          <t>Keller, Zach:</t>
        </r>
        <r>
          <rPr>
            <sz val="10"/>
            <color rgb="FF000000"/>
            <rFont val="Tahoma"/>
            <family val="2"/>
          </rPr>
          <t xml:space="preserve">
Source: Forbes team page (Venue section, Oct 2025 list), https://www.forbes.com/teams/utah-jazz/. Name shown is the building's current name (naming rights changed over time).</t>
        </r>
      </text>
    </comment>
    <comment ref="B34" authorId="0" shapeId="0" xr:uid="{510BBD61-C1F9-B24D-846A-1213C69EB409}">
      <text>
        <r>
          <rPr>
            <b/>
            <sz val="10"/>
            <color rgb="FF000000"/>
            <rFont val="Tahoma"/>
            <family val="2"/>
          </rPr>
          <t>Keller, Zach:</t>
        </r>
        <r>
          <rPr>
            <sz val="10"/>
            <color rgb="FF000000"/>
            <rFont val="Tahoma"/>
            <family val="2"/>
          </rPr>
          <t xml:space="preserve">
Source: Forbes team page (Venue section, Oct 2025 list), https://www.forbes.com/teams/washington-wizards/. Name shown is the building's current name (naming rights changed over time).</t>
        </r>
      </text>
    </comment>
    <comment ref="C34" authorId="0" shapeId="0" xr:uid="{1EFD5485-D7D5-5241-9B72-8322C22C1F2C}">
      <text>
        <r>
          <rPr>
            <b/>
            <sz val="10"/>
            <color rgb="FF000000"/>
            <rFont val="Tahoma"/>
            <family val="2"/>
          </rPr>
          <t>Keller, Zach:</t>
        </r>
        <r>
          <rPr>
            <sz val="10"/>
            <color rgb="FF000000"/>
            <rFont val="Tahoma"/>
            <family val="2"/>
          </rPr>
          <t xml:space="preserve">
Source: Forbes team page (Venue section, Oct 2025 list), https://www.forbes.com/teams/washington-wizards/. Name shown is the building's current name (naming rights changed over time).</t>
        </r>
      </text>
    </comment>
    <comment ref="D34" authorId="0" shapeId="0" xr:uid="{F4C22F70-F64E-854E-A0AD-45EC3BDE51FF}">
      <text>
        <r>
          <rPr>
            <b/>
            <sz val="10"/>
            <color rgb="FF000000"/>
            <rFont val="Tahoma"/>
            <family val="2"/>
          </rPr>
          <t>Keller, Zach:</t>
        </r>
        <r>
          <rPr>
            <sz val="10"/>
            <color rgb="FF000000"/>
            <rFont val="Tahoma"/>
            <family val="2"/>
          </rPr>
          <t xml:space="preserve">
Source: Forbes team page (Venue section, Oct 2025 list), https://www.forbes.com/teams/washington-wizards/. Name shown is the building's current name (naming rights changed over time).</t>
        </r>
      </text>
    </comment>
    <comment ref="E34" authorId="0" shapeId="0" xr:uid="{D83CC350-80BC-CF4B-A6E3-8905168CC7DA}">
      <text>
        <r>
          <rPr>
            <b/>
            <sz val="10"/>
            <color rgb="FF000000"/>
            <rFont val="Tahoma"/>
            <family val="2"/>
          </rPr>
          <t>Keller, Zach:</t>
        </r>
        <r>
          <rPr>
            <sz val="10"/>
            <color rgb="FF000000"/>
            <rFont val="Tahoma"/>
            <family val="2"/>
          </rPr>
          <t xml:space="preserve">
Source: Forbes team page (Venue section, Oct 2025 list), https://www.forbes.com/teams/washington-wizards/. Name shown is the building's current name (naming rights changed over time).</t>
        </r>
      </text>
    </comment>
    <comment ref="F34" authorId="0" shapeId="0" xr:uid="{AC380C96-89B0-FD47-A5E7-2FB3537FB982}">
      <text>
        <r>
          <rPr>
            <b/>
            <sz val="10"/>
            <color rgb="FF000000"/>
            <rFont val="Tahoma"/>
            <family val="2"/>
          </rPr>
          <t>Keller, Zach:</t>
        </r>
        <r>
          <rPr>
            <sz val="10"/>
            <color rgb="FF000000"/>
            <rFont val="Tahoma"/>
            <family val="2"/>
          </rPr>
          <t xml:space="preserve">
Source: Forbes team page (Venue section, Oct 2025 list), https://www.forbes.com/teams/washington-wizards/. Name shown is the building's current name (naming rights changed over time).</t>
        </r>
      </text>
    </comment>
    <comment ref="G34" authorId="0" shapeId="0" xr:uid="{B35839BC-EBE0-1F4E-B1B1-0DBE16DBF2FC}">
      <text>
        <r>
          <rPr>
            <b/>
            <sz val="10"/>
            <color rgb="FF000000"/>
            <rFont val="Tahoma"/>
            <family val="2"/>
          </rPr>
          <t>Keller, Zach:</t>
        </r>
        <r>
          <rPr>
            <sz val="10"/>
            <color rgb="FF000000"/>
            <rFont val="Tahoma"/>
            <family val="2"/>
          </rPr>
          <t xml:space="preserve">
Source: Forbes team page (Venue section, Oct 2025 list), https://www.forbes.com/teams/washington-wizards/. Name shown is the building's current name (naming rights changed over time).</t>
        </r>
      </text>
    </comment>
    <comment ref="H34" authorId="0" shapeId="0" xr:uid="{86676088-922E-6449-95F2-0C84EE01CB4D}">
      <text>
        <r>
          <rPr>
            <b/>
            <sz val="10"/>
            <color rgb="FF000000"/>
            <rFont val="Tahoma"/>
            <family val="2"/>
          </rPr>
          <t>Keller, Zach:</t>
        </r>
        <r>
          <rPr>
            <sz val="10"/>
            <color rgb="FF000000"/>
            <rFont val="Tahoma"/>
            <family val="2"/>
          </rPr>
          <t xml:space="preserve">
Source: Forbes team page (Venue section, Oct 2025 list), https://www.forbes.com/teams/washington-wizards/. Name shown is the building's current name (naming rights changed over time).</t>
        </r>
      </text>
    </comment>
    <comment ref="I34" authorId="0" shapeId="0" xr:uid="{D5D32DEC-76AC-1543-A1BA-925DF82E71EB}">
      <text>
        <r>
          <rPr>
            <b/>
            <sz val="10"/>
            <color rgb="FF000000"/>
            <rFont val="Tahoma"/>
            <family val="2"/>
          </rPr>
          <t>Keller, Zach:</t>
        </r>
        <r>
          <rPr>
            <sz val="10"/>
            <color rgb="FF000000"/>
            <rFont val="Tahoma"/>
            <family val="2"/>
          </rPr>
          <t xml:space="preserve">
Source: Forbes team page (Venue section, Oct 2025 list), https://www.forbes.com/teams/washington-wizards/. Name shown is the building's current name (naming rights changed over time).</t>
        </r>
      </text>
    </comment>
    <comment ref="J34" authorId="0" shapeId="0" xr:uid="{454084CF-C9F8-B947-B90D-87F818165E6D}">
      <text>
        <r>
          <rPr>
            <b/>
            <sz val="10"/>
            <color rgb="FF000000"/>
            <rFont val="Tahoma"/>
            <family val="2"/>
          </rPr>
          <t>Keller, Zach:</t>
        </r>
        <r>
          <rPr>
            <sz val="10"/>
            <color rgb="FF000000"/>
            <rFont val="Tahoma"/>
            <family val="2"/>
          </rPr>
          <t xml:space="preserve">
Source: Forbes team page (Venue section, Oct 2025 list), https://www.forbes.com/teams/washington-wizards/. Name shown is the building's current name (naming rights changed over time).</t>
        </r>
      </text>
    </comment>
    <comment ref="K34" authorId="0" shapeId="0" xr:uid="{AF76BCB1-F6F9-2545-9EC7-65851F65607F}">
      <text>
        <r>
          <rPr>
            <b/>
            <sz val="10"/>
            <color rgb="FF000000"/>
            <rFont val="Tahoma"/>
            <family val="2"/>
          </rPr>
          <t>Keller, Zach:</t>
        </r>
        <r>
          <rPr>
            <sz val="10"/>
            <color rgb="FF000000"/>
            <rFont val="Tahoma"/>
            <family val="2"/>
          </rPr>
          <t xml:space="preserve">
Source: Forbes team page (Venue section, Oct 2025 list), https://www.forbes.com/teams/washington-wizards/. Name shown is the building's current name (naming rights changed over time).</t>
        </r>
      </text>
    </comment>
    <comment ref="B38" authorId="0" shapeId="0" xr:uid="{0E1FD8B3-C6C8-CB4E-B84D-CDF3D42C84E0}">
      <text>
        <r>
          <rPr>
            <b/>
            <sz val="10"/>
            <color rgb="FF000000"/>
            <rFont val="Tahoma"/>
            <family val="2"/>
          </rPr>
          <t>Keller, Zach:</t>
        </r>
        <r>
          <rPr>
            <sz val="10"/>
            <color rgb="FF000000"/>
            <rFont val="Tahoma"/>
            <family val="2"/>
          </rPr>
          <t xml:space="preserve">
Source: Forbes team page (Venue section, Oct 2025 list), https://www.forbes.com/teams/atlanta-hawks/</t>
        </r>
      </text>
    </comment>
    <comment ref="C38" authorId="0" shapeId="0" xr:uid="{5318053A-D90E-D94C-B999-B2BE3C51DAC6}">
      <text>
        <r>
          <rPr>
            <b/>
            <sz val="10"/>
            <color rgb="FF000000"/>
            <rFont val="Tahoma"/>
            <family val="2"/>
          </rPr>
          <t>Keller, Zach:</t>
        </r>
        <r>
          <rPr>
            <sz val="10"/>
            <color rgb="FF000000"/>
            <rFont val="Tahoma"/>
            <family val="2"/>
          </rPr>
          <t xml:space="preserve">
Source: Forbes team page (Venue section, Oct 2025 list), https://www.forbes.com/teams/atlanta-hawks/</t>
        </r>
      </text>
    </comment>
    <comment ref="D38" authorId="0" shapeId="0" xr:uid="{63D4619C-DAFA-354E-BDBA-5FBE15DCDEBF}">
      <text>
        <r>
          <rPr>
            <b/>
            <sz val="10"/>
            <color rgb="FF000000"/>
            <rFont val="Tahoma"/>
            <family val="2"/>
          </rPr>
          <t>Keller, Zach:</t>
        </r>
        <r>
          <rPr>
            <sz val="10"/>
            <color rgb="FF000000"/>
            <rFont val="Tahoma"/>
            <family val="2"/>
          </rPr>
          <t xml:space="preserve">
Source: Forbes team page (Venue section, Oct 2025 list), https://www.forbes.com/teams/atlanta-hawks/</t>
        </r>
      </text>
    </comment>
    <comment ref="E38" authorId="0" shapeId="0" xr:uid="{95A8407C-6379-B248-A787-8C3407927B49}">
      <text>
        <r>
          <rPr>
            <b/>
            <sz val="10"/>
            <color rgb="FF000000"/>
            <rFont val="Tahoma"/>
            <family val="2"/>
          </rPr>
          <t>Keller, Zach:</t>
        </r>
        <r>
          <rPr>
            <sz val="10"/>
            <color rgb="FF000000"/>
            <rFont val="Tahoma"/>
            <family val="2"/>
          </rPr>
          <t xml:space="preserve">
Source: Forbes team page (Venue section, Oct 2025 list), https://www.forbes.com/teams/atlanta-hawks/</t>
        </r>
      </text>
    </comment>
    <comment ref="F38" authorId="0" shapeId="0" xr:uid="{71539482-6BB7-FC4D-A257-89343143282B}">
      <text>
        <r>
          <rPr>
            <b/>
            <sz val="10"/>
            <color rgb="FF000000"/>
            <rFont val="Tahoma"/>
            <family val="2"/>
          </rPr>
          <t>Keller, Zach:</t>
        </r>
        <r>
          <rPr>
            <sz val="10"/>
            <color rgb="FF000000"/>
            <rFont val="Tahoma"/>
            <family val="2"/>
          </rPr>
          <t xml:space="preserve">
Source: Forbes team page (Venue section, Oct 2025 list), https://www.forbes.com/teams/atlanta-hawks/</t>
        </r>
      </text>
    </comment>
    <comment ref="G38" authorId="0" shapeId="0" xr:uid="{8BDCA285-89E0-B54D-A395-FEC75AB115DE}">
      <text>
        <r>
          <rPr>
            <b/>
            <sz val="10"/>
            <color rgb="FF000000"/>
            <rFont val="Tahoma"/>
            <family val="2"/>
          </rPr>
          <t>Keller, Zach:</t>
        </r>
        <r>
          <rPr>
            <sz val="10"/>
            <color rgb="FF000000"/>
            <rFont val="Tahoma"/>
            <family val="2"/>
          </rPr>
          <t xml:space="preserve">
Source: Forbes team page (Venue section, Oct 2025 list), https://www.forbes.com/teams/atlanta-hawks/</t>
        </r>
      </text>
    </comment>
    <comment ref="H38" authorId="0" shapeId="0" xr:uid="{FAB7FE1F-E8B7-CD4B-ACFA-3D3C097CC4BF}">
      <text>
        <r>
          <rPr>
            <b/>
            <sz val="10"/>
            <color rgb="FF000000"/>
            <rFont val="Tahoma"/>
            <family val="2"/>
          </rPr>
          <t>Keller, Zach:</t>
        </r>
        <r>
          <rPr>
            <sz val="10"/>
            <color rgb="FF000000"/>
            <rFont val="Tahoma"/>
            <family val="2"/>
          </rPr>
          <t xml:space="preserve">
Source: Forbes team page (Venue section, Oct 2025 list), https://www.forbes.com/teams/atlanta-hawks/</t>
        </r>
      </text>
    </comment>
    <comment ref="I38" authorId="0" shapeId="0" xr:uid="{665460DB-8EC5-AA46-8914-70660EF315B3}">
      <text>
        <r>
          <rPr>
            <b/>
            <sz val="10"/>
            <color rgb="FF000000"/>
            <rFont val="Tahoma"/>
            <family val="2"/>
          </rPr>
          <t>Keller, Zach:</t>
        </r>
        <r>
          <rPr>
            <sz val="10"/>
            <color rgb="FF000000"/>
            <rFont val="Tahoma"/>
            <family val="2"/>
          </rPr>
          <t xml:space="preserve">
Source: Forbes team page (Venue section, Oct 2025 list), https://www.forbes.com/teams/atlanta-hawks/</t>
        </r>
      </text>
    </comment>
    <comment ref="J38" authorId="0" shapeId="0" xr:uid="{07AD3E57-3554-F946-891C-A3550A6D29BA}">
      <text>
        <r>
          <rPr>
            <b/>
            <sz val="10"/>
            <color rgb="FF000000"/>
            <rFont val="Tahoma"/>
            <family val="2"/>
          </rPr>
          <t>Keller, Zach:</t>
        </r>
        <r>
          <rPr>
            <sz val="10"/>
            <color rgb="FF000000"/>
            <rFont val="Tahoma"/>
            <family val="2"/>
          </rPr>
          <t xml:space="preserve">
Source: Forbes team page (Venue section, Oct 2025 list), https://www.forbes.com/teams/atlanta-hawks/</t>
        </r>
      </text>
    </comment>
    <comment ref="K38" authorId="0" shapeId="0" xr:uid="{3C147F78-2246-CB47-AA91-6241273A00A9}">
      <text>
        <r>
          <rPr>
            <b/>
            <sz val="10"/>
            <color rgb="FF000000"/>
            <rFont val="Tahoma"/>
            <family val="2"/>
          </rPr>
          <t>Keller, Zach:</t>
        </r>
        <r>
          <rPr>
            <sz val="10"/>
            <color rgb="FF000000"/>
            <rFont val="Tahoma"/>
            <family val="2"/>
          </rPr>
          <t xml:space="preserve">
Source: Forbes team page (Venue section, Oct 2025 list), https://www.forbes.com/teams/atlanta-hawks/</t>
        </r>
      </text>
    </comment>
    <comment ref="B39" authorId="0" shapeId="0" xr:uid="{0B316965-921C-A64F-8B62-E286EB298310}">
      <text>
        <r>
          <rPr>
            <b/>
            <sz val="10"/>
            <color rgb="FF000000"/>
            <rFont val="Tahoma"/>
            <family val="2"/>
          </rPr>
          <t>Keller, Zach:</t>
        </r>
        <r>
          <rPr>
            <sz val="10"/>
            <color rgb="FF000000"/>
            <rFont val="Tahoma"/>
            <family val="2"/>
          </rPr>
          <t xml:space="preserve">
Source: Forbes team page (Venue section, Oct 2025 list), https://www.forbes.com/teams/boston-celtics/</t>
        </r>
      </text>
    </comment>
    <comment ref="C39" authorId="0" shapeId="0" xr:uid="{25F5AAD1-5FC6-B040-BD2F-8E6BBDA65973}">
      <text>
        <r>
          <rPr>
            <b/>
            <sz val="10"/>
            <color rgb="FF000000"/>
            <rFont val="Tahoma"/>
            <family val="2"/>
          </rPr>
          <t>Keller, Zach:</t>
        </r>
        <r>
          <rPr>
            <sz val="10"/>
            <color rgb="FF000000"/>
            <rFont val="Tahoma"/>
            <family val="2"/>
          </rPr>
          <t xml:space="preserve">
Source: Forbes team page (Venue section, Oct 2025 list), https://www.forbes.com/teams/boston-celtics/</t>
        </r>
      </text>
    </comment>
    <comment ref="D39" authorId="0" shapeId="0" xr:uid="{6F8F8919-04E4-2646-8902-8CDCC80AD663}">
      <text>
        <r>
          <rPr>
            <b/>
            <sz val="10"/>
            <color rgb="FF000000"/>
            <rFont val="Tahoma"/>
            <family val="2"/>
          </rPr>
          <t>Keller, Zach:</t>
        </r>
        <r>
          <rPr>
            <sz val="10"/>
            <color rgb="FF000000"/>
            <rFont val="Tahoma"/>
            <family val="2"/>
          </rPr>
          <t xml:space="preserve">
Source: Forbes team page (Venue section, Oct 2025 list), https://www.forbes.com/teams/boston-celtics/</t>
        </r>
      </text>
    </comment>
    <comment ref="E39" authorId="0" shapeId="0" xr:uid="{6FF1E58B-47EE-CD42-8FD0-7B4E665CEB66}">
      <text>
        <r>
          <rPr>
            <b/>
            <sz val="10"/>
            <color rgb="FF000000"/>
            <rFont val="Tahoma"/>
            <family val="2"/>
          </rPr>
          <t>Keller, Zach:</t>
        </r>
        <r>
          <rPr>
            <sz val="10"/>
            <color rgb="FF000000"/>
            <rFont val="Tahoma"/>
            <family val="2"/>
          </rPr>
          <t xml:space="preserve">
Source: Forbes team page (Venue section, Oct 2025 list), https://www.forbes.com/teams/boston-celtics/</t>
        </r>
      </text>
    </comment>
    <comment ref="F39" authorId="0" shapeId="0" xr:uid="{8B0CA4E2-57F0-C546-B662-A20B37689769}">
      <text>
        <r>
          <rPr>
            <b/>
            <sz val="10"/>
            <color rgb="FF000000"/>
            <rFont val="Tahoma"/>
            <family val="2"/>
          </rPr>
          <t>Keller, Zach:</t>
        </r>
        <r>
          <rPr>
            <sz val="10"/>
            <color rgb="FF000000"/>
            <rFont val="Tahoma"/>
            <family val="2"/>
          </rPr>
          <t xml:space="preserve">
Source: Forbes team page (Venue section, Oct 2025 list), https://www.forbes.com/teams/boston-celtics/</t>
        </r>
      </text>
    </comment>
    <comment ref="G39" authorId="0" shapeId="0" xr:uid="{567A5516-80E8-714A-9483-ED1D97A084AE}">
      <text>
        <r>
          <rPr>
            <b/>
            <sz val="10"/>
            <color rgb="FF000000"/>
            <rFont val="Tahoma"/>
            <family val="2"/>
          </rPr>
          <t>Keller, Zach:</t>
        </r>
        <r>
          <rPr>
            <sz val="10"/>
            <color rgb="FF000000"/>
            <rFont val="Tahoma"/>
            <family val="2"/>
          </rPr>
          <t xml:space="preserve">
Source: Forbes team page (Venue section, Oct 2025 list), https://www.forbes.com/teams/boston-celtics/</t>
        </r>
      </text>
    </comment>
    <comment ref="H39" authorId="0" shapeId="0" xr:uid="{5C82DAA0-9553-AE4E-98AE-1D0266C5C838}">
      <text>
        <r>
          <rPr>
            <b/>
            <sz val="10"/>
            <color rgb="FF000000"/>
            <rFont val="Tahoma"/>
            <family val="2"/>
          </rPr>
          <t>Keller, Zach:</t>
        </r>
        <r>
          <rPr>
            <sz val="10"/>
            <color rgb="FF000000"/>
            <rFont val="Tahoma"/>
            <family val="2"/>
          </rPr>
          <t xml:space="preserve">
Source: Forbes team page (Venue section, Oct 2025 list), https://www.forbes.com/teams/boston-celtics/</t>
        </r>
      </text>
    </comment>
    <comment ref="I39" authorId="0" shapeId="0" xr:uid="{D2DC6714-C7E5-6146-90B3-D8057586BC37}">
      <text>
        <r>
          <rPr>
            <b/>
            <sz val="10"/>
            <color rgb="FF000000"/>
            <rFont val="Tahoma"/>
            <family val="2"/>
          </rPr>
          <t>Keller, Zach:</t>
        </r>
        <r>
          <rPr>
            <sz val="10"/>
            <color rgb="FF000000"/>
            <rFont val="Tahoma"/>
            <family val="2"/>
          </rPr>
          <t xml:space="preserve">
Source: Forbes team page (Venue section, Oct 2025 list), https://www.forbes.com/teams/boston-celtics/</t>
        </r>
      </text>
    </comment>
    <comment ref="J39" authorId="0" shapeId="0" xr:uid="{B3BCC0BC-E583-D241-9908-EA9E961495D0}">
      <text>
        <r>
          <rPr>
            <b/>
            <sz val="10"/>
            <color rgb="FF000000"/>
            <rFont val="Tahoma"/>
            <family val="2"/>
          </rPr>
          <t>Keller, Zach:</t>
        </r>
        <r>
          <rPr>
            <sz val="10"/>
            <color rgb="FF000000"/>
            <rFont val="Tahoma"/>
            <family val="2"/>
          </rPr>
          <t xml:space="preserve">
Source: Forbes team page (Venue section, Oct 2025 list), https://www.forbes.com/teams/boston-celtics/</t>
        </r>
      </text>
    </comment>
    <comment ref="K39" authorId="0" shapeId="0" xr:uid="{2707267E-46EE-8D48-A07D-C768E8BFFE73}">
      <text>
        <r>
          <rPr>
            <b/>
            <sz val="10"/>
            <color rgb="FF000000"/>
            <rFont val="Tahoma"/>
            <family val="2"/>
          </rPr>
          <t>Keller, Zach:</t>
        </r>
        <r>
          <rPr>
            <sz val="10"/>
            <color rgb="FF000000"/>
            <rFont val="Tahoma"/>
            <family val="2"/>
          </rPr>
          <t xml:space="preserve">
Source: Forbes team page (Venue section, Oct 2025 list), https://www.forbes.com/teams/boston-celtics/</t>
        </r>
      </text>
    </comment>
    <comment ref="B40" authorId="0" shapeId="0" xr:uid="{6FDD4E0C-059B-C941-93B4-6D70FE07AE0D}">
      <text>
        <r>
          <rPr>
            <b/>
            <sz val="10"/>
            <color rgb="FF000000"/>
            <rFont val="Tahoma"/>
            <family val="2"/>
          </rPr>
          <t>Keller, Zach:</t>
        </r>
        <r>
          <rPr>
            <sz val="10"/>
            <color rgb="FF000000"/>
            <rFont val="Tahoma"/>
            <family val="2"/>
          </rPr>
          <t xml:space="preserve">
Source: Forbes team page (Venue section, Oct 2025 list), https://www.forbes.com/teams/brooklyn-nets/</t>
        </r>
      </text>
    </comment>
    <comment ref="C40" authorId="0" shapeId="0" xr:uid="{3ACADD1B-92DA-654A-A6F2-440999D15FBB}">
      <text>
        <r>
          <rPr>
            <b/>
            <sz val="10"/>
            <color rgb="FF000000"/>
            <rFont val="Tahoma"/>
            <family val="2"/>
          </rPr>
          <t>Keller, Zach:</t>
        </r>
        <r>
          <rPr>
            <sz val="10"/>
            <color rgb="FF000000"/>
            <rFont val="Tahoma"/>
            <family val="2"/>
          </rPr>
          <t xml:space="preserve">
Source: Forbes team page (Venue section, Oct 2025 list), https://www.forbes.com/teams/brooklyn-nets/</t>
        </r>
      </text>
    </comment>
    <comment ref="D40" authorId="0" shapeId="0" xr:uid="{20D707EF-7B78-BD4B-B456-FA9513F1E47F}">
      <text>
        <r>
          <rPr>
            <b/>
            <sz val="10"/>
            <color rgb="FF000000"/>
            <rFont val="Tahoma"/>
            <family val="2"/>
          </rPr>
          <t>Keller, Zach:</t>
        </r>
        <r>
          <rPr>
            <sz val="10"/>
            <color rgb="FF000000"/>
            <rFont val="Tahoma"/>
            <family val="2"/>
          </rPr>
          <t xml:space="preserve">
Source: Forbes team page (Venue section, Oct 2025 list), https://www.forbes.com/teams/brooklyn-nets/</t>
        </r>
      </text>
    </comment>
    <comment ref="E40" authorId="0" shapeId="0" xr:uid="{02416F0D-D5D4-3848-A163-7D4BE3244C18}">
      <text>
        <r>
          <rPr>
            <b/>
            <sz val="10"/>
            <color rgb="FF000000"/>
            <rFont val="Tahoma"/>
            <family val="2"/>
          </rPr>
          <t>Keller, Zach:</t>
        </r>
        <r>
          <rPr>
            <sz val="10"/>
            <color rgb="FF000000"/>
            <rFont val="Tahoma"/>
            <family val="2"/>
          </rPr>
          <t xml:space="preserve">
Source: Forbes team page (Venue section, Oct 2025 list), https://www.forbes.com/teams/brooklyn-nets/</t>
        </r>
      </text>
    </comment>
    <comment ref="F40" authorId="0" shapeId="0" xr:uid="{1FA4B049-8EDD-EE4A-8575-53E23EA5E53C}">
      <text>
        <r>
          <rPr>
            <b/>
            <sz val="10"/>
            <color rgb="FF000000"/>
            <rFont val="Tahoma"/>
            <family val="2"/>
          </rPr>
          <t>Keller, Zach:</t>
        </r>
        <r>
          <rPr>
            <sz val="10"/>
            <color rgb="FF000000"/>
            <rFont val="Tahoma"/>
            <family val="2"/>
          </rPr>
          <t xml:space="preserve">
Source: Forbes team page (Venue section, Oct 2025 list), https://www.forbes.com/teams/brooklyn-nets/</t>
        </r>
      </text>
    </comment>
    <comment ref="G40" authorId="0" shapeId="0" xr:uid="{FA693B13-FEAD-A04D-BE78-917F19880C74}">
      <text>
        <r>
          <rPr>
            <b/>
            <sz val="10"/>
            <color rgb="FF000000"/>
            <rFont val="Tahoma"/>
            <family val="2"/>
          </rPr>
          <t>Keller, Zach:</t>
        </r>
        <r>
          <rPr>
            <sz val="10"/>
            <color rgb="FF000000"/>
            <rFont val="Tahoma"/>
            <family val="2"/>
          </rPr>
          <t xml:space="preserve">
Source: Forbes team page (Venue section, Oct 2025 list), https://www.forbes.com/teams/brooklyn-nets/</t>
        </r>
      </text>
    </comment>
    <comment ref="H40" authorId="0" shapeId="0" xr:uid="{AB208B9B-BD88-2C48-A651-CD26642493E1}">
      <text>
        <r>
          <rPr>
            <b/>
            <sz val="10"/>
            <color rgb="FF000000"/>
            <rFont val="Tahoma"/>
            <family val="2"/>
          </rPr>
          <t>Keller, Zach:</t>
        </r>
        <r>
          <rPr>
            <sz val="10"/>
            <color rgb="FF000000"/>
            <rFont val="Tahoma"/>
            <family val="2"/>
          </rPr>
          <t xml:space="preserve">
Source: Forbes team page (Venue section, Oct 2025 list), https://www.forbes.com/teams/brooklyn-nets/</t>
        </r>
      </text>
    </comment>
    <comment ref="I40" authorId="0" shapeId="0" xr:uid="{66898552-778B-A04C-8FFE-BA9B7E2C6B4D}">
      <text>
        <r>
          <rPr>
            <b/>
            <sz val="10"/>
            <color rgb="FF000000"/>
            <rFont val="Tahoma"/>
            <family val="2"/>
          </rPr>
          <t>Keller, Zach:</t>
        </r>
        <r>
          <rPr>
            <sz val="10"/>
            <color rgb="FF000000"/>
            <rFont val="Tahoma"/>
            <family val="2"/>
          </rPr>
          <t xml:space="preserve">
Source: Forbes team page (Venue section, Oct 2025 list), https://www.forbes.com/teams/brooklyn-nets/</t>
        </r>
      </text>
    </comment>
    <comment ref="J40" authorId="0" shapeId="0" xr:uid="{BE545E88-E330-6E46-95F8-8F14275DFC54}">
      <text>
        <r>
          <rPr>
            <b/>
            <sz val="10"/>
            <color rgb="FF000000"/>
            <rFont val="Tahoma"/>
            <family val="2"/>
          </rPr>
          <t>Keller, Zach:</t>
        </r>
        <r>
          <rPr>
            <sz val="10"/>
            <color rgb="FF000000"/>
            <rFont val="Tahoma"/>
            <family val="2"/>
          </rPr>
          <t xml:space="preserve">
Source: Forbes team page (Venue section, Oct 2025 list), https://www.forbes.com/teams/brooklyn-nets/</t>
        </r>
      </text>
    </comment>
    <comment ref="K40" authorId="0" shapeId="0" xr:uid="{A37F0E96-4BC6-614E-B016-B37A2FF78336}">
      <text>
        <r>
          <rPr>
            <b/>
            <sz val="10"/>
            <color rgb="FF000000"/>
            <rFont val="Tahoma"/>
            <family val="2"/>
          </rPr>
          <t>Keller, Zach:</t>
        </r>
        <r>
          <rPr>
            <sz val="10"/>
            <color rgb="FF000000"/>
            <rFont val="Tahoma"/>
            <family val="2"/>
          </rPr>
          <t xml:space="preserve">
Source: Forbes team page (Venue section, Oct 2025 list), https://www.forbes.com/teams/brooklyn-nets/</t>
        </r>
      </text>
    </comment>
    <comment ref="B41" authorId="0" shapeId="0" xr:uid="{65FBDB28-EABD-4547-9BF9-CC919C004758}">
      <text>
        <r>
          <rPr>
            <b/>
            <sz val="10"/>
            <color rgb="FF000000"/>
            <rFont val="Tahoma"/>
            <family val="2"/>
          </rPr>
          <t>Keller, Zach:</t>
        </r>
        <r>
          <rPr>
            <sz val="10"/>
            <color rgb="FF000000"/>
            <rFont val="Tahoma"/>
            <family val="2"/>
          </rPr>
          <t xml:space="preserve">
Source: Forbes team page (Venue section, Oct 2025 list), https://www.forbes.com/teams/charlotte-hornets/</t>
        </r>
      </text>
    </comment>
    <comment ref="C41" authorId="0" shapeId="0" xr:uid="{B62FBC54-E577-824D-A9D8-F94CE2B913A4}">
      <text>
        <r>
          <rPr>
            <b/>
            <sz val="10"/>
            <color rgb="FF000000"/>
            <rFont val="Tahoma"/>
            <family val="2"/>
          </rPr>
          <t>Keller, Zach:</t>
        </r>
        <r>
          <rPr>
            <sz val="10"/>
            <color rgb="FF000000"/>
            <rFont val="Tahoma"/>
            <family val="2"/>
          </rPr>
          <t xml:space="preserve">
Source: Forbes team page (Venue section, Oct 2025 list), https://www.forbes.com/teams/charlotte-hornets/</t>
        </r>
      </text>
    </comment>
    <comment ref="D41" authorId="0" shapeId="0" xr:uid="{1D3D5B67-CA68-FB41-85AC-A2C5A68469E3}">
      <text>
        <r>
          <rPr>
            <b/>
            <sz val="10"/>
            <color rgb="FF000000"/>
            <rFont val="Tahoma"/>
            <family val="2"/>
          </rPr>
          <t>Keller, Zach:</t>
        </r>
        <r>
          <rPr>
            <sz val="10"/>
            <color rgb="FF000000"/>
            <rFont val="Tahoma"/>
            <family val="2"/>
          </rPr>
          <t xml:space="preserve">
Source: Forbes team page (Venue section, Oct 2025 list), https://www.forbes.com/teams/charlotte-hornets/</t>
        </r>
      </text>
    </comment>
    <comment ref="E41" authorId="0" shapeId="0" xr:uid="{7B9886FD-36D7-D141-96EF-CF87EB18EE2F}">
      <text>
        <r>
          <rPr>
            <b/>
            <sz val="10"/>
            <color rgb="FF000000"/>
            <rFont val="Tahoma"/>
            <family val="2"/>
          </rPr>
          <t>Keller, Zach:</t>
        </r>
        <r>
          <rPr>
            <sz val="10"/>
            <color rgb="FF000000"/>
            <rFont val="Tahoma"/>
            <family val="2"/>
          </rPr>
          <t xml:space="preserve">
Source: Forbes team page (Venue section, Oct 2025 list), https://www.forbes.com/teams/charlotte-hornets/</t>
        </r>
      </text>
    </comment>
    <comment ref="F41" authorId="0" shapeId="0" xr:uid="{D042AC46-1AD8-CE47-A3A6-81F597ED42C1}">
      <text>
        <r>
          <rPr>
            <b/>
            <sz val="10"/>
            <color rgb="FF000000"/>
            <rFont val="Tahoma"/>
            <family val="2"/>
          </rPr>
          <t>Keller, Zach:</t>
        </r>
        <r>
          <rPr>
            <sz val="10"/>
            <color rgb="FF000000"/>
            <rFont val="Tahoma"/>
            <family val="2"/>
          </rPr>
          <t xml:space="preserve">
Source: Forbes team page (Venue section, Oct 2025 list), https://www.forbes.com/teams/charlotte-hornets/</t>
        </r>
      </text>
    </comment>
    <comment ref="G41" authorId="0" shapeId="0" xr:uid="{333AAE1B-57CA-3544-9CF9-A8F8B723C6BD}">
      <text>
        <r>
          <rPr>
            <b/>
            <sz val="10"/>
            <color rgb="FF000000"/>
            <rFont val="Tahoma"/>
            <family val="2"/>
          </rPr>
          <t>Keller, Zach:</t>
        </r>
        <r>
          <rPr>
            <sz val="10"/>
            <color rgb="FF000000"/>
            <rFont val="Tahoma"/>
            <family val="2"/>
          </rPr>
          <t xml:space="preserve">
Source: Forbes team page (Venue section, Oct 2025 list), https://www.forbes.com/teams/charlotte-hornets/</t>
        </r>
      </text>
    </comment>
    <comment ref="H41" authorId="0" shapeId="0" xr:uid="{F26458A6-4201-C841-BCB2-799C69165E16}">
      <text>
        <r>
          <rPr>
            <b/>
            <sz val="10"/>
            <color rgb="FF000000"/>
            <rFont val="Tahoma"/>
            <family val="2"/>
          </rPr>
          <t>Keller, Zach:</t>
        </r>
        <r>
          <rPr>
            <sz val="10"/>
            <color rgb="FF000000"/>
            <rFont val="Tahoma"/>
            <family val="2"/>
          </rPr>
          <t xml:space="preserve">
Source: Forbes team page (Venue section, Oct 2025 list), https://www.forbes.com/teams/charlotte-hornets/</t>
        </r>
      </text>
    </comment>
    <comment ref="I41" authorId="0" shapeId="0" xr:uid="{F09C0FB7-34B3-6D43-8F0C-6237229A6664}">
      <text>
        <r>
          <rPr>
            <b/>
            <sz val="10"/>
            <color rgb="FF000000"/>
            <rFont val="Tahoma"/>
            <family val="2"/>
          </rPr>
          <t>Keller, Zach:</t>
        </r>
        <r>
          <rPr>
            <sz val="10"/>
            <color rgb="FF000000"/>
            <rFont val="Tahoma"/>
            <family val="2"/>
          </rPr>
          <t xml:space="preserve">
Source: Forbes team page (Venue section, Oct 2025 list), https://www.forbes.com/teams/charlotte-hornets/</t>
        </r>
      </text>
    </comment>
    <comment ref="J41" authorId="0" shapeId="0" xr:uid="{0F3CD7D4-DEEF-144C-8680-933496DCB727}">
      <text>
        <r>
          <rPr>
            <b/>
            <sz val="10"/>
            <color rgb="FF000000"/>
            <rFont val="Tahoma"/>
            <family val="2"/>
          </rPr>
          <t>Keller, Zach:</t>
        </r>
        <r>
          <rPr>
            <sz val="10"/>
            <color rgb="FF000000"/>
            <rFont val="Tahoma"/>
            <family val="2"/>
          </rPr>
          <t xml:space="preserve">
Source: Forbes team page (Venue section, Oct 2025 list), https://www.forbes.com/teams/charlotte-hornets/</t>
        </r>
      </text>
    </comment>
    <comment ref="K41" authorId="0" shapeId="0" xr:uid="{C4C6CF39-1638-7F4A-936A-F04F42403CFA}">
      <text>
        <r>
          <rPr>
            <b/>
            <sz val="10"/>
            <color rgb="FF000000"/>
            <rFont val="Tahoma"/>
            <family val="2"/>
          </rPr>
          <t>Keller, Zach:</t>
        </r>
        <r>
          <rPr>
            <sz val="10"/>
            <color rgb="FF000000"/>
            <rFont val="Tahoma"/>
            <family val="2"/>
          </rPr>
          <t xml:space="preserve">
Source: Forbes team page (Venue section, Oct 2025 list), https://www.forbes.com/teams/charlotte-hornets/</t>
        </r>
      </text>
    </comment>
    <comment ref="B42" authorId="0" shapeId="0" xr:uid="{F35D3D80-6EE6-6149-8077-B2F1DFC8441E}">
      <text>
        <r>
          <rPr>
            <b/>
            <sz val="10"/>
            <color rgb="FF000000"/>
            <rFont val="Tahoma"/>
            <family val="2"/>
          </rPr>
          <t>Keller, Zach:</t>
        </r>
        <r>
          <rPr>
            <sz val="10"/>
            <color rgb="FF000000"/>
            <rFont val="Tahoma"/>
            <family val="2"/>
          </rPr>
          <t xml:space="preserve">
Source: Forbes team page (Venue section, Oct 2025 list), https://www.forbes.com/teams/chicago-bulls/</t>
        </r>
      </text>
    </comment>
    <comment ref="C42" authorId="0" shapeId="0" xr:uid="{E53D5F84-8BB0-9B45-B8D0-71C220ED5D8E}">
      <text>
        <r>
          <rPr>
            <b/>
            <sz val="10"/>
            <color rgb="FF000000"/>
            <rFont val="Tahoma"/>
            <family val="2"/>
          </rPr>
          <t>Keller, Zach:</t>
        </r>
        <r>
          <rPr>
            <sz val="10"/>
            <color rgb="FF000000"/>
            <rFont val="Tahoma"/>
            <family val="2"/>
          </rPr>
          <t xml:space="preserve">
Source: Forbes team page (Venue section, Oct 2025 list), https://www.forbes.com/teams/chicago-bulls/</t>
        </r>
      </text>
    </comment>
    <comment ref="D42" authorId="0" shapeId="0" xr:uid="{08636D9E-E27A-804E-8F67-4968DE9BC6B2}">
      <text>
        <r>
          <rPr>
            <b/>
            <sz val="10"/>
            <color rgb="FF000000"/>
            <rFont val="Tahoma"/>
            <family val="2"/>
          </rPr>
          <t>Keller, Zach:</t>
        </r>
        <r>
          <rPr>
            <sz val="10"/>
            <color rgb="FF000000"/>
            <rFont val="Tahoma"/>
            <family val="2"/>
          </rPr>
          <t xml:space="preserve">
Source: Forbes team page (Venue section, Oct 2025 list), https://www.forbes.com/teams/chicago-bulls/</t>
        </r>
      </text>
    </comment>
    <comment ref="E42" authorId="0" shapeId="0" xr:uid="{DAA39530-537C-4C49-8F74-34B92E53E8DE}">
      <text>
        <r>
          <rPr>
            <b/>
            <sz val="10"/>
            <color rgb="FF000000"/>
            <rFont val="Tahoma"/>
            <family val="2"/>
          </rPr>
          <t>Keller, Zach:</t>
        </r>
        <r>
          <rPr>
            <sz val="10"/>
            <color rgb="FF000000"/>
            <rFont val="Tahoma"/>
            <family val="2"/>
          </rPr>
          <t xml:space="preserve">
Source: Forbes team page (Venue section, Oct 2025 list), https://www.forbes.com/teams/chicago-bulls/</t>
        </r>
      </text>
    </comment>
    <comment ref="F42" authorId="0" shapeId="0" xr:uid="{E6AB3367-41CB-CF45-A6A6-DF629D2F738E}">
      <text>
        <r>
          <rPr>
            <b/>
            <sz val="10"/>
            <color rgb="FF000000"/>
            <rFont val="Tahoma"/>
            <family val="2"/>
          </rPr>
          <t>Keller, Zach:</t>
        </r>
        <r>
          <rPr>
            <sz val="10"/>
            <color rgb="FF000000"/>
            <rFont val="Tahoma"/>
            <family val="2"/>
          </rPr>
          <t xml:space="preserve">
Source: Forbes team page (Venue section, Oct 2025 list), https://www.forbes.com/teams/chicago-bulls/</t>
        </r>
      </text>
    </comment>
    <comment ref="G42" authorId="0" shapeId="0" xr:uid="{2326D6B6-2482-744E-AB8E-350A04E9BC19}">
      <text>
        <r>
          <rPr>
            <b/>
            <sz val="10"/>
            <color rgb="FF000000"/>
            <rFont val="Tahoma"/>
            <family val="2"/>
          </rPr>
          <t>Keller, Zach:</t>
        </r>
        <r>
          <rPr>
            <sz val="10"/>
            <color rgb="FF000000"/>
            <rFont val="Tahoma"/>
            <family val="2"/>
          </rPr>
          <t xml:space="preserve">
Source: Forbes team page (Venue section, Oct 2025 list), https://www.forbes.com/teams/chicago-bulls/</t>
        </r>
      </text>
    </comment>
    <comment ref="H42" authorId="0" shapeId="0" xr:uid="{62E17FA3-1B32-B643-BC7E-7EAD566B7D2B}">
      <text>
        <r>
          <rPr>
            <b/>
            <sz val="10"/>
            <color rgb="FF000000"/>
            <rFont val="Tahoma"/>
            <family val="2"/>
          </rPr>
          <t>Keller, Zach:</t>
        </r>
        <r>
          <rPr>
            <sz val="10"/>
            <color rgb="FF000000"/>
            <rFont val="Tahoma"/>
            <family val="2"/>
          </rPr>
          <t xml:space="preserve">
Source: Forbes team page (Venue section, Oct 2025 list), https://www.forbes.com/teams/chicago-bulls/</t>
        </r>
      </text>
    </comment>
    <comment ref="I42" authorId="0" shapeId="0" xr:uid="{72EF0472-765D-D24B-9E95-B534E7CD05BD}">
      <text>
        <r>
          <rPr>
            <b/>
            <sz val="10"/>
            <color rgb="FF000000"/>
            <rFont val="Tahoma"/>
            <family val="2"/>
          </rPr>
          <t>Keller, Zach:</t>
        </r>
        <r>
          <rPr>
            <sz val="10"/>
            <color rgb="FF000000"/>
            <rFont val="Tahoma"/>
            <family val="2"/>
          </rPr>
          <t xml:space="preserve">
Source: Forbes team page (Venue section, Oct 2025 list), https://www.forbes.com/teams/chicago-bulls/</t>
        </r>
      </text>
    </comment>
    <comment ref="J42" authorId="0" shapeId="0" xr:uid="{0A23A939-340B-EA4D-A03E-5B85A9FEBAE1}">
      <text>
        <r>
          <rPr>
            <b/>
            <sz val="10"/>
            <color rgb="FF000000"/>
            <rFont val="Tahoma"/>
            <family val="2"/>
          </rPr>
          <t>Keller, Zach:</t>
        </r>
        <r>
          <rPr>
            <sz val="10"/>
            <color rgb="FF000000"/>
            <rFont val="Tahoma"/>
            <family val="2"/>
          </rPr>
          <t xml:space="preserve">
Source: Forbes team page (Venue section, Oct 2025 list), https://www.forbes.com/teams/chicago-bulls/</t>
        </r>
      </text>
    </comment>
    <comment ref="K42" authorId="0" shapeId="0" xr:uid="{4453EE59-987A-FA48-A9F3-828CF37C0309}">
      <text>
        <r>
          <rPr>
            <b/>
            <sz val="10"/>
            <color rgb="FF000000"/>
            <rFont val="Tahoma"/>
            <family val="2"/>
          </rPr>
          <t>Keller, Zach:</t>
        </r>
        <r>
          <rPr>
            <sz val="10"/>
            <color rgb="FF000000"/>
            <rFont val="Tahoma"/>
            <family val="2"/>
          </rPr>
          <t xml:space="preserve">
Source: Forbes team page (Venue section, Oct 2025 list), https://www.forbes.com/teams/chicago-bulls/</t>
        </r>
      </text>
    </comment>
    <comment ref="B43" authorId="0" shapeId="0" xr:uid="{A6525474-B345-3346-965D-2361E1CADBC4}">
      <text>
        <r>
          <rPr>
            <b/>
            <sz val="10"/>
            <color rgb="FF000000"/>
            <rFont val="Tahoma"/>
            <family val="2"/>
          </rPr>
          <t>Keller, Zach:</t>
        </r>
        <r>
          <rPr>
            <sz val="10"/>
            <color rgb="FF000000"/>
            <rFont val="Tahoma"/>
            <family val="2"/>
          </rPr>
          <t xml:space="preserve">
Opened Oct 17 1994 as Gund Arena (Forbes lists the 2019 renovation year). Source: Ticketmaster, https://blog.ticketmaster.com/step-inside-rocket-mortgage-fieldhouse-in-cleveland-ohio/</t>
        </r>
      </text>
    </comment>
    <comment ref="C43" authorId="0" shapeId="0" xr:uid="{7500FF11-0790-3C4B-BD5B-F860ABAD9A65}">
      <text>
        <r>
          <rPr>
            <b/>
            <sz val="10"/>
            <color rgb="FF000000"/>
            <rFont val="Tahoma"/>
            <family val="2"/>
          </rPr>
          <t>Keller, Zach:</t>
        </r>
        <r>
          <rPr>
            <sz val="10"/>
            <color rgb="FF000000"/>
            <rFont val="Tahoma"/>
            <family val="2"/>
          </rPr>
          <t xml:space="preserve">
Opened Oct 17 1994 as Gund Arena (Forbes lists the 2019 renovation year). Source: Ticketmaster, https://blog.ticketmaster.com/step-inside-rocket-mortgage-fieldhouse-in-cleveland-ohio/</t>
        </r>
      </text>
    </comment>
    <comment ref="D43" authorId="0" shapeId="0" xr:uid="{27DE5CD5-2600-6541-A698-C7726C07778E}">
      <text>
        <r>
          <rPr>
            <b/>
            <sz val="10"/>
            <color rgb="FF000000"/>
            <rFont val="Tahoma"/>
            <family val="2"/>
          </rPr>
          <t>Keller, Zach:</t>
        </r>
        <r>
          <rPr>
            <sz val="10"/>
            <color rgb="FF000000"/>
            <rFont val="Tahoma"/>
            <family val="2"/>
          </rPr>
          <t xml:space="preserve">
Opened Oct 17 1994 as Gund Arena (Forbes lists the 2019 renovation year). Source: Ticketmaster, https://blog.ticketmaster.com/step-inside-rocket-mortgage-fieldhouse-in-cleveland-ohio/</t>
        </r>
      </text>
    </comment>
    <comment ref="E43" authorId="0" shapeId="0" xr:uid="{9BF73DFC-9FCA-7341-9916-8257D74E43B8}">
      <text>
        <r>
          <rPr>
            <b/>
            <sz val="10"/>
            <color rgb="FF000000"/>
            <rFont val="Tahoma"/>
            <family val="2"/>
          </rPr>
          <t>Keller, Zach:</t>
        </r>
        <r>
          <rPr>
            <sz val="10"/>
            <color rgb="FF000000"/>
            <rFont val="Tahoma"/>
            <family val="2"/>
          </rPr>
          <t xml:space="preserve">
Opened Oct 17 1994 as Gund Arena (Forbes lists the 2019 renovation year). Source: Ticketmaster, https://blog.ticketmaster.com/step-inside-rocket-mortgage-fieldhouse-in-cleveland-ohio/</t>
        </r>
      </text>
    </comment>
    <comment ref="F43" authorId="0" shapeId="0" xr:uid="{0604193F-EA8F-CB46-A96C-D7E831C22060}">
      <text>
        <r>
          <rPr>
            <b/>
            <sz val="10"/>
            <color rgb="FF000000"/>
            <rFont val="Tahoma"/>
            <family val="2"/>
          </rPr>
          <t>Keller, Zach:</t>
        </r>
        <r>
          <rPr>
            <sz val="10"/>
            <color rgb="FF000000"/>
            <rFont val="Tahoma"/>
            <family val="2"/>
          </rPr>
          <t xml:space="preserve">
Opened Oct 17 1994 as Gund Arena (Forbes lists the 2019 renovation year). Source: Ticketmaster, https://blog.ticketmaster.com/step-inside-rocket-mortgage-fieldhouse-in-cleveland-ohio/</t>
        </r>
      </text>
    </comment>
    <comment ref="G43" authorId="0" shapeId="0" xr:uid="{FF42AB73-9F3A-2644-A9FB-C3D529007CEC}">
      <text>
        <r>
          <rPr>
            <b/>
            <sz val="10"/>
            <color rgb="FF000000"/>
            <rFont val="Tahoma"/>
            <family val="2"/>
          </rPr>
          <t>Keller, Zach:</t>
        </r>
        <r>
          <rPr>
            <sz val="10"/>
            <color rgb="FF000000"/>
            <rFont val="Tahoma"/>
            <family val="2"/>
          </rPr>
          <t xml:space="preserve">
Opened Oct 17 1994 as Gund Arena (Forbes lists the 2019 renovation year). Source: Ticketmaster, https://blog.ticketmaster.com/step-inside-rocket-mortgage-fieldhouse-in-cleveland-ohio/</t>
        </r>
      </text>
    </comment>
    <comment ref="H43" authorId="0" shapeId="0" xr:uid="{DAFE77EF-9087-EB40-9B95-ADA8D0489A41}">
      <text>
        <r>
          <rPr>
            <b/>
            <sz val="10"/>
            <color rgb="FF000000"/>
            <rFont val="Tahoma"/>
            <family val="2"/>
          </rPr>
          <t>Keller, Zach:</t>
        </r>
        <r>
          <rPr>
            <sz val="10"/>
            <color rgb="FF000000"/>
            <rFont val="Tahoma"/>
            <family val="2"/>
          </rPr>
          <t xml:space="preserve">
Opened Oct 17 1994 as Gund Arena (Forbes lists the 2019 renovation year). Source: Ticketmaster, https://blog.ticketmaster.com/step-inside-rocket-mortgage-fieldhouse-in-cleveland-ohio/</t>
        </r>
      </text>
    </comment>
    <comment ref="I43" authorId="0" shapeId="0" xr:uid="{AF7C9C6B-3722-B64E-BBF0-FEFB250AFD6C}">
      <text>
        <r>
          <rPr>
            <b/>
            <sz val="10"/>
            <color rgb="FF000000"/>
            <rFont val="Tahoma"/>
            <family val="2"/>
          </rPr>
          <t>Keller, Zach:</t>
        </r>
        <r>
          <rPr>
            <sz val="10"/>
            <color rgb="FF000000"/>
            <rFont val="Tahoma"/>
            <family val="2"/>
          </rPr>
          <t xml:space="preserve">
Opened Oct 17 1994 as Gund Arena (Forbes lists the 2019 renovation year). Source: Ticketmaster, https://blog.ticketmaster.com/step-inside-rocket-mortgage-fieldhouse-in-cleveland-ohio/</t>
        </r>
      </text>
    </comment>
    <comment ref="J43" authorId="0" shapeId="0" xr:uid="{D996A856-8430-B44B-80F6-DB89CEE0F7A8}">
      <text>
        <r>
          <rPr>
            <b/>
            <sz val="10"/>
            <color rgb="FF000000"/>
            <rFont val="Tahoma"/>
            <family val="2"/>
          </rPr>
          <t>Keller, Zach:</t>
        </r>
        <r>
          <rPr>
            <sz val="10"/>
            <color rgb="FF000000"/>
            <rFont val="Tahoma"/>
            <family val="2"/>
          </rPr>
          <t xml:space="preserve">
Opened Oct 17 1994 as Gund Arena (Forbes lists the 2019 renovation year). Source: Ticketmaster, https://blog.ticketmaster.com/step-inside-rocket-mortgage-fieldhouse-in-cleveland-ohio/</t>
        </r>
      </text>
    </comment>
    <comment ref="K43" authorId="0" shapeId="0" xr:uid="{A51F5F15-A5EA-7043-9446-3009B6EA0E15}">
      <text>
        <r>
          <rPr>
            <b/>
            <sz val="10"/>
            <color rgb="FF000000"/>
            <rFont val="Tahoma"/>
            <family val="2"/>
          </rPr>
          <t>Keller, Zach:</t>
        </r>
        <r>
          <rPr>
            <sz val="10"/>
            <color rgb="FF000000"/>
            <rFont val="Tahoma"/>
            <family val="2"/>
          </rPr>
          <t xml:space="preserve">
Opened Oct 17 1994 as Gund Arena (Forbes lists the 2019 renovation year). Source: Ticketmaster, https://blog.ticketmaster.com/step-inside-rocket-mortgage-fieldhouse-in-cleveland-ohio/</t>
        </r>
      </text>
    </comment>
    <comment ref="B44" authorId="0" shapeId="0" xr:uid="{D9C28330-94CA-3146-B5A2-2886A62681B3}">
      <text>
        <r>
          <rPr>
            <b/>
            <sz val="10"/>
            <color rgb="FF000000"/>
            <rFont val="Tahoma"/>
            <family val="2"/>
          </rPr>
          <t>Keller, Zach:</t>
        </r>
        <r>
          <rPr>
            <sz val="10"/>
            <color rgb="FF000000"/>
            <rFont val="Tahoma"/>
            <family val="2"/>
          </rPr>
          <t xml:space="preserve">
Source: Forbes team page (Venue section, Oct 2025 list), https://www.forbes.com/teams/dallas-mavericks/</t>
        </r>
      </text>
    </comment>
    <comment ref="C44" authorId="0" shapeId="0" xr:uid="{E774BA73-A5BD-884A-91BA-18A54B8EDAC2}">
      <text>
        <r>
          <rPr>
            <b/>
            <sz val="10"/>
            <color rgb="FF000000"/>
            <rFont val="Tahoma"/>
            <family val="2"/>
          </rPr>
          <t>Keller, Zach:</t>
        </r>
        <r>
          <rPr>
            <sz val="10"/>
            <color rgb="FF000000"/>
            <rFont val="Tahoma"/>
            <family val="2"/>
          </rPr>
          <t xml:space="preserve">
Source: Forbes team page (Venue section, Oct 2025 list), https://www.forbes.com/teams/dallas-mavericks/</t>
        </r>
      </text>
    </comment>
    <comment ref="D44" authorId="0" shapeId="0" xr:uid="{06DBD8E6-6272-AC48-86A3-F3989D405922}">
      <text>
        <r>
          <rPr>
            <b/>
            <sz val="10"/>
            <color rgb="FF000000"/>
            <rFont val="Tahoma"/>
            <family val="2"/>
          </rPr>
          <t>Keller, Zach:</t>
        </r>
        <r>
          <rPr>
            <sz val="10"/>
            <color rgb="FF000000"/>
            <rFont val="Tahoma"/>
            <family val="2"/>
          </rPr>
          <t xml:space="preserve">
Source: Forbes team page (Venue section, Oct 2025 list), https://www.forbes.com/teams/dallas-mavericks/</t>
        </r>
      </text>
    </comment>
    <comment ref="E44" authorId="0" shapeId="0" xr:uid="{EF43A254-9FF7-9A48-99B9-8B5AA0E75E58}">
      <text>
        <r>
          <rPr>
            <b/>
            <sz val="10"/>
            <color rgb="FF000000"/>
            <rFont val="Tahoma"/>
            <family val="2"/>
          </rPr>
          <t>Keller, Zach:</t>
        </r>
        <r>
          <rPr>
            <sz val="10"/>
            <color rgb="FF000000"/>
            <rFont val="Tahoma"/>
            <family val="2"/>
          </rPr>
          <t xml:space="preserve">
Source: Forbes team page (Venue section, Oct 2025 list), https://www.forbes.com/teams/dallas-mavericks/</t>
        </r>
      </text>
    </comment>
    <comment ref="F44" authorId="0" shapeId="0" xr:uid="{18CCD27D-BA07-0446-B7FB-BCCE18FD1576}">
      <text>
        <r>
          <rPr>
            <b/>
            <sz val="10"/>
            <color rgb="FF000000"/>
            <rFont val="Tahoma"/>
            <family val="2"/>
          </rPr>
          <t>Keller, Zach:</t>
        </r>
        <r>
          <rPr>
            <sz val="10"/>
            <color rgb="FF000000"/>
            <rFont val="Tahoma"/>
            <family val="2"/>
          </rPr>
          <t xml:space="preserve">
Source: Forbes team page (Venue section, Oct 2025 list), https://www.forbes.com/teams/dallas-mavericks/</t>
        </r>
      </text>
    </comment>
    <comment ref="G44" authorId="0" shapeId="0" xr:uid="{65AFD307-F26F-F14A-B7BA-C2395266043C}">
      <text>
        <r>
          <rPr>
            <b/>
            <sz val="10"/>
            <color rgb="FF000000"/>
            <rFont val="Tahoma"/>
            <family val="2"/>
          </rPr>
          <t>Keller, Zach:</t>
        </r>
        <r>
          <rPr>
            <sz val="10"/>
            <color rgb="FF000000"/>
            <rFont val="Tahoma"/>
            <family val="2"/>
          </rPr>
          <t xml:space="preserve">
Source: Forbes team page (Venue section, Oct 2025 list), https://www.forbes.com/teams/dallas-mavericks/</t>
        </r>
      </text>
    </comment>
    <comment ref="H44" authorId="0" shapeId="0" xr:uid="{73DB2F5A-632C-FC4D-BA5F-CD263D8327E5}">
      <text>
        <r>
          <rPr>
            <b/>
            <sz val="10"/>
            <color rgb="FF000000"/>
            <rFont val="Tahoma"/>
            <family val="2"/>
          </rPr>
          <t>Keller, Zach:</t>
        </r>
        <r>
          <rPr>
            <sz val="10"/>
            <color rgb="FF000000"/>
            <rFont val="Tahoma"/>
            <family val="2"/>
          </rPr>
          <t xml:space="preserve">
Source: Forbes team page (Venue section, Oct 2025 list), https://www.forbes.com/teams/dallas-mavericks/</t>
        </r>
      </text>
    </comment>
    <comment ref="I44" authorId="0" shapeId="0" xr:uid="{14396FD9-C86F-7543-B593-ACC7618C3BE8}">
      <text>
        <r>
          <rPr>
            <b/>
            <sz val="10"/>
            <color rgb="FF000000"/>
            <rFont val="Tahoma"/>
            <family val="2"/>
          </rPr>
          <t>Keller, Zach:</t>
        </r>
        <r>
          <rPr>
            <sz val="10"/>
            <color rgb="FF000000"/>
            <rFont val="Tahoma"/>
            <family val="2"/>
          </rPr>
          <t xml:space="preserve">
Source: Forbes team page (Venue section, Oct 2025 list), https://www.forbes.com/teams/dallas-mavericks/</t>
        </r>
      </text>
    </comment>
    <comment ref="J44" authorId="0" shapeId="0" xr:uid="{B6C535EB-EE1C-8648-8B3D-86EDB24C42F0}">
      <text>
        <r>
          <rPr>
            <b/>
            <sz val="10"/>
            <color rgb="FF000000"/>
            <rFont val="Tahoma"/>
            <family val="2"/>
          </rPr>
          <t>Keller, Zach:</t>
        </r>
        <r>
          <rPr>
            <sz val="10"/>
            <color rgb="FF000000"/>
            <rFont val="Tahoma"/>
            <family val="2"/>
          </rPr>
          <t xml:space="preserve">
Source: Forbes team page (Venue section, Oct 2025 list), https://www.forbes.com/teams/dallas-mavericks/</t>
        </r>
      </text>
    </comment>
    <comment ref="K44" authorId="0" shapeId="0" xr:uid="{95AF203A-1936-E943-9AA3-AEBEA448D2C7}">
      <text>
        <r>
          <rPr>
            <b/>
            <sz val="10"/>
            <color rgb="FF000000"/>
            <rFont val="Tahoma"/>
            <family val="2"/>
          </rPr>
          <t>Keller, Zach:</t>
        </r>
        <r>
          <rPr>
            <sz val="10"/>
            <color rgb="FF000000"/>
            <rFont val="Tahoma"/>
            <family val="2"/>
          </rPr>
          <t xml:space="preserve">
Source: Forbes team page (Venue section, Oct 2025 list), https://www.forbes.com/teams/dallas-mavericks/</t>
        </r>
      </text>
    </comment>
    <comment ref="B45" authorId="0" shapeId="0" xr:uid="{001AB489-F0B6-FF48-BAAA-A5817D2DBFDA}">
      <text>
        <r>
          <rPr>
            <b/>
            <sz val="10"/>
            <color rgb="FF000000"/>
            <rFont val="Tahoma"/>
            <family val="2"/>
          </rPr>
          <t>Keller, Zach:</t>
        </r>
        <r>
          <rPr>
            <sz val="10"/>
            <color rgb="FF000000"/>
            <rFont val="Tahoma"/>
            <family val="2"/>
          </rPr>
          <t xml:space="preserve">
Source: Forbes team page (Venue section, Oct 2025 list), https://www.forbes.com/teams/denver-nuggets/</t>
        </r>
      </text>
    </comment>
    <comment ref="C45" authorId="0" shapeId="0" xr:uid="{45F0D7D1-E386-174C-A093-0DBE27E88247}">
      <text>
        <r>
          <rPr>
            <b/>
            <sz val="10"/>
            <color rgb="FF000000"/>
            <rFont val="Tahoma"/>
            <family val="2"/>
          </rPr>
          <t>Keller, Zach:</t>
        </r>
        <r>
          <rPr>
            <sz val="10"/>
            <color rgb="FF000000"/>
            <rFont val="Tahoma"/>
            <family val="2"/>
          </rPr>
          <t xml:space="preserve">
Source: Forbes team page (Venue section, Oct 2025 list), https://www.forbes.com/teams/denver-nuggets/</t>
        </r>
      </text>
    </comment>
    <comment ref="D45" authorId="0" shapeId="0" xr:uid="{7209230F-D76E-7041-BDE8-BD11536BAD42}">
      <text>
        <r>
          <rPr>
            <b/>
            <sz val="10"/>
            <color rgb="FF000000"/>
            <rFont val="Tahoma"/>
            <family val="2"/>
          </rPr>
          <t>Keller, Zach:</t>
        </r>
        <r>
          <rPr>
            <sz val="10"/>
            <color rgb="FF000000"/>
            <rFont val="Tahoma"/>
            <family val="2"/>
          </rPr>
          <t xml:space="preserve">
Source: Forbes team page (Venue section, Oct 2025 list), https://www.forbes.com/teams/denver-nuggets/</t>
        </r>
      </text>
    </comment>
    <comment ref="E45" authorId="0" shapeId="0" xr:uid="{E2FB9B09-B500-0C4F-A31B-492AEB72FAE7}">
      <text>
        <r>
          <rPr>
            <b/>
            <sz val="10"/>
            <color rgb="FF000000"/>
            <rFont val="Tahoma"/>
            <family val="2"/>
          </rPr>
          <t>Keller, Zach:</t>
        </r>
        <r>
          <rPr>
            <sz val="10"/>
            <color rgb="FF000000"/>
            <rFont val="Tahoma"/>
            <family val="2"/>
          </rPr>
          <t xml:space="preserve">
Source: Forbes team page (Venue section, Oct 2025 list), https://www.forbes.com/teams/denver-nuggets/</t>
        </r>
      </text>
    </comment>
    <comment ref="F45" authorId="0" shapeId="0" xr:uid="{CF381482-C059-6B4A-82FA-9A178EC62BE6}">
      <text>
        <r>
          <rPr>
            <b/>
            <sz val="10"/>
            <color rgb="FF000000"/>
            <rFont val="Tahoma"/>
            <family val="2"/>
          </rPr>
          <t>Keller, Zach:</t>
        </r>
        <r>
          <rPr>
            <sz val="10"/>
            <color rgb="FF000000"/>
            <rFont val="Tahoma"/>
            <family val="2"/>
          </rPr>
          <t xml:space="preserve">
Source: Forbes team page (Venue section, Oct 2025 list), https://www.forbes.com/teams/denver-nuggets/</t>
        </r>
      </text>
    </comment>
    <comment ref="G45" authorId="0" shapeId="0" xr:uid="{BB4E68B3-622A-2547-930A-B22DAF7FBEA7}">
      <text>
        <r>
          <rPr>
            <b/>
            <sz val="10"/>
            <color rgb="FF000000"/>
            <rFont val="Tahoma"/>
            <family val="2"/>
          </rPr>
          <t>Keller, Zach:</t>
        </r>
        <r>
          <rPr>
            <sz val="10"/>
            <color rgb="FF000000"/>
            <rFont val="Tahoma"/>
            <family val="2"/>
          </rPr>
          <t xml:space="preserve">
Source: Forbes team page (Venue section, Oct 2025 list), https://www.forbes.com/teams/denver-nuggets/</t>
        </r>
      </text>
    </comment>
    <comment ref="H45" authorId="0" shapeId="0" xr:uid="{5B569F35-D5B7-4A49-B03A-DB73839DA5D9}">
      <text>
        <r>
          <rPr>
            <b/>
            <sz val="10"/>
            <color rgb="FF000000"/>
            <rFont val="Tahoma"/>
            <family val="2"/>
          </rPr>
          <t>Keller, Zach:</t>
        </r>
        <r>
          <rPr>
            <sz val="10"/>
            <color rgb="FF000000"/>
            <rFont val="Tahoma"/>
            <family val="2"/>
          </rPr>
          <t xml:space="preserve">
Source: Forbes team page (Venue section, Oct 2025 list), https://www.forbes.com/teams/denver-nuggets/</t>
        </r>
      </text>
    </comment>
    <comment ref="I45" authorId="0" shapeId="0" xr:uid="{D70DBE60-E168-3B48-8E97-E44382D58018}">
      <text>
        <r>
          <rPr>
            <b/>
            <sz val="10"/>
            <color rgb="FF000000"/>
            <rFont val="Tahoma"/>
            <family val="2"/>
          </rPr>
          <t>Keller, Zach:</t>
        </r>
        <r>
          <rPr>
            <sz val="10"/>
            <color rgb="FF000000"/>
            <rFont val="Tahoma"/>
            <family val="2"/>
          </rPr>
          <t xml:space="preserve">
Source: Forbes team page (Venue section, Oct 2025 list), https://www.forbes.com/teams/denver-nuggets/</t>
        </r>
      </text>
    </comment>
    <comment ref="J45" authorId="0" shapeId="0" xr:uid="{15C1E034-87DD-AD46-BF67-43583F88A628}">
      <text>
        <r>
          <rPr>
            <b/>
            <sz val="10"/>
            <color rgb="FF000000"/>
            <rFont val="Tahoma"/>
            <family val="2"/>
          </rPr>
          <t>Keller, Zach:</t>
        </r>
        <r>
          <rPr>
            <sz val="10"/>
            <color rgb="FF000000"/>
            <rFont val="Tahoma"/>
            <family val="2"/>
          </rPr>
          <t xml:space="preserve">
Source: Forbes team page (Venue section, Oct 2025 list), https://www.forbes.com/teams/denver-nuggets/</t>
        </r>
      </text>
    </comment>
    <comment ref="K45" authorId="0" shapeId="0" xr:uid="{6C6A905B-9BDA-2A41-9363-ED6AE63F97F2}">
      <text>
        <r>
          <rPr>
            <b/>
            <sz val="10"/>
            <color rgb="FF000000"/>
            <rFont val="Tahoma"/>
            <family val="2"/>
          </rPr>
          <t>Keller, Zach:</t>
        </r>
        <r>
          <rPr>
            <sz val="10"/>
            <color rgb="FF000000"/>
            <rFont val="Tahoma"/>
            <family val="2"/>
          </rPr>
          <t xml:space="preserve">
Source: Forbes team page (Venue section, Oct 2025 list), https://www.forbes.com/teams/denver-nuggets/</t>
        </r>
      </text>
    </comment>
    <comment ref="B46" authorId="0" shapeId="0" xr:uid="{0E4FF8B2-CAC3-074B-9F1D-A705CFD1839E}">
      <text>
        <r>
          <rPr>
            <b/>
            <sz val="10"/>
            <color rgb="FF000000"/>
            <rFont val="Tahoma"/>
            <family val="2"/>
          </rPr>
          <t>Keller, Zach:</t>
        </r>
        <r>
          <rPr>
            <sz val="10"/>
            <color rgb="FF000000"/>
            <rFont val="Tahoma"/>
            <family val="2"/>
          </rPr>
          <t xml:space="preserve">
Opened Aug 13 1988. Source: WILX, https://www.wilx.com/2025/08/14/this-day-michigan-history-palace-auburn-hills-opens/</t>
        </r>
      </text>
    </comment>
    <comment ref="C46" authorId="0" shapeId="0" xr:uid="{CC9D8D5A-98BC-694F-B45B-E036B275A56B}">
      <text>
        <r>
          <rPr>
            <b/>
            <sz val="10"/>
            <color rgb="FF000000"/>
            <rFont val="Tahoma"/>
            <family val="2"/>
          </rPr>
          <t>Keller, Zach:</t>
        </r>
        <r>
          <rPr>
            <sz val="10"/>
            <color rgb="FF000000"/>
            <rFont val="Tahoma"/>
            <family val="2"/>
          </rPr>
          <t xml:space="preserve">
Opened Aug 13 1988. Source: WILX, https://www.wilx.com/2025/08/14/this-day-michigan-history-palace-auburn-hills-opens/</t>
        </r>
      </text>
    </comment>
    <comment ref="D46" authorId="0" shapeId="0" xr:uid="{6313ACD7-0768-6049-8E7E-5B9E2EBE1619}">
      <text>
        <r>
          <rPr>
            <b/>
            <sz val="10"/>
            <color rgb="FF000000"/>
            <rFont val="Tahoma"/>
            <family val="2"/>
          </rPr>
          <t>Keller, Zach:</t>
        </r>
        <r>
          <rPr>
            <sz val="10"/>
            <color rgb="FF000000"/>
            <rFont val="Tahoma"/>
            <family val="2"/>
          </rPr>
          <t xml:space="preserve">
Source: Forbes team page (Venue section, Oct 2025 list), https://www.forbes.com/teams/detroit-pistons/</t>
        </r>
      </text>
    </comment>
    <comment ref="E46" authorId="0" shapeId="0" xr:uid="{BFC4E75E-45A1-9C47-84CC-9165CFE17749}">
      <text>
        <r>
          <rPr>
            <b/>
            <sz val="10"/>
            <color rgb="FF000000"/>
            <rFont val="Tahoma"/>
            <family val="2"/>
          </rPr>
          <t>Keller, Zach:</t>
        </r>
        <r>
          <rPr>
            <sz val="10"/>
            <color rgb="FF000000"/>
            <rFont val="Tahoma"/>
            <family val="2"/>
          </rPr>
          <t xml:space="preserve">
Source: Forbes team page (Venue section, Oct 2025 list), https://www.forbes.com/teams/detroit-pistons/</t>
        </r>
      </text>
    </comment>
    <comment ref="F46" authorId="0" shapeId="0" xr:uid="{2353F212-5F3A-E44D-8559-C683EF69843F}">
      <text>
        <r>
          <rPr>
            <b/>
            <sz val="10"/>
            <color rgb="FF000000"/>
            <rFont val="Tahoma"/>
            <family val="2"/>
          </rPr>
          <t>Keller, Zach:</t>
        </r>
        <r>
          <rPr>
            <sz val="10"/>
            <color rgb="FF000000"/>
            <rFont val="Tahoma"/>
            <family val="2"/>
          </rPr>
          <t xml:space="preserve">
Source: Forbes team page (Venue section, Oct 2025 list), https://www.forbes.com/teams/detroit-pistons/</t>
        </r>
      </text>
    </comment>
    <comment ref="G46" authorId="0" shapeId="0" xr:uid="{A1BB01F8-A07D-A347-A4DC-DC1392A5F6DB}">
      <text>
        <r>
          <rPr>
            <b/>
            <sz val="10"/>
            <color rgb="FF000000"/>
            <rFont val="Tahoma"/>
            <family val="2"/>
          </rPr>
          <t>Keller, Zach:</t>
        </r>
        <r>
          <rPr>
            <sz val="10"/>
            <color rgb="FF000000"/>
            <rFont val="Tahoma"/>
            <family val="2"/>
          </rPr>
          <t xml:space="preserve">
Source: Forbes team page (Venue section, Oct 2025 list), https://www.forbes.com/teams/detroit-pistons/</t>
        </r>
      </text>
    </comment>
    <comment ref="H46" authorId="0" shapeId="0" xr:uid="{A2687251-FADA-4D40-9C52-0692EDCD3536}">
      <text>
        <r>
          <rPr>
            <b/>
            <sz val="10"/>
            <color rgb="FF000000"/>
            <rFont val="Tahoma"/>
            <family val="2"/>
          </rPr>
          <t>Keller, Zach:</t>
        </r>
        <r>
          <rPr>
            <sz val="10"/>
            <color rgb="FF000000"/>
            <rFont val="Tahoma"/>
            <family val="2"/>
          </rPr>
          <t xml:space="preserve">
Source: Forbes team page (Venue section, Oct 2025 list), https://www.forbes.com/teams/detroit-pistons/</t>
        </r>
      </text>
    </comment>
    <comment ref="I46" authorId="0" shapeId="0" xr:uid="{2C634518-612A-3943-B4AE-71A74D985C6B}">
      <text>
        <r>
          <rPr>
            <b/>
            <sz val="10"/>
            <color rgb="FF000000"/>
            <rFont val="Tahoma"/>
            <family val="2"/>
          </rPr>
          <t>Keller, Zach:</t>
        </r>
        <r>
          <rPr>
            <sz val="10"/>
            <color rgb="FF000000"/>
            <rFont val="Tahoma"/>
            <family val="2"/>
          </rPr>
          <t xml:space="preserve">
Source: Forbes team page (Venue section, Oct 2025 list), https://www.forbes.com/teams/detroit-pistons/</t>
        </r>
      </text>
    </comment>
    <comment ref="J46" authorId="0" shapeId="0" xr:uid="{1674F6DD-3DCD-054C-958D-D2FC45D42437}">
      <text>
        <r>
          <rPr>
            <b/>
            <sz val="10"/>
            <color rgb="FF000000"/>
            <rFont val="Tahoma"/>
            <family val="2"/>
          </rPr>
          <t>Keller, Zach:</t>
        </r>
        <r>
          <rPr>
            <sz val="10"/>
            <color rgb="FF000000"/>
            <rFont val="Tahoma"/>
            <family val="2"/>
          </rPr>
          <t xml:space="preserve">
Source: Forbes team page (Venue section, Oct 2025 list), https://www.forbes.com/teams/detroit-pistons/</t>
        </r>
      </text>
    </comment>
    <comment ref="K46" authorId="0" shapeId="0" xr:uid="{2DA7D70F-C6E7-3D4C-BD4F-69633D3EA4ED}">
      <text>
        <r>
          <rPr>
            <b/>
            <sz val="10"/>
            <color rgb="FF000000"/>
            <rFont val="Tahoma"/>
            <family val="2"/>
          </rPr>
          <t>Keller, Zach:</t>
        </r>
        <r>
          <rPr>
            <sz val="10"/>
            <color rgb="FF000000"/>
            <rFont val="Tahoma"/>
            <family val="2"/>
          </rPr>
          <t xml:space="preserve">
Source: Forbes team page (Venue section, Oct 2025 list), https://www.forbes.com/teams/detroit-pistons/</t>
        </r>
      </text>
    </comment>
    <comment ref="B47" authorId="0" shapeId="0" xr:uid="{572F5BF0-7139-954E-809B-B725D98DA1EA}">
      <text>
        <r>
          <rPr>
            <b/>
            <sz val="10"/>
            <color rgb="FF000000"/>
            <rFont val="Tahoma"/>
            <family val="2"/>
          </rPr>
          <t>Keller, Zach:</t>
        </r>
        <r>
          <rPr>
            <sz val="10"/>
            <color rgb="FF000000"/>
            <rFont val="Tahoma"/>
            <family val="2"/>
          </rPr>
          <t xml:space="preserve">
Opened 1966. Source: ABC7 San Francisco, https://abc7news.com/post/golden-goodbye-looking-back-at-the-home-of-the-warriors/5332547/</t>
        </r>
      </text>
    </comment>
    <comment ref="C47" authorId="0" shapeId="0" xr:uid="{5C6C7CB7-E447-4D48-AAC3-74809B0C5FE1}">
      <text>
        <r>
          <rPr>
            <b/>
            <sz val="10"/>
            <color rgb="FF000000"/>
            <rFont val="Tahoma"/>
            <family val="2"/>
          </rPr>
          <t>Keller, Zach:</t>
        </r>
        <r>
          <rPr>
            <sz val="10"/>
            <color rgb="FF000000"/>
            <rFont val="Tahoma"/>
            <family val="2"/>
          </rPr>
          <t xml:space="preserve">
Opened 1966. Source: ABC7 San Francisco, https://abc7news.com/post/golden-goodbye-looking-back-at-the-home-of-the-warriors/5332547/</t>
        </r>
      </text>
    </comment>
    <comment ref="D47" authorId="0" shapeId="0" xr:uid="{FB093796-6FB5-D24D-A563-64A0052D1DFE}">
      <text>
        <r>
          <rPr>
            <b/>
            <sz val="10"/>
            <color rgb="FF000000"/>
            <rFont val="Tahoma"/>
            <family val="2"/>
          </rPr>
          <t>Keller, Zach:</t>
        </r>
        <r>
          <rPr>
            <sz val="10"/>
            <color rgb="FF000000"/>
            <rFont val="Tahoma"/>
            <family val="2"/>
          </rPr>
          <t xml:space="preserve">
Opened 1966. Source: ABC7 San Francisco, https://abc7news.com/post/golden-goodbye-looking-back-at-the-home-of-the-warriors/5332547/</t>
        </r>
      </text>
    </comment>
    <comment ref="E47" authorId="0" shapeId="0" xr:uid="{D1C8CC37-10FD-0A43-85CB-FE0E6D7ED9C1}">
      <text>
        <r>
          <rPr>
            <b/>
            <sz val="10"/>
            <color rgb="FF000000"/>
            <rFont val="Tahoma"/>
            <family val="2"/>
          </rPr>
          <t>Keller, Zach:</t>
        </r>
        <r>
          <rPr>
            <sz val="10"/>
            <color rgb="FF000000"/>
            <rFont val="Tahoma"/>
            <family val="2"/>
          </rPr>
          <t xml:space="preserve">
Opened 1966. Source: ABC7 San Francisco, https://abc7news.com/post/golden-goodbye-looking-back-at-the-home-of-the-warriors/5332547/</t>
        </r>
      </text>
    </comment>
    <comment ref="F47" authorId="0" shapeId="0" xr:uid="{28D64397-5DE1-754F-BF36-0FED3EF88154}">
      <text>
        <r>
          <rPr>
            <b/>
            <sz val="10"/>
            <color rgb="FF000000"/>
            <rFont val="Tahoma"/>
            <family val="2"/>
          </rPr>
          <t>Keller, Zach:</t>
        </r>
        <r>
          <rPr>
            <sz val="10"/>
            <color rgb="FF000000"/>
            <rFont val="Tahoma"/>
            <family val="2"/>
          </rPr>
          <t xml:space="preserve">
Source: Forbes team page (Venue section, Oct 2025 list), https://www.forbes.com/teams/golden-state-warriors/</t>
        </r>
      </text>
    </comment>
    <comment ref="G47" authorId="0" shapeId="0" xr:uid="{A7BC7EDD-E2EB-DF47-B78D-D3A46511D73E}">
      <text>
        <r>
          <rPr>
            <b/>
            <sz val="10"/>
            <color rgb="FF000000"/>
            <rFont val="Tahoma"/>
            <family val="2"/>
          </rPr>
          <t>Keller, Zach:</t>
        </r>
        <r>
          <rPr>
            <sz val="10"/>
            <color rgb="FF000000"/>
            <rFont val="Tahoma"/>
            <family val="2"/>
          </rPr>
          <t xml:space="preserve">
Source: Forbes team page (Venue section, Oct 2025 list), https://www.forbes.com/teams/golden-state-warriors/</t>
        </r>
      </text>
    </comment>
    <comment ref="H47" authorId="0" shapeId="0" xr:uid="{3268AC51-FDC3-7447-BD95-D9AF443632FF}">
      <text>
        <r>
          <rPr>
            <b/>
            <sz val="10"/>
            <color rgb="FF000000"/>
            <rFont val="Tahoma"/>
            <family val="2"/>
          </rPr>
          <t>Keller, Zach:</t>
        </r>
        <r>
          <rPr>
            <sz val="10"/>
            <color rgb="FF000000"/>
            <rFont val="Tahoma"/>
            <family val="2"/>
          </rPr>
          <t xml:space="preserve">
Source: Forbes team page (Venue section, Oct 2025 list), https://www.forbes.com/teams/golden-state-warriors/</t>
        </r>
      </text>
    </comment>
    <comment ref="I47" authorId="0" shapeId="0" xr:uid="{15B68DE5-E8CD-3849-8601-EA8EA0964429}">
      <text>
        <r>
          <rPr>
            <b/>
            <sz val="10"/>
            <color rgb="FF000000"/>
            <rFont val="Tahoma"/>
            <family val="2"/>
          </rPr>
          <t>Keller, Zach:</t>
        </r>
        <r>
          <rPr>
            <sz val="10"/>
            <color rgb="FF000000"/>
            <rFont val="Tahoma"/>
            <family val="2"/>
          </rPr>
          <t xml:space="preserve">
Source: Forbes team page (Venue section, Oct 2025 list), https://www.forbes.com/teams/golden-state-warriors/</t>
        </r>
      </text>
    </comment>
    <comment ref="J47" authorId="0" shapeId="0" xr:uid="{0B4E9E24-E0F0-5C46-A6CA-96A2EDC11207}">
      <text>
        <r>
          <rPr>
            <b/>
            <sz val="10"/>
            <color rgb="FF000000"/>
            <rFont val="Tahoma"/>
            <family val="2"/>
          </rPr>
          <t>Keller, Zach:</t>
        </r>
        <r>
          <rPr>
            <sz val="10"/>
            <color rgb="FF000000"/>
            <rFont val="Tahoma"/>
            <family val="2"/>
          </rPr>
          <t xml:space="preserve">
Source: Forbes team page (Venue section, Oct 2025 list), https://www.forbes.com/teams/golden-state-warriors/</t>
        </r>
      </text>
    </comment>
    <comment ref="K47" authorId="0" shapeId="0" xr:uid="{2676B1E5-4B44-EF4E-AF6C-7B269D216FFC}">
      <text>
        <r>
          <rPr>
            <b/>
            <sz val="10"/>
            <color rgb="FF000000"/>
            <rFont val="Tahoma"/>
            <family val="2"/>
          </rPr>
          <t>Keller, Zach:</t>
        </r>
        <r>
          <rPr>
            <sz val="10"/>
            <color rgb="FF000000"/>
            <rFont val="Tahoma"/>
            <family val="2"/>
          </rPr>
          <t xml:space="preserve">
Source: Forbes team page (Venue section, Oct 2025 list), https://www.forbes.com/teams/golden-state-warriors/</t>
        </r>
      </text>
    </comment>
    <comment ref="B48" authorId="0" shapeId="0" xr:uid="{9C75B4F0-7650-0341-BC46-8557798EEBC9}">
      <text>
        <r>
          <rPr>
            <b/>
            <sz val="10"/>
            <color rgb="FF000000"/>
            <rFont val="Tahoma"/>
            <family val="2"/>
          </rPr>
          <t>Keller, Zach:</t>
        </r>
        <r>
          <rPr>
            <sz val="10"/>
            <color rgb="FF000000"/>
            <rFont val="Tahoma"/>
            <family val="2"/>
          </rPr>
          <t xml:space="preserve">
Source: Forbes team page (Venue section, Oct 2025 list), https://www.forbes.com/teams/houston-rockets/</t>
        </r>
      </text>
    </comment>
    <comment ref="C48" authorId="0" shapeId="0" xr:uid="{F62D635A-0ACC-9949-8F4C-B8A9D04A9C87}">
      <text>
        <r>
          <rPr>
            <b/>
            <sz val="10"/>
            <color rgb="FF000000"/>
            <rFont val="Tahoma"/>
            <family val="2"/>
          </rPr>
          <t>Keller, Zach:</t>
        </r>
        <r>
          <rPr>
            <sz val="10"/>
            <color rgb="FF000000"/>
            <rFont val="Tahoma"/>
            <family val="2"/>
          </rPr>
          <t xml:space="preserve">
Source: Forbes team page (Venue section, Oct 2025 list), https://www.forbes.com/teams/houston-rockets/</t>
        </r>
      </text>
    </comment>
    <comment ref="D48" authorId="0" shapeId="0" xr:uid="{7D0122C5-F5B2-3841-B30D-F2FF13AC65AD}">
      <text>
        <r>
          <rPr>
            <b/>
            <sz val="10"/>
            <color rgb="FF000000"/>
            <rFont val="Tahoma"/>
            <family val="2"/>
          </rPr>
          <t>Keller, Zach:</t>
        </r>
        <r>
          <rPr>
            <sz val="10"/>
            <color rgb="FF000000"/>
            <rFont val="Tahoma"/>
            <family val="2"/>
          </rPr>
          <t xml:space="preserve">
Source: Forbes team page (Venue section, Oct 2025 list), https://www.forbes.com/teams/houston-rockets/</t>
        </r>
      </text>
    </comment>
    <comment ref="E48" authorId="0" shapeId="0" xr:uid="{67A87D59-1275-FB49-AEB4-2A7D309A6AB3}">
      <text>
        <r>
          <rPr>
            <b/>
            <sz val="10"/>
            <color rgb="FF000000"/>
            <rFont val="Tahoma"/>
            <family val="2"/>
          </rPr>
          <t>Keller, Zach:</t>
        </r>
        <r>
          <rPr>
            <sz val="10"/>
            <color rgb="FF000000"/>
            <rFont val="Tahoma"/>
            <family val="2"/>
          </rPr>
          <t xml:space="preserve">
Source: Forbes team page (Venue section, Oct 2025 list), https://www.forbes.com/teams/houston-rockets/</t>
        </r>
      </text>
    </comment>
    <comment ref="F48" authorId="0" shapeId="0" xr:uid="{E8EC11E6-1F1C-E840-9B45-5707A94EA098}">
      <text>
        <r>
          <rPr>
            <b/>
            <sz val="10"/>
            <color rgb="FF000000"/>
            <rFont val="Tahoma"/>
            <family val="2"/>
          </rPr>
          <t>Keller, Zach:</t>
        </r>
        <r>
          <rPr>
            <sz val="10"/>
            <color rgb="FF000000"/>
            <rFont val="Tahoma"/>
            <family val="2"/>
          </rPr>
          <t xml:space="preserve">
Source: Forbes team page (Venue section, Oct 2025 list), https://www.forbes.com/teams/houston-rockets/</t>
        </r>
      </text>
    </comment>
    <comment ref="G48" authorId="0" shapeId="0" xr:uid="{6D278B6F-15D4-ED48-B3A1-C72A1A35471E}">
      <text>
        <r>
          <rPr>
            <b/>
            <sz val="10"/>
            <color rgb="FF000000"/>
            <rFont val="Tahoma"/>
            <family val="2"/>
          </rPr>
          <t>Keller, Zach:</t>
        </r>
        <r>
          <rPr>
            <sz val="10"/>
            <color rgb="FF000000"/>
            <rFont val="Tahoma"/>
            <family val="2"/>
          </rPr>
          <t xml:space="preserve">
Source: Forbes team page (Venue section, Oct 2025 list), https://www.forbes.com/teams/houston-rockets/</t>
        </r>
      </text>
    </comment>
    <comment ref="H48" authorId="0" shapeId="0" xr:uid="{1DAB9D46-F471-1E42-A59B-4A942CBFE211}">
      <text>
        <r>
          <rPr>
            <b/>
            <sz val="10"/>
            <color rgb="FF000000"/>
            <rFont val="Tahoma"/>
            <family val="2"/>
          </rPr>
          <t>Keller, Zach:</t>
        </r>
        <r>
          <rPr>
            <sz val="10"/>
            <color rgb="FF000000"/>
            <rFont val="Tahoma"/>
            <family val="2"/>
          </rPr>
          <t xml:space="preserve">
Source: Forbes team page (Venue section, Oct 2025 list), https://www.forbes.com/teams/houston-rockets/</t>
        </r>
      </text>
    </comment>
    <comment ref="I48" authorId="0" shapeId="0" xr:uid="{8D97127E-3AE4-9C4E-A67E-25730DB00B2E}">
      <text>
        <r>
          <rPr>
            <b/>
            <sz val="10"/>
            <color rgb="FF000000"/>
            <rFont val="Tahoma"/>
            <family val="2"/>
          </rPr>
          <t>Keller, Zach:</t>
        </r>
        <r>
          <rPr>
            <sz val="10"/>
            <color rgb="FF000000"/>
            <rFont val="Tahoma"/>
            <family val="2"/>
          </rPr>
          <t xml:space="preserve">
Source: Forbes team page (Venue section, Oct 2025 list), https://www.forbes.com/teams/houston-rockets/</t>
        </r>
      </text>
    </comment>
    <comment ref="J48" authorId="0" shapeId="0" xr:uid="{D39AABFF-EF89-544D-BEC3-18C4A26AE982}">
      <text>
        <r>
          <rPr>
            <b/>
            <sz val="10"/>
            <color rgb="FF000000"/>
            <rFont val="Tahoma"/>
            <family val="2"/>
          </rPr>
          <t>Keller, Zach:</t>
        </r>
        <r>
          <rPr>
            <sz val="10"/>
            <color rgb="FF000000"/>
            <rFont val="Tahoma"/>
            <family val="2"/>
          </rPr>
          <t xml:space="preserve">
Source: Forbes team page (Venue section, Oct 2025 list), https://www.forbes.com/teams/houston-rockets/</t>
        </r>
      </text>
    </comment>
    <comment ref="K48" authorId="0" shapeId="0" xr:uid="{A426DFD1-0B61-9646-9A7C-D43B4B73749D}">
      <text>
        <r>
          <rPr>
            <b/>
            <sz val="10"/>
            <color rgb="FF000000"/>
            <rFont val="Tahoma"/>
            <family val="2"/>
          </rPr>
          <t>Keller, Zach:</t>
        </r>
        <r>
          <rPr>
            <sz val="10"/>
            <color rgb="FF000000"/>
            <rFont val="Tahoma"/>
            <family val="2"/>
          </rPr>
          <t xml:space="preserve">
Source: Forbes team page (Venue section, Oct 2025 list), https://www.forbes.com/teams/houston-rockets/</t>
        </r>
      </text>
    </comment>
    <comment ref="B49" authorId="0" shapeId="0" xr:uid="{42A87059-5365-BC4F-9BBB-226EDEED399A}">
      <text>
        <r>
          <rPr>
            <b/>
            <sz val="10"/>
            <color rgb="FF000000"/>
            <rFont val="Tahoma"/>
            <family val="2"/>
          </rPr>
          <t>Keller, Zach:</t>
        </r>
        <r>
          <rPr>
            <sz val="10"/>
            <color rgb="FF000000"/>
            <rFont val="Tahoma"/>
            <family val="2"/>
          </rPr>
          <t xml:space="preserve">
Source: Forbes team page (Venue section, Oct 2025 list), https://www.forbes.com/teams/indiana-pacers/</t>
        </r>
      </text>
    </comment>
    <comment ref="C49" authorId="0" shapeId="0" xr:uid="{421D065A-4180-9E4B-9D1D-157B4CE61EA8}">
      <text>
        <r>
          <rPr>
            <b/>
            <sz val="10"/>
            <color rgb="FF000000"/>
            <rFont val="Tahoma"/>
            <family val="2"/>
          </rPr>
          <t>Keller, Zach:</t>
        </r>
        <r>
          <rPr>
            <sz val="10"/>
            <color rgb="FF000000"/>
            <rFont val="Tahoma"/>
            <family val="2"/>
          </rPr>
          <t xml:space="preserve">
Source: Forbes team page (Venue section, Oct 2025 list), https://www.forbes.com/teams/indiana-pacers/</t>
        </r>
      </text>
    </comment>
    <comment ref="D49" authorId="0" shapeId="0" xr:uid="{F1F2D19F-313D-1145-ABBB-8DD569A32744}">
      <text>
        <r>
          <rPr>
            <b/>
            <sz val="10"/>
            <color rgb="FF000000"/>
            <rFont val="Tahoma"/>
            <family val="2"/>
          </rPr>
          <t>Keller, Zach:</t>
        </r>
        <r>
          <rPr>
            <sz val="10"/>
            <color rgb="FF000000"/>
            <rFont val="Tahoma"/>
            <family val="2"/>
          </rPr>
          <t xml:space="preserve">
Source: Forbes team page (Venue section, Oct 2025 list), https://www.forbes.com/teams/indiana-pacers/</t>
        </r>
      </text>
    </comment>
    <comment ref="E49" authorId="0" shapeId="0" xr:uid="{57AF8EF0-13B5-EA4F-BE00-64D1CCD9CE0C}">
      <text>
        <r>
          <rPr>
            <b/>
            <sz val="10"/>
            <color rgb="FF000000"/>
            <rFont val="Tahoma"/>
            <family val="2"/>
          </rPr>
          <t>Keller, Zach:</t>
        </r>
        <r>
          <rPr>
            <sz val="10"/>
            <color rgb="FF000000"/>
            <rFont val="Tahoma"/>
            <family val="2"/>
          </rPr>
          <t xml:space="preserve">
Source: Forbes team page (Venue section, Oct 2025 list), https://www.forbes.com/teams/indiana-pacers/</t>
        </r>
      </text>
    </comment>
    <comment ref="F49" authorId="0" shapeId="0" xr:uid="{ACDBDF9D-83B9-754F-A24A-92328506A464}">
      <text>
        <r>
          <rPr>
            <b/>
            <sz val="10"/>
            <color rgb="FF000000"/>
            <rFont val="Tahoma"/>
            <family val="2"/>
          </rPr>
          <t>Keller, Zach:</t>
        </r>
        <r>
          <rPr>
            <sz val="10"/>
            <color rgb="FF000000"/>
            <rFont val="Tahoma"/>
            <family val="2"/>
          </rPr>
          <t xml:space="preserve">
Source: Forbes team page (Venue section, Oct 2025 list), https://www.forbes.com/teams/indiana-pacers/</t>
        </r>
      </text>
    </comment>
    <comment ref="G49" authorId="0" shapeId="0" xr:uid="{0F7045FE-4E64-3945-9D3B-E35ECDE75939}">
      <text>
        <r>
          <rPr>
            <b/>
            <sz val="10"/>
            <color rgb="FF000000"/>
            <rFont val="Tahoma"/>
            <family val="2"/>
          </rPr>
          <t>Keller, Zach:</t>
        </r>
        <r>
          <rPr>
            <sz val="10"/>
            <color rgb="FF000000"/>
            <rFont val="Tahoma"/>
            <family val="2"/>
          </rPr>
          <t xml:space="preserve">
Source: Forbes team page (Venue section, Oct 2025 list), https://www.forbes.com/teams/indiana-pacers/</t>
        </r>
      </text>
    </comment>
    <comment ref="H49" authorId="0" shapeId="0" xr:uid="{2D588653-A2CD-C547-A708-441130E0D753}">
      <text>
        <r>
          <rPr>
            <b/>
            <sz val="10"/>
            <color rgb="FF000000"/>
            <rFont val="Tahoma"/>
            <family val="2"/>
          </rPr>
          <t>Keller, Zach:</t>
        </r>
        <r>
          <rPr>
            <sz val="10"/>
            <color rgb="FF000000"/>
            <rFont val="Tahoma"/>
            <family val="2"/>
          </rPr>
          <t xml:space="preserve">
Source: Forbes team page (Venue section, Oct 2025 list), https://www.forbes.com/teams/indiana-pacers/</t>
        </r>
      </text>
    </comment>
    <comment ref="I49" authorId="0" shapeId="0" xr:uid="{F004384A-58F5-474E-B453-3950B9217D27}">
      <text>
        <r>
          <rPr>
            <b/>
            <sz val="10"/>
            <color rgb="FF000000"/>
            <rFont val="Tahoma"/>
            <family val="2"/>
          </rPr>
          <t>Keller, Zach:</t>
        </r>
        <r>
          <rPr>
            <sz val="10"/>
            <color rgb="FF000000"/>
            <rFont val="Tahoma"/>
            <family val="2"/>
          </rPr>
          <t xml:space="preserve">
Source: Forbes team page (Venue section, Oct 2025 list), https://www.forbes.com/teams/indiana-pacers/</t>
        </r>
      </text>
    </comment>
    <comment ref="J49" authorId="0" shapeId="0" xr:uid="{62BD2F8D-72E3-8B44-904B-A88B6E3926F8}">
      <text>
        <r>
          <rPr>
            <b/>
            <sz val="10"/>
            <color rgb="FF000000"/>
            <rFont val="Tahoma"/>
            <family val="2"/>
          </rPr>
          <t>Keller, Zach:</t>
        </r>
        <r>
          <rPr>
            <sz val="10"/>
            <color rgb="FF000000"/>
            <rFont val="Tahoma"/>
            <family val="2"/>
          </rPr>
          <t xml:space="preserve">
Source: Forbes team page (Venue section, Oct 2025 list), https://www.forbes.com/teams/indiana-pacers/</t>
        </r>
      </text>
    </comment>
    <comment ref="K49" authorId="0" shapeId="0" xr:uid="{6738B2DB-2A40-1B4B-AE4A-A0F11267A9A9}">
      <text>
        <r>
          <rPr>
            <b/>
            <sz val="10"/>
            <color rgb="FF000000"/>
            <rFont val="Tahoma"/>
            <family val="2"/>
          </rPr>
          <t>Keller, Zach:</t>
        </r>
        <r>
          <rPr>
            <sz val="10"/>
            <color rgb="FF000000"/>
            <rFont val="Tahoma"/>
            <family val="2"/>
          </rPr>
          <t xml:space="preserve">
Source: Forbes team page (Venue section, Oct 2025 list), https://www.forbes.com/teams/indiana-pacers/</t>
        </r>
      </text>
    </comment>
    <comment ref="B50" authorId="0" shapeId="0" xr:uid="{F7DFB953-F866-A54F-B73E-3A01F2F50C24}">
      <text>
        <r>
          <rPr>
            <b/>
            <sz val="10"/>
            <color rgb="FF000000"/>
            <rFont val="Tahoma"/>
            <family val="2"/>
          </rPr>
          <t>Keller, Zach:</t>
        </r>
        <r>
          <rPr>
            <sz val="10"/>
            <color rgb="FF000000"/>
            <rFont val="Tahoma"/>
            <family val="2"/>
          </rPr>
          <t xml:space="preserve">
Opened 1999. Source: Forbes team page (Lakers, same arena), https://www.forbes.com/teams/los-angeles-lakers/</t>
        </r>
      </text>
    </comment>
    <comment ref="C50" authorId="0" shapeId="0" xr:uid="{60F93C60-CB53-774D-B67C-42AE4964ED41}">
      <text>
        <r>
          <rPr>
            <b/>
            <sz val="10"/>
            <color rgb="FF000000"/>
            <rFont val="Tahoma"/>
            <family val="2"/>
          </rPr>
          <t>Keller, Zach:</t>
        </r>
        <r>
          <rPr>
            <sz val="10"/>
            <color rgb="FF000000"/>
            <rFont val="Tahoma"/>
            <family val="2"/>
          </rPr>
          <t xml:space="preserve">
Opened 1999. Source: Forbes team page (Lakers, same arena), https://www.forbes.com/teams/los-angeles-lakers/</t>
        </r>
      </text>
    </comment>
    <comment ref="D50" authorId="0" shapeId="0" xr:uid="{A6A4F2B2-0BCE-FF4F-853F-17CB8A08A48D}">
      <text>
        <r>
          <rPr>
            <b/>
            <sz val="10"/>
            <color rgb="FF000000"/>
            <rFont val="Tahoma"/>
            <family val="2"/>
          </rPr>
          <t>Keller, Zach:</t>
        </r>
        <r>
          <rPr>
            <sz val="10"/>
            <color rgb="FF000000"/>
            <rFont val="Tahoma"/>
            <family val="2"/>
          </rPr>
          <t xml:space="preserve">
Opened 1999. Source: Forbes team page (Lakers, same arena), https://www.forbes.com/teams/los-angeles-lakers/</t>
        </r>
      </text>
    </comment>
    <comment ref="E50" authorId="0" shapeId="0" xr:uid="{1C1390A2-B938-C146-8EB5-3F6C45BE32DA}">
      <text>
        <r>
          <rPr>
            <b/>
            <sz val="10"/>
            <color rgb="FF000000"/>
            <rFont val="Tahoma"/>
            <family val="2"/>
          </rPr>
          <t>Keller, Zach:</t>
        </r>
        <r>
          <rPr>
            <sz val="10"/>
            <color rgb="FF000000"/>
            <rFont val="Tahoma"/>
            <family val="2"/>
          </rPr>
          <t xml:space="preserve">
Opened 1999. Source: Forbes team page (Lakers, same arena), https://www.forbes.com/teams/los-angeles-lakers/</t>
        </r>
      </text>
    </comment>
    <comment ref="F50" authorId="0" shapeId="0" xr:uid="{50DA5CE0-41FD-9D49-BC79-52A64ECC1315}">
      <text>
        <r>
          <rPr>
            <b/>
            <sz val="10"/>
            <color rgb="FF000000"/>
            <rFont val="Tahoma"/>
            <family val="2"/>
          </rPr>
          <t>Keller, Zach:</t>
        </r>
        <r>
          <rPr>
            <sz val="10"/>
            <color rgb="FF000000"/>
            <rFont val="Tahoma"/>
            <family val="2"/>
          </rPr>
          <t xml:space="preserve">
Opened 1999. Source: Forbes team page (Lakers, same arena), https://www.forbes.com/teams/los-angeles-lakers/</t>
        </r>
      </text>
    </comment>
    <comment ref="G50" authorId="0" shapeId="0" xr:uid="{AC06361B-D71D-E54E-934E-00B70EDDC17A}">
      <text>
        <r>
          <rPr>
            <b/>
            <sz val="10"/>
            <color rgb="FF000000"/>
            <rFont val="Tahoma"/>
            <family val="2"/>
          </rPr>
          <t>Keller, Zach:</t>
        </r>
        <r>
          <rPr>
            <sz val="10"/>
            <color rgb="FF000000"/>
            <rFont val="Tahoma"/>
            <family val="2"/>
          </rPr>
          <t xml:space="preserve">
Opened 1999. Source: Forbes team page (Lakers, same arena), https://www.forbes.com/teams/los-angeles-lakers/</t>
        </r>
      </text>
    </comment>
    <comment ref="H50" authorId="0" shapeId="0" xr:uid="{728CA83A-DD3E-4046-8BBA-1836384524D6}">
      <text>
        <r>
          <rPr>
            <b/>
            <sz val="10"/>
            <color rgb="FF000000"/>
            <rFont val="Tahoma"/>
            <family val="2"/>
          </rPr>
          <t>Keller, Zach:</t>
        </r>
        <r>
          <rPr>
            <sz val="10"/>
            <color rgb="FF000000"/>
            <rFont val="Tahoma"/>
            <family val="2"/>
          </rPr>
          <t xml:space="preserve">
Opened 1999. Source: Forbes team page (Lakers, same arena), https://www.forbes.com/teams/los-angeles-lakers/</t>
        </r>
      </text>
    </comment>
    <comment ref="I50" authorId="0" shapeId="0" xr:uid="{36DA9220-B957-C745-9F1B-B9DD32663A63}">
      <text>
        <r>
          <rPr>
            <b/>
            <sz val="10"/>
            <color rgb="FF000000"/>
            <rFont val="Tahoma"/>
            <family val="2"/>
          </rPr>
          <t>Keller, Zach:</t>
        </r>
        <r>
          <rPr>
            <sz val="10"/>
            <color rgb="FF000000"/>
            <rFont val="Tahoma"/>
            <family val="2"/>
          </rPr>
          <t xml:space="preserve">
Opened 1999. Source: Forbes team page (Lakers, same arena), https://www.forbes.com/teams/los-angeles-lakers/</t>
        </r>
      </text>
    </comment>
    <comment ref="J50" authorId="0" shapeId="0" xr:uid="{B74DD500-CE7A-784A-ACBD-3D7955CCDF7E}">
      <text>
        <r>
          <rPr>
            <b/>
            <sz val="10"/>
            <color rgb="FF000000"/>
            <rFont val="Tahoma"/>
            <family val="2"/>
          </rPr>
          <t>Keller, Zach:</t>
        </r>
        <r>
          <rPr>
            <sz val="10"/>
            <color rgb="FF000000"/>
            <rFont val="Tahoma"/>
            <family val="2"/>
          </rPr>
          <t xml:space="preserve">
Opened 1999. Source: Forbes team page (Lakers, same arena), https://www.forbes.com/teams/los-angeles-lakers/</t>
        </r>
      </text>
    </comment>
    <comment ref="K50" authorId="0" shapeId="0" xr:uid="{78A912AC-D7F8-6A40-A414-F566EDC4E947}">
      <text>
        <r>
          <rPr>
            <b/>
            <sz val="10"/>
            <color rgb="FF000000"/>
            <rFont val="Tahoma"/>
            <family val="2"/>
          </rPr>
          <t>Keller, Zach:</t>
        </r>
        <r>
          <rPr>
            <sz val="10"/>
            <color rgb="FF000000"/>
            <rFont val="Tahoma"/>
            <family val="2"/>
          </rPr>
          <t xml:space="preserve">
Source: Forbes team page (Venue section, Oct 2025 list), https://www.forbes.com/teams/los-angeles-clippers/</t>
        </r>
      </text>
    </comment>
    <comment ref="B51" authorId="0" shapeId="0" xr:uid="{A54AFB17-A9EF-4949-ACB7-0A49982DF7C9}">
      <text>
        <r>
          <rPr>
            <b/>
            <sz val="10"/>
            <color rgb="FF000000"/>
            <rFont val="Tahoma"/>
            <family val="2"/>
          </rPr>
          <t>Keller, Zach:</t>
        </r>
        <r>
          <rPr>
            <sz val="10"/>
            <color rgb="FF000000"/>
            <rFont val="Tahoma"/>
            <family val="2"/>
          </rPr>
          <t xml:space="preserve">
Source: Forbes team page (Venue section, Oct 2025 list), https://www.forbes.com/teams/los-angeles-lakers/</t>
        </r>
      </text>
    </comment>
    <comment ref="C51" authorId="0" shapeId="0" xr:uid="{1267624F-FACE-F543-BF5F-14487A5C9F4E}">
      <text>
        <r>
          <rPr>
            <b/>
            <sz val="10"/>
            <color rgb="FF000000"/>
            <rFont val="Tahoma"/>
            <family val="2"/>
          </rPr>
          <t>Keller, Zach:</t>
        </r>
        <r>
          <rPr>
            <sz val="10"/>
            <color rgb="FF000000"/>
            <rFont val="Tahoma"/>
            <family val="2"/>
          </rPr>
          <t xml:space="preserve">
Source: Forbes team page (Venue section, Oct 2025 list), https://www.forbes.com/teams/los-angeles-lakers/</t>
        </r>
      </text>
    </comment>
    <comment ref="D51" authorId="0" shapeId="0" xr:uid="{B0C79FC0-A7C9-FD48-8514-8656796E79A1}">
      <text>
        <r>
          <rPr>
            <b/>
            <sz val="10"/>
            <color rgb="FF000000"/>
            <rFont val="Tahoma"/>
            <family val="2"/>
          </rPr>
          <t>Keller, Zach:</t>
        </r>
        <r>
          <rPr>
            <sz val="10"/>
            <color rgb="FF000000"/>
            <rFont val="Tahoma"/>
            <family val="2"/>
          </rPr>
          <t xml:space="preserve">
Source: Forbes team page (Venue section, Oct 2025 list), https://www.forbes.com/teams/los-angeles-lakers/</t>
        </r>
      </text>
    </comment>
    <comment ref="E51" authorId="0" shapeId="0" xr:uid="{76F03C5C-557B-4848-A679-EA11393EF5E7}">
      <text>
        <r>
          <rPr>
            <b/>
            <sz val="10"/>
            <color rgb="FF000000"/>
            <rFont val="Tahoma"/>
            <family val="2"/>
          </rPr>
          <t>Keller, Zach:</t>
        </r>
        <r>
          <rPr>
            <sz val="10"/>
            <color rgb="FF000000"/>
            <rFont val="Tahoma"/>
            <family val="2"/>
          </rPr>
          <t xml:space="preserve">
Source: Forbes team page (Venue section, Oct 2025 list), https://www.forbes.com/teams/los-angeles-lakers/</t>
        </r>
      </text>
    </comment>
    <comment ref="F51" authorId="0" shapeId="0" xr:uid="{F240158D-3FA0-9645-B27C-5EDF1FA07406}">
      <text>
        <r>
          <rPr>
            <b/>
            <sz val="10"/>
            <color rgb="FF000000"/>
            <rFont val="Tahoma"/>
            <family val="2"/>
          </rPr>
          <t>Keller, Zach:</t>
        </r>
        <r>
          <rPr>
            <sz val="10"/>
            <color rgb="FF000000"/>
            <rFont val="Tahoma"/>
            <family val="2"/>
          </rPr>
          <t xml:space="preserve">
Source: Forbes team page (Venue section, Oct 2025 list), https://www.forbes.com/teams/los-angeles-lakers/</t>
        </r>
      </text>
    </comment>
    <comment ref="G51" authorId="0" shapeId="0" xr:uid="{4719049A-D875-DF45-A288-2DB7AC859F46}">
      <text>
        <r>
          <rPr>
            <b/>
            <sz val="10"/>
            <color rgb="FF000000"/>
            <rFont val="Tahoma"/>
            <family val="2"/>
          </rPr>
          <t>Keller, Zach:</t>
        </r>
        <r>
          <rPr>
            <sz val="10"/>
            <color rgb="FF000000"/>
            <rFont val="Tahoma"/>
            <family val="2"/>
          </rPr>
          <t xml:space="preserve">
Source: Forbes team page (Venue section, Oct 2025 list), https://www.forbes.com/teams/los-angeles-lakers/</t>
        </r>
      </text>
    </comment>
    <comment ref="H51" authorId="0" shapeId="0" xr:uid="{EA53C5CD-45F4-294A-8C8F-0F72574E9697}">
      <text>
        <r>
          <rPr>
            <b/>
            <sz val="10"/>
            <color rgb="FF000000"/>
            <rFont val="Tahoma"/>
            <family val="2"/>
          </rPr>
          <t>Keller, Zach:</t>
        </r>
        <r>
          <rPr>
            <sz val="10"/>
            <color rgb="FF000000"/>
            <rFont val="Tahoma"/>
            <family val="2"/>
          </rPr>
          <t xml:space="preserve">
Source: Forbes team page (Venue section, Oct 2025 list), https://www.forbes.com/teams/los-angeles-lakers/</t>
        </r>
      </text>
    </comment>
    <comment ref="I51" authorId="0" shapeId="0" xr:uid="{3F5C7E69-4CEC-2840-958F-BB26D95FCFDC}">
      <text>
        <r>
          <rPr>
            <b/>
            <sz val="10"/>
            <color rgb="FF000000"/>
            <rFont val="Tahoma"/>
            <family val="2"/>
          </rPr>
          <t>Keller, Zach:</t>
        </r>
        <r>
          <rPr>
            <sz val="10"/>
            <color rgb="FF000000"/>
            <rFont val="Tahoma"/>
            <family val="2"/>
          </rPr>
          <t xml:space="preserve">
Source: Forbes team page (Venue section, Oct 2025 list), https://www.forbes.com/teams/los-angeles-lakers/</t>
        </r>
      </text>
    </comment>
    <comment ref="J51" authorId="0" shapeId="0" xr:uid="{8D2368A2-8366-F24A-B5E8-6190D4A51C56}">
      <text>
        <r>
          <rPr>
            <b/>
            <sz val="10"/>
            <color rgb="FF000000"/>
            <rFont val="Tahoma"/>
            <family val="2"/>
          </rPr>
          <t>Keller, Zach:</t>
        </r>
        <r>
          <rPr>
            <sz val="10"/>
            <color rgb="FF000000"/>
            <rFont val="Tahoma"/>
            <family val="2"/>
          </rPr>
          <t xml:space="preserve">
Source: Forbes team page (Venue section, Oct 2025 list), https://www.forbes.com/teams/los-angeles-lakers/</t>
        </r>
      </text>
    </comment>
    <comment ref="K51" authorId="0" shapeId="0" xr:uid="{081E469E-7423-BD4A-9B2C-753761861821}">
      <text>
        <r>
          <rPr>
            <b/>
            <sz val="10"/>
            <color rgb="FF000000"/>
            <rFont val="Tahoma"/>
            <family val="2"/>
          </rPr>
          <t>Keller, Zach:</t>
        </r>
        <r>
          <rPr>
            <sz val="10"/>
            <color rgb="FF000000"/>
            <rFont val="Tahoma"/>
            <family val="2"/>
          </rPr>
          <t xml:space="preserve">
Source: Forbes team page (Venue section, Oct 2025 list), https://www.forbes.com/teams/los-angeles-lakers/</t>
        </r>
      </text>
    </comment>
    <comment ref="B52" authorId="0" shapeId="0" xr:uid="{3CE42012-70B9-4247-A3BE-0BF313B322FF}">
      <text>
        <r>
          <rPr>
            <b/>
            <sz val="10"/>
            <color rgb="FF000000"/>
            <rFont val="Tahoma"/>
            <family val="2"/>
          </rPr>
          <t>Keller, Zach:</t>
        </r>
        <r>
          <rPr>
            <sz val="10"/>
            <color rgb="FF000000"/>
            <rFont val="Tahoma"/>
            <family val="2"/>
          </rPr>
          <t xml:space="preserve">
Source: Forbes team page (Venue section, Oct 2025 list), https://www.forbes.com/teams/memphis-grizzlies/</t>
        </r>
      </text>
    </comment>
    <comment ref="C52" authorId="0" shapeId="0" xr:uid="{6C34CC67-41DD-4C4A-9A1C-305CB386F83C}">
      <text>
        <r>
          <rPr>
            <b/>
            <sz val="10"/>
            <color rgb="FF000000"/>
            <rFont val="Tahoma"/>
            <family val="2"/>
          </rPr>
          <t>Keller, Zach:</t>
        </r>
        <r>
          <rPr>
            <sz val="10"/>
            <color rgb="FF000000"/>
            <rFont val="Tahoma"/>
            <family val="2"/>
          </rPr>
          <t xml:space="preserve">
Source: Forbes team page (Venue section, Oct 2025 list), https://www.forbes.com/teams/memphis-grizzlies/</t>
        </r>
      </text>
    </comment>
    <comment ref="D52" authorId="0" shapeId="0" xr:uid="{214D827C-EB06-6C49-B57C-1D985CC4D3AF}">
      <text>
        <r>
          <rPr>
            <b/>
            <sz val="10"/>
            <color rgb="FF000000"/>
            <rFont val="Tahoma"/>
            <family val="2"/>
          </rPr>
          <t>Keller, Zach:</t>
        </r>
        <r>
          <rPr>
            <sz val="10"/>
            <color rgb="FF000000"/>
            <rFont val="Tahoma"/>
            <family val="2"/>
          </rPr>
          <t xml:space="preserve">
Source: Forbes team page (Venue section, Oct 2025 list), https://www.forbes.com/teams/memphis-grizzlies/</t>
        </r>
      </text>
    </comment>
    <comment ref="E52" authorId="0" shapeId="0" xr:uid="{668F31E1-9AE4-7A4B-9CC6-25FAD462CDDD}">
      <text>
        <r>
          <rPr>
            <b/>
            <sz val="10"/>
            <color rgb="FF000000"/>
            <rFont val="Tahoma"/>
            <family val="2"/>
          </rPr>
          <t>Keller, Zach:</t>
        </r>
        <r>
          <rPr>
            <sz val="10"/>
            <color rgb="FF000000"/>
            <rFont val="Tahoma"/>
            <family val="2"/>
          </rPr>
          <t xml:space="preserve">
Source: Forbes team page (Venue section, Oct 2025 list), https://www.forbes.com/teams/memphis-grizzlies/</t>
        </r>
      </text>
    </comment>
    <comment ref="F52" authorId="0" shapeId="0" xr:uid="{57D5F9BC-E8B8-3F44-8B45-8D8F5D46DC28}">
      <text>
        <r>
          <rPr>
            <b/>
            <sz val="10"/>
            <color rgb="FF000000"/>
            <rFont val="Tahoma"/>
            <family val="2"/>
          </rPr>
          <t>Keller, Zach:</t>
        </r>
        <r>
          <rPr>
            <sz val="10"/>
            <color rgb="FF000000"/>
            <rFont val="Tahoma"/>
            <family val="2"/>
          </rPr>
          <t xml:space="preserve">
Source: Forbes team page (Venue section, Oct 2025 list), https://www.forbes.com/teams/memphis-grizzlies/</t>
        </r>
      </text>
    </comment>
    <comment ref="G52" authorId="0" shapeId="0" xr:uid="{09E0AEDD-5F8E-134D-878D-676ECF59DBA0}">
      <text>
        <r>
          <rPr>
            <b/>
            <sz val="10"/>
            <color rgb="FF000000"/>
            <rFont val="Tahoma"/>
            <family val="2"/>
          </rPr>
          <t>Keller, Zach:</t>
        </r>
        <r>
          <rPr>
            <sz val="10"/>
            <color rgb="FF000000"/>
            <rFont val="Tahoma"/>
            <family val="2"/>
          </rPr>
          <t xml:space="preserve">
Source: Forbes team page (Venue section, Oct 2025 list), https://www.forbes.com/teams/memphis-grizzlies/</t>
        </r>
      </text>
    </comment>
    <comment ref="H52" authorId="0" shapeId="0" xr:uid="{EB8896BD-2B30-CF4E-BF3F-46962FB709B2}">
      <text>
        <r>
          <rPr>
            <b/>
            <sz val="10"/>
            <color rgb="FF000000"/>
            <rFont val="Tahoma"/>
            <family val="2"/>
          </rPr>
          <t>Keller, Zach:</t>
        </r>
        <r>
          <rPr>
            <sz val="10"/>
            <color rgb="FF000000"/>
            <rFont val="Tahoma"/>
            <family val="2"/>
          </rPr>
          <t xml:space="preserve">
Source: Forbes team page (Venue section, Oct 2025 list), https://www.forbes.com/teams/memphis-grizzlies/</t>
        </r>
      </text>
    </comment>
    <comment ref="I52" authorId="0" shapeId="0" xr:uid="{FDEC0372-4CF6-D042-8372-31C4ADF206CC}">
      <text>
        <r>
          <rPr>
            <b/>
            <sz val="10"/>
            <color rgb="FF000000"/>
            <rFont val="Tahoma"/>
            <family val="2"/>
          </rPr>
          <t>Keller, Zach:</t>
        </r>
        <r>
          <rPr>
            <sz val="10"/>
            <color rgb="FF000000"/>
            <rFont val="Tahoma"/>
            <family val="2"/>
          </rPr>
          <t xml:space="preserve">
Source: Forbes team page (Venue section, Oct 2025 list), https://www.forbes.com/teams/memphis-grizzlies/</t>
        </r>
      </text>
    </comment>
    <comment ref="J52" authorId="0" shapeId="0" xr:uid="{BBC7C727-8498-4E46-8272-75C2809B4B7F}">
      <text>
        <r>
          <rPr>
            <b/>
            <sz val="10"/>
            <color rgb="FF000000"/>
            <rFont val="Tahoma"/>
            <family val="2"/>
          </rPr>
          <t>Keller, Zach:</t>
        </r>
        <r>
          <rPr>
            <sz val="10"/>
            <color rgb="FF000000"/>
            <rFont val="Tahoma"/>
            <family val="2"/>
          </rPr>
          <t xml:space="preserve">
Source: Forbes team page (Venue section, Oct 2025 list), https://www.forbes.com/teams/memphis-grizzlies/</t>
        </r>
      </text>
    </comment>
    <comment ref="K52" authorId="0" shapeId="0" xr:uid="{C84189C4-E492-5941-A7FA-7B817F0CE908}">
      <text>
        <r>
          <rPr>
            <b/>
            <sz val="10"/>
            <color rgb="FF000000"/>
            <rFont val="Tahoma"/>
            <family val="2"/>
          </rPr>
          <t>Keller, Zach:</t>
        </r>
        <r>
          <rPr>
            <sz val="10"/>
            <color rgb="FF000000"/>
            <rFont val="Tahoma"/>
            <family val="2"/>
          </rPr>
          <t xml:space="preserve">
Source: Forbes team page (Venue section, Oct 2025 list), https://www.forbes.com/teams/memphis-grizzlies/</t>
        </r>
      </text>
    </comment>
    <comment ref="B53" authorId="0" shapeId="0" xr:uid="{49152AFE-5AC1-DE4D-A139-214429ED4877}">
      <text>
        <r>
          <rPr>
            <b/>
            <sz val="10"/>
            <color rgb="FF000000"/>
            <rFont val="Tahoma"/>
            <family val="2"/>
          </rPr>
          <t>Keller, Zach:</t>
        </r>
        <r>
          <rPr>
            <sz val="10"/>
            <color rgb="FF000000"/>
            <rFont val="Tahoma"/>
            <family val="2"/>
          </rPr>
          <t xml:space="preserve">
Source: Forbes team page (Venue section, Oct 2025 list), https://www.forbes.com/teams/miami-heat/</t>
        </r>
      </text>
    </comment>
    <comment ref="C53" authorId="0" shapeId="0" xr:uid="{A0928AF5-A30A-2A4A-88D3-083ADE8F9B14}">
      <text>
        <r>
          <rPr>
            <b/>
            <sz val="10"/>
            <color rgb="FF000000"/>
            <rFont val="Tahoma"/>
            <family val="2"/>
          </rPr>
          <t>Keller, Zach:</t>
        </r>
        <r>
          <rPr>
            <sz val="10"/>
            <color rgb="FF000000"/>
            <rFont val="Tahoma"/>
            <family val="2"/>
          </rPr>
          <t xml:space="preserve">
Source: Forbes team page (Venue section, Oct 2025 list), https://www.forbes.com/teams/miami-heat/</t>
        </r>
      </text>
    </comment>
    <comment ref="D53" authorId="0" shapeId="0" xr:uid="{6D035E54-8ED8-5949-B0BE-6C90D0E0BAF0}">
      <text>
        <r>
          <rPr>
            <b/>
            <sz val="10"/>
            <color rgb="FF000000"/>
            <rFont val="Tahoma"/>
            <family val="2"/>
          </rPr>
          <t>Keller, Zach:</t>
        </r>
        <r>
          <rPr>
            <sz val="10"/>
            <color rgb="FF000000"/>
            <rFont val="Tahoma"/>
            <family val="2"/>
          </rPr>
          <t xml:space="preserve">
Source: Forbes team page (Venue section, Oct 2025 list), https://www.forbes.com/teams/miami-heat/</t>
        </r>
      </text>
    </comment>
    <comment ref="E53" authorId="0" shapeId="0" xr:uid="{A71F5C21-6A7F-8C4E-B8D6-AB98A899EC80}">
      <text>
        <r>
          <rPr>
            <b/>
            <sz val="10"/>
            <color rgb="FF000000"/>
            <rFont val="Tahoma"/>
            <family val="2"/>
          </rPr>
          <t>Keller, Zach:</t>
        </r>
        <r>
          <rPr>
            <sz val="10"/>
            <color rgb="FF000000"/>
            <rFont val="Tahoma"/>
            <family val="2"/>
          </rPr>
          <t xml:space="preserve">
Source: Forbes team page (Venue section, Oct 2025 list), https://www.forbes.com/teams/miami-heat/</t>
        </r>
      </text>
    </comment>
    <comment ref="F53" authorId="0" shapeId="0" xr:uid="{691E440A-A8CA-5F42-9E96-6B46813FD5E6}">
      <text>
        <r>
          <rPr>
            <b/>
            <sz val="10"/>
            <color rgb="FF000000"/>
            <rFont val="Tahoma"/>
            <family val="2"/>
          </rPr>
          <t>Keller, Zach:</t>
        </r>
        <r>
          <rPr>
            <sz val="10"/>
            <color rgb="FF000000"/>
            <rFont val="Tahoma"/>
            <family val="2"/>
          </rPr>
          <t xml:space="preserve">
Source: Forbes team page (Venue section, Oct 2025 list), https://www.forbes.com/teams/miami-heat/</t>
        </r>
      </text>
    </comment>
    <comment ref="G53" authorId="0" shapeId="0" xr:uid="{8A41DDFD-411D-F449-9046-29CEA0906ADE}">
      <text>
        <r>
          <rPr>
            <b/>
            <sz val="10"/>
            <color rgb="FF000000"/>
            <rFont val="Tahoma"/>
            <family val="2"/>
          </rPr>
          <t>Keller, Zach:</t>
        </r>
        <r>
          <rPr>
            <sz val="10"/>
            <color rgb="FF000000"/>
            <rFont val="Tahoma"/>
            <family val="2"/>
          </rPr>
          <t xml:space="preserve">
Source: Forbes team page (Venue section, Oct 2025 list), https://www.forbes.com/teams/miami-heat/</t>
        </r>
      </text>
    </comment>
    <comment ref="H53" authorId="0" shapeId="0" xr:uid="{F3AAFA4B-C708-A945-A5A1-10C52C9FC1B8}">
      <text>
        <r>
          <rPr>
            <b/>
            <sz val="10"/>
            <color rgb="FF000000"/>
            <rFont val="Tahoma"/>
            <family val="2"/>
          </rPr>
          <t>Keller, Zach:</t>
        </r>
        <r>
          <rPr>
            <sz val="10"/>
            <color rgb="FF000000"/>
            <rFont val="Tahoma"/>
            <family val="2"/>
          </rPr>
          <t xml:space="preserve">
Source: Forbes team page (Venue section, Oct 2025 list), https://www.forbes.com/teams/miami-heat/</t>
        </r>
      </text>
    </comment>
    <comment ref="I53" authorId="0" shapeId="0" xr:uid="{7AB77DE4-AC3F-FD43-A8BC-7AAC893C84F2}">
      <text>
        <r>
          <rPr>
            <b/>
            <sz val="10"/>
            <color rgb="FF000000"/>
            <rFont val="Tahoma"/>
            <family val="2"/>
          </rPr>
          <t>Keller, Zach:</t>
        </r>
        <r>
          <rPr>
            <sz val="10"/>
            <color rgb="FF000000"/>
            <rFont val="Tahoma"/>
            <family val="2"/>
          </rPr>
          <t xml:space="preserve">
Source: Forbes team page (Venue section, Oct 2025 list), https://www.forbes.com/teams/miami-heat/</t>
        </r>
      </text>
    </comment>
    <comment ref="J53" authorId="0" shapeId="0" xr:uid="{D3CE54D3-AB35-1F40-9E53-102535D30C71}">
      <text>
        <r>
          <rPr>
            <b/>
            <sz val="10"/>
            <color rgb="FF000000"/>
            <rFont val="Tahoma"/>
            <family val="2"/>
          </rPr>
          <t>Keller, Zach:</t>
        </r>
        <r>
          <rPr>
            <sz val="10"/>
            <color rgb="FF000000"/>
            <rFont val="Tahoma"/>
            <family val="2"/>
          </rPr>
          <t xml:space="preserve">
Source: Forbes team page (Venue section, Oct 2025 list), https://www.forbes.com/teams/miami-heat/</t>
        </r>
      </text>
    </comment>
    <comment ref="K53" authorId="0" shapeId="0" xr:uid="{14F6DF5F-5D35-784F-8D3E-18FCC6596BFD}">
      <text>
        <r>
          <rPr>
            <b/>
            <sz val="10"/>
            <color rgb="FF000000"/>
            <rFont val="Tahoma"/>
            <family val="2"/>
          </rPr>
          <t>Keller, Zach:</t>
        </r>
        <r>
          <rPr>
            <sz val="10"/>
            <color rgb="FF000000"/>
            <rFont val="Tahoma"/>
            <family val="2"/>
          </rPr>
          <t xml:space="preserve">
Source: Forbes team page (Venue section, Oct 2025 list), https://www.forbes.com/teams/miami-heat/</t>
        </r>
      </text>
    </comment>
    <comment ref="B54" authorId="0" shapeId="0" xr:uid="{F4A77C52-CD87-034E-B61A-C8A2B4B48E9C}">
      <text>
        <r>
          <rPr>
            <b/>
            <sz val="10"/>
            <color rgb="FF000000"/>
            <rFont val="Tahoma"/>
            <family val="2"/>
          </rPr>
          <t>Keller, Zach:</t>
        </r>
        <r>
          <rPr>
            <sz val="10"/>
            <color rgb="FF000000"/>
            <rFont val="Tahoma"/>
            <family val="2"/>
          </rPr>
          <t xml:space="preserve">
Opened 1988. Source: Stadium Journey, https://www.stadiumjourney.com/stadiums/bmo-harris-bradley-center-milwaukee-bucks</t>
        </r>
      </text>
    </comment>
    <comment ref="C54" authorId="0" shapeId="0" xr:uid="{C010C47D-8343-034B-9DC6-9FA2353CFBDD}">
      <text>
        <r>
          <rPr>
            <b/>
            <sz val="10"/>
            <color rgb="FF000000"/>
            <rFont val="Tahoma"/>
            <family val="2"/>
          </rPr>
          <t>Keller, Zach:</t>
        </r>
        <r>
          <rPr>
            <sz val="10"/>
            <color rgb="FF000000"/>
            <rFont val="Tahoma"/>
            <family val="2"/>
          </rPr>
          <t xml:space="preserve">
Opened 1988. Source: Stadium Journey, https://www.stadiumjourney.com/stadiums/bmo-harris-bradley-center-milwaukee-bucks</t>
        </r>
      </text>
    </comment>
    <comment ref="D54" authorId="0" shapeId="0" xr:uid="{FF8FBE8C-0EF5-8E43-9B03-C343343CA5DE}">
      <text>
        <r>
          <rPr>
            <b/>
            <sz val="10"/>
            <color rgb="FF000000"/>
            <rFont val="Tahoma"/>
            <family val="2"/>
          </rPr>
          <t>Keller, Zach:</t>
        </r>
        <r>
          <rPr>
            <sz val="10"/>
            <color rgb="FF000000"/>
            <rFont val="Tahoma"/>
            <family val="2"/>
          </rPr>
          <t xml:space="preserve">
Opened 1988. Source: Stadium Journey, https://www.stadiumjourney.com/stadiums/bmo-harris-bradley-center-milwaukee-bucks</t>
        </r>
      </text>
    </comment>
    <comment ref="E54" authorId="0" shapeId="0" xr:uid="{A0D5F3B3-658D-7447-8C3E-04EDDE2D6BC6}">
      <text>
        <r>
          <rPr>
            <b/>
            <sz val="10"/>
            <color rgb="FF000000"/>
            <rFont val="Tahoma"/>
            <family val="2"/>
          </rPr>
          <t>Keller, Zach:</t>
        </r>
        <r>
          <rPr>
            <sz val="10"/>
            <color rgb="FF000000"/>
            <rFont val="Tahoma"/>
            <family val="2"/>
          </rPr>
          <t xml:space="preserve">
Source: Forbes team page (Venue section, Oct 2025 list), https://www.forbes.com/teams/milwaukee-bucks/</t>
        </r>
      </text>
    </comment>
    <comment ref="F54" authorId="0" shapeId="0" xr:uid="{7A79E0AA-9725-9742-9C58-FA2151F2BFB0}">
      <text>
        <r>
          <rPr>
            <b/>
            <sz val="10"/>
            <color rgb="FF000000"/>
            <rFont val="Tahoma"/>
            <family val="2"/>
          </rPr>
          <t>Keller, Zach:</t>
        </r>
        <r>
          <rPr>
            <sz val="10"/>
            <color rgb="FF000000"/>
            <rFont val="Tahoma"/>
            <family val="2"/>
          </rPr>
          <t xml:space="preserve">
Source: Forbes team page (Venue section, Oct 2025 list), https://www.forbes.com/teams/milwaukee-bucks/</t>
        </r>
      </text>
    </comment>
    <comment ref="G54" authorId="0" shapeId="0" xr:uid="{9CA0C148-819E-844C-9407-CFB87D2614B2}">
      <text>
        <r>
          <rPr>
            <b/>
            <sz val="10"/>
            <color rgb="FF000000"/>
            <rFont val="Tahoma"/>
            <family val="2"/>
          </rPr>
          <t>Keller, Zach:</t>
        </r>
        <r>
          <rPr>
            <sz val="10"/>
            <color rgb="FF000000"/>
            <rFont val="Tahoma"/>
            <family val="2"/>
          </rPr>
          <t xml:space="preserve">
Source: Forbes team page (Venue section, Oct 2025 list), https://www.forbes.com/teams/milwaukee-bucks/</t>
        </r>
      </text>
    </comment>
    <comment ref="H54" authorId="0" shapeId="0" xr:uid="{9E992AA3-E4E4-6040-9548-A3DA13FDE15B}">
      <text>
        <r>
          <rPr>
            <b/>
            <sz val="10"/>
            <color rgb="FF000000"/>
            <rFont val="Tahoma"/>
            <family val="2"/>
          </rPr>
          <t>Keller, Zach:</t>
        </r>
        <r>
          <rPr>
            <sz val="10"/>
            <color rgb="FF000000"/>
            <rFont val="Tahoma"/>
            <family val="2"/>
          </rPr>
          <t xml:space="preserve">
Source: Forbes team page (Venue section, Oct 2025 list), https://www.forbes.com/teams/milwaukee-bucks/</t>
        </r>
      </text>
    </comment>
    <comment ref="I54" authorId="0" shapeId="0" xr:uid="{70BB40CA-3C1D-6945-8D36-8C28F30BACBF}">
      <text>
        <r>
          <rPr>
            <b/>
            <sz val="10"/>
            <color rgb="FF000000"/>
            <rFont val="Tahoma"/>
            <family val="2"/>
          </rPr>
          <t>Keller, Zach:</t>
        </r>
        <r>
          <rPr>
            <sz val="10"/>
            <color rgb="FF000000"/>
            <rFont val="Tahoma"/>
            <family val="2"/>
          </rPr>
          <t xml:space="preserve">
Source: Forbes team page (Venue section, Oct 2025 list), https://www.forbes.com/teams/milwaukee-bucks/</t>
        </r>
      </text>
    </comment>
    <comment ref="J54" authorId="0" shapeId="0" xr:uid="{A13CC239-15C8-7C44-847C-C59D426E839A}">
      <text>
        <r>
          <rPr>
            <b/>
            <sz val="10"/>
            <color rgb="FF000000"/>
            <rFont val="Tahoma"/>
            <family val="2"/>
          </rPr>
          <t>Keller, Zach:</t>
        </r>
        <r>
          <rPr>
            <sz val="10"/>
            <color rgb="FF000000"/>
            <rFont val="Tahoma"/>
            <family val="2"/>
          </rPr>
          <t xml:space="preserve">
Source: Forbes team page (Venue section, Oct 2025 list), https://www.forbes.com/teams/milwaukee-bucks/</t>
        </r>
      </text>
    </comment>
    <comment ref="K54" authorId="0" shapeId="0" xr:uid="{1C65245D-15CE-9C45-92C8-17752ACD44BC}">
      <text>
        <r>
          <rPr>
            <b/>
            <sz val="10"/>
            <color rgb="FF000000"/>
            <rFont val="Tahoma"/>
            <family val="2"/>
          </rPr>
          <t>Keller, Zach:</t>
        </r>
        <r>
          <rPr>
            <sz val="10"/>
            <color rgb="FF000000"/>
            <rFont val="Tahoma"/>
            <family val="2"/>
          </rPr>
          <t xml:space="preserve">
Source: Forbes team page (Venue section, Oct 2025 list), https://www.forbes.com/teams/milwaukee-bucks/</t>
        </r>
      </text>
    </comment>
    <comment ref="B55" authorId="0" shapeId="0" xr:uid="{B20D7B4D-3013-DF43-80AE-B6673FC60BBB}">
      <text>
        <r>
          <rPr>
            <b/>
            <sz val="10"/>
            <color rgb="FF000000"/>
            <rFont val="Tahoma"/>
            <family val="2"/>
          </rPr>
          <t>Keller, Zach:</t>
        </r>
        <r>
          <rPr>
            <sz val="10"/>
            <color rgb="FF000000"/>
            <rFont val="Tahoma"/>
            <family val="2"/>
          </rPr>
          <t xml:space="preserve">
Opened October 1990 (Forbes lists the 2017 renovation year). Source: Target Center official site, https://www.targetcenter.com/connect-with-us/about-target-center</t>
        </r>
      </text>
    </comment>
    <comment ref="C55" authorId="0" shapeId="0" xr:uid="{BB2D7788-F830-484B-B957-319AC1EFFAE4}">
      <text>
        <r>
          <rPr>
            <b/>
            <sz val="10"/>
            <color rgb="FF000000"/>
            <rFont val="Tahoma"/>
            <family val="2"/>
          </rPr>
          <t>Keller, Zach:</t>
        </r>
        <r>
          <rPr>
            <sz val="10"/>
            <color rgb="FF000000"/>
            <rFont val="Tahoma"/>
            <family val="2"/>
          </rPr>
          <t xml:space="preserve">
Opened October 1990 (Forbes lists the 2017 renovation year). Source: Target Center official site, https://www.targetcenter.com/connect-with-us/about-target-center</t>
        </r>
      </text>
    </comment>
    <comment ref="D55" authorId="0" shapeId="0" xr:uid="{30F74B4D-9161-EE4B-B4CD-72D50F90EB12}">
      <text>
        <r>
          <rPr>
            <b/>
            <sz val="10"/>
            <color rgb="FF000000"/>
            <rFont val="Tahoma"/>
            <family val="2"/>
          </rPr>
          <t>Keller, Zach:</t>
        </r>
        <r>
          <rPr>
            <sz val="10"/>
            <color rgb="FF000000"/>
            <rFont val="Tahoma"/>
            <family val="2"/>
          </rPr>
          <t xml:space="preserve">
Opened October 1990 (Forbes lists the 2017 renovation year). Source: Target Center official site, https://www.targetcenter.com/connect-with-us/about-target-center</t>
        </r>
      </text>
    </comment>
    <comment ref="E55" authorId="0" shapeId="0" xr:uid="{9F5A8FC0-DBD9-204A-B2D5-958CBEAEB05D}">
      <text>
        <r>
          <rPr>
            <b/>
            <sz val="10"/>
            <color rgb="FF000000"/>
            <rFont val="Tahoma"/>
            <family val="2"/>
          </rPr>
          <t>Keller, Zach:</t>
        </r>
        <r>
          <rPr>
            <sz val="10"/>
            <color rgb="FF000000"/>
            <rFont val="Tahoma"/>
            <family val="2"/>
          </rPr>
          <t xml:space="preserve">
Opened October 1990 (Forbes lists the 2017 renovation year). Source: Target Center official site, https://www.targetcenter.com/connect-with-us/about-target-center</t>
        </r>
      </text>
    </comment>
    <comment ref="F55" authorId="0" shapeId="0" xr:uid="{9BAEB787-34DE-5645-A256-6E7531E9A756}">
      <text>
        <r>
          <rPr>
            <b/>
            <sz val="10"/>
            <color rgb="FF000000"/>
            <rFont val="Tahoma"/>
            <family val="2"/>
          </rPr>
          <t>Keller, Zach:</t>
        </r>
        <r>
          <rPr>
            <sz val="10"/>
            <color rgb="FF000000"/>
            <rFont val="Tahoma"/>
            <family val="2"/>
          </rPr>
          <t xml:space="preserve">
Opened October 1990 (Forbes lists the 2017 renovation year). Source: Target Center official site, https://www.targetcenter.com/connect-with-us/about-target-center</t>
        </r>
      </text>
    </comment>
    <comment ref="G55" authorId="0" shapeId="0" xr:uid="{0F1F3752-B6F5-B94D-8D5C-4837224C7338}">
      <text>
        <r>
          <rPr>
            <b/>
            <sz val="10"/>
            <color rgb="FF000000"/>
            <rFont val="Tahoma"/>
            <family val="2"/>
          </rPr>
          <t>Keller, Zach:</t>
        </r>
        <r>
          <rPr>
            <sz val="10"/>
            <color rgb="FF000000"/>
            <rFont val="Tahoma"/>
            <family val="2"/>
          </rPr>
          <t xml:space="preserve">
Opened October 1990 (Forbes lists the 2017 renovation year). Source: Target Center official site, https://www.targetcenter.com/connect-with-us/about-target-center</t>
        </r>
      </text>
    </comment>
    <comment ref="H55" authorId="0" shapeId="0" xr:uid="{046CC77D-F965-8844-9F19-A240E52071AF}">
      <text>
        <r>
          <rPr>
            <b/>
            <sz val="10"/>
            <color rgb="FF000000"/>
            <rFont val="Tahoma"/>
            <family val="2"/>
          </rPr>
          <t>Keller, Zach:</t>
        </r>
        <r>
          <rPr>
            <sz val="10"/>
            <color rgb="FF000000"/>
            <rFont val="Tahoma"/>
            <family val="2"/>
          </rPr>
          <t xml:space="preserve">
Opened October 1990 (Forbes lists the 2017 renovation year). Source: Target Center official site, https://www.targetcenter.com/connect-with-us/about-target-center</t>
        </r>
      </text>
    </comment>
    <comment ref="I55" authorId="0" shapeId="0" xr:uid="{7CF0532F-D5F8-334C-AA6D-70814C7891AF}">
      <text>
        <r>
          <rPr>
            <b/>
            <sz val="10"/>
            <color rgb="FF000000"/>
            <rFont val="Tahoma"/>
            <family val="2"/>
          </rPr>
          <t>Keller, Zach:</t>
        </r>
        <r>
          <rPr>
            <sz val="10"/>
            <color rgb="FF000000"/>
            <rFont val="Tahoma"/>
            <family val="2"/>
          </rPr>
          <t xml:space="preserve">
Opened October 1990 (Forbes lists the 2017 renovation year). Source: Target Center official site, https://www.targetcenter.com/connect-with-us/about-target-center</t>
        </r>
      </text>
    </comment>
    <comment ref="J55" authorId="0" shapeId="0" xr:uid="{ED1664D4-0E7D-BB4E-82D5-98EF17F4D76A}">
      <text>
        <r>
          <rPr>
            <b/>
            <sz val="10"/>
            <color rgb="FF000000"/>
            <rFont val="Tahoma"/>
            <family val="2"/>
          </rPr>
          <t>Keller, Zach:</t>
        </r>
        <r>
          <rPr>
            <sz val="10"/>
            <color rgb="FF000000"/>
            <rFont val="Tahoma"/>
            <family val="2"/>
          </rPr>
          <t xml:space="preserve">
Opened October 1990 (Forbes lists the 2017 renovation year). Source: Target Center official site, https://www.targetcenter.com/connect-with-us/about-target-center</t>
        </r>
      </text>
    </comment>
    <comment ref="K55" authorId="0" shapeId="0" xr:uid="{B8BA49EB-AAD1-784B-9007-216FEF5431B0}">
      <text>
        <r>
          <rPr>
            <b/>
            <sz val="10"/>
            <color rgb="FF000000"/>
            <rFont val="Tahoma"/>
            <family val="2"/>
          </rPr>
          <t>Keller, Zach:</t>
        </r>
        <r>
          <rPr>
            <sz val="10"/>
            <color rgb="FF000000"/>
            <rFont val="Tahoma"/>
            <family val="2"/>
          </rPr>
          <t xml:space="preserve">
Opened October 1990 (Forbes lists the 2017 renovation year). Source: Target Center official site, https://www.targetcenter.com/connect-with-us/about-target-center</t>
        </r>
      </text>
    </comment>
    <comment ref="B56" authorId="0" shapeId="0" xr:uid="{1BEC9F86-59E7-5B41-84E8-205A0825E67E}">
      <text>
        <r>
          <rPr>
            <b/>
            <sz val="10"/>
            <color rgb="FF000000"/>
            <rFont val="Tahoma"/>
            <family val="2"/>
          </rPr>
          <t>Keller, Zach:</t>
        </r>
        <r>
          <rPr>
            <sz val="10"/>
            <color rgb="FF000000"/>
            <rFont val="Tahoma"/>
            <family val="2"/>
          </rPr>
          <t xml:space="preserve">
Source: Forbes team page (Venue section, Oct 2025 list), https://www.forbes.com/teams/new-orleans-pelicans/</t>
        </r>
      </text>
    </comment>
    <comment ref="C56" authorId="0" shapeId="0" xr:uid="{1B0E8B1B-BDCA-EA42-B0F8-CAC42A7DAB7A}">
      <text>
        <r>
          <rPr>
            <b/>
            <sz val="10"/>
            <color rgb="FF000000"/>
            <rFont val="Tahoma"/>
            <family val="2"/>
          </rPr>
          <t>Keller, Zach:</t>
        </r>
        <r>
          <rPr>
            <sz val="10"/>
            <color rgb="FF000000"/>
            <rFont val="Tahoma"/>
            <family val="2"/>
          </rPr>
          <t xml:space="preserve">
Source: Forbes team page (Venue section, Oct 2025 list), https://www.forbes.com/teams/new-orleans-pelicans/</t>
        </r>
      </text>
    </comment>
    <comment ref="D56" authorId="0" shapeId="0" xr:uid="{E1B1133D-BDCD-9E4E-82ED-4B7BDA4DCFF9}">
      <text>
        <r>
          <rPr>
            <b/>
            <sz val="10"/>
            <color rgb="FF000000"/>
            <rFont val="Tahoma"/>
            <family val="2"/>
          </rPr>
          <t>Keller, Zach:</t>
        </r>
        <r>
          <rPr>
            <sz val="10"/>
            <color rgb="FF000000"/>
            <rFont val="Tahoma"/>
            <family val="2"/>
          </rPr>
          <t xml:space="preserve">
Source: Forbes team page (Venue section, Oct 2025 list), https://www.forbes.com/teams/new-orleans-pelicans/</t>
        </r>
      </text>
    </comment>
    <comment ref="E56" authorId="0" shapeId="0" xr:uid="{B65CD82F-B6AE-EE4C-935A-CCFA7CBEE284}">
      <text>
        <r>
          <rPr>
            <b/>
            <sz val="10"/>
            <color rgb="FF000000"/>
            <rFont val="Tahoma"/>
            <family val="2"/>
          </rPr>
          <t>Keller, Zach:</t>
        </r>
        <r>
          <rPr>
            <sz val="10"/>
            <color rgb="FF000000"/>
            <rFont val="Tahoma"/>
            <family val="2"/>
          </rPr>
          <t xml:space="preserve">
Source: Forbes team page (Venue section, Oct 2025 list), https://www.forbes.com/teams/new-orleans-pelicans/</t>
        </r>
      </text>
    </comment>
    <comment ref="F56" authorId="0" shapeId="0" xr:uid="{C1EA642E-CA6E-B64D-87A3-B5F7D27DAB40}">
      <text>
        <r>
          <rPr>
            <b/>
            <sz val="10"/>
            <color rgb="FF000000"/>
            <rFont val="Tahoma"/>
            <family val="2"/>
          </rPr>
          <t>Keller, Zach:</t>
        </r>
        <r>
          <rPr>
            <sz val="10"/>
            <color rgb="FF000000"/>
            <rFont val="Tahoma"/>
            <family val="2"/>
          </rPr>
          <t xml:space="preserve">
Source: Forbes team page (Venue section, Oct 2025 list), https://www.forbes.com/teams/new-orleans-pelicans/</t>
        </r>
      </text>
    </comment>
    <comment ref="G56" authorId="0" shapeId="0" xr:uid="{AB63E3D8-BB65-2F4C-B8CF-B44AFC2103F7}">
      <text>
        <r>
          <rPr>
            <b/>
            <sz val="10"/>
            <color rgb="FF000000"/>
            <rFont val="Tahoma"/>
            <family val="2"/>
          </rPr>
          <t>Keller, Zach:</t>
        </r>
        <r>
          <rPr>
            <sz val="10"/>
            <color rgb="FF000000"/>
            <rFont val="Tahoma"/>
            <family val="2"/>
          </rPr>
          <t xml:space="preserve">
Source: Forbes team page (Venue section, Oct 2025 list), https://www.forbes.com/teams/new-orleans-pelicans/</t>
        </r>
      </text>
    </comment>
    <comment ref="H56" authorId="0" shapeId="0" xr:uid="{19E48A57-33BD-A440-8E92-15512AB21079}">
      <text>
        <r>
          <rPr>
            <b/>
            <sz val="10"/>
            <color rgb="FF000000"/>
            <rFont val="Tahoma"/>
            <family val="2"/>
          </rPr>
          <t>Keller, Zach:</t>
        </r>
        <r>
          <rPr>
            <sz val="10"/>
            <color rgb="FF000000"/>
            <rFont val="Tahoma"/>
            <family val="2"/>
          </rPr>
          <t xml:space="preserve">
Source: Forbes team page (Venue section, Oct 2025 list), https://www.forbes.com/teams/new-orleans-pelicans/</t>
        </r>
      </text>
    </comment>
    <comment ref="I56" authorId="0" shapeId="0" xr:uid="{3E4333EB-7D93-3047-A43A-B6D242132A5E}">
      <text>
        <r>
          <rPr>
            <b/>
            <sz val="10"/>
            <color rgb="FF000000"/>
            <rFont val="Tahoma"/>
            <family val="2"/>
          </rPr>
          <t>Keller, Zach:</t>
        </r>
        <r>
          <rPr>
            <sz val="10"/>
            <color rgb="FF000000"/>
            <rFont val="Tahoma"/>
            <family val="2"/>
          </rPr>
          <t xml:space="preserve">
Source: Forbes team page (Venue section, Oct 2025 list), https://www.forbes.com/teams/new-orleans-pelicans/</t>
        </r>
      </text>
    </comment>
    <comment ref="J56" authorId="0" shapeId="0" xr:uid="{4331F24A-CE05-7749-A07D-1B1CA7AA9886}">
      <text>
        <r>
          <rPr>
            <b/>
            <sz val="10"/>
            <color rgb="FF000000"/>
            <rFont val="Tahoma"/>
            <family val="2"/>
          </rPr>
          <t>Keller, Zach:</t>
        </r>
        <r>
          <rPr>
            <sz val="10"/>
            <color rgb="FF000000"/>
            <rFont val="Tahoma"/>
            <family val="2"/>
          </rPr>
          <t xml:space="preserve">
Source: Forbes team page (Venue section, Oct 2025 list), https://www.forbes.com/teams/new-orleans-pelicans/</t>
        </r>
      </text>
    </comment>
    <comment ref="K56" authorId="0" shapeId="0" xr:uid="{779D98AD-D31D-2841-8533-47C2CF957912}">
      <text>
        <r>
          <rPr>
            <b/>
            <sz val="10"/>
            <color rgb="FF000000"/>
            <rFont val="Tahoma"/>
            <family val="2"/>
          </rPr>
          <t>Keller, Zach:</t>
        </r>
        <r>
          <rPr>
            <sz val="10"/>
            <color rgb="FF000000"/>
            <rFont val="Tahoma"/>
            <family val="2"/>
          </rPr>
          <t xml:space="preserve">
Source: Forbes team page (Venue section, Oct 2025 list), https://www.forbes.com/teams/new-orleans-pelicans/</t>
        </r>
      </text>
    </comment>
    <comment ref="B57" authorId="0" shapeId="0" xr:uid="{16119A3D-75A0-5C44-B227-BF34CEE9C50D}">
      <text>
        <r>
          <rPr>
            <b/>
            <sz val="10"/>
            <color rgb="FF000000"/>
            <rFont val="Tahoma"/>
            <family val="2"/>
          </rPr>
          <t>Keller, Zach:</t>
        </r>
        <r>
          <rPr>
            <sz val="10"/>
            <color rgb="FF000000"/>
            <rFont val="Tahoma"/>
            <family val="2"/>
          </rPr>
          <t xml:space="preserve">
Current Garden opened Feb 11 1968 (Forbes lists the 2013 renovation year). Source: Encyclopaedia Britannica, https://www.britannica.com/topic/Madison-Square-Garden</t>
        </r>
      </text>
    </comment>
    <comment ref="C57" authorId="0" shapeId="0" xr:uid="{FEE9DBEC-07CC-6646-AC37-51119AFC5E1A}">
      <text>
        <r>
          <rPr>
            <b/>
            <sz val="10"/>
            <color rgb="FF000000"/>
            <rFont val="Tahoma"/>
            <family val="2"/>
          </rPr>
          <t>Keller, Zach:</t>
        </r>
        <r>
          <rPr>
            <sz val="10"/>
            <color rgb="FF000000"/>
            <rFont val="Tahoma"/>
            <family val="2"/>
          </rPr>
          <t xml:space="preserve">
Current Garden opened Feb 11 1968 (Forbes lists the 2013 renovation year). Source: Encyclopaedia Britannica, https://www.britannica.com/topic/Madison-Square-Garden</t>
        </r>
      </text>
    </comment>
    <comment ref="D57" authorId="0" shapeId="0" xr:uid="{CEFF8402-1B2E-9C4B-B442-2B49BB664880}">
      <text>
        <r>
          <rPr>
            <b/>
            <sz val="10"/>
            <color rgb="FF000000"/>
            <rFont val="Tahoma"/>
            <family val="2"/>
          </rPr>
          <t>Keller, Zach:</t>
        </r>
        <r>
          <rPr>
            <sz val="10"/>
            <color rgb="FF000000"/>
            <rFont val="Tahoma"/>
            <family val="2"/>
          </rPr>
          <t xml:space="preserve">
Current Garden opened Feb 11 1968 (Forbes lists the 2013 renovation year). Source: Encyclopaedia Britannica, https://www.britannica.com/topic/Madison-Square-Garden</t>
        </r>
      </text>
    </comment>
    <comment ref="E57" authorId="0" shapeId="0" xr:uid="{CC0708C0-EBB5-5C43-AF28-7A647D49413A}">
      <text>
        <r>
          <rPr>
            <b/>
            <sz val="10"/>
            <color rgb="FF000000"/>
            <rFont val="Tahoma"/>
            <family val="2"/>
          </rPr>
          <t>Keller, Zach:</t>
        </r>
        <r>
          <rPr>
            <sz val="10"/>
            <color rgb="FF000000"/>
            <rFont val="Tahoma"/>
            <family val="2"/>
          </rPr>
          <t xml:space="preserve">
Current Garden opened Feb 11 1968 (Forbes lists the 2013 renovation year). Source: Encyclopaedia Britannica, https://www.britannica.com/topic/Madison-Square-Garden</t>
        </r>
      </text>
    </comment>
    <comment ref="F57" authorId="0" shapeId="0" xr:uid="{F55E3D8E-F9AE-4345-9C8B-3804FB17B16F}">
      <text>
        <r>
          <rPr>
            <b/>
            <sz val="10"/>
            <color rgb="FF000000"/>
            <rFont val="Tahoma"/>
            <family val="2"/>
          </rPr>
          <t>Keller, Zach:</t>
        </r>
        <r>
          <rPr>
            <sz val="10"/>
            <color rgb="FF000000"/>
            <rFont val="Tahoma"/>
            <family val="2"/>
          </rPr>
          <t xml:space="preserve">
Current Garden opened Feb 11 1968 (Forbes lists the 2013 renovation year). Source: Encyclopaedia Britannica, https://www.britannica.com/topic/Madison-Square-Garden</t>
        </r>
      </text>
    </comment>
    <comment ref="G57" authorId="0" shapeId="0" xr:uid="{39919544-32A6-6F46-B7DE-4BEB296858AA}">
      <text>
        <r>
          <rPr>
            <b/>
            <sz val="10"/>
            <color rgb="FF000000"/>
            <rFont val="Tahoma"/>
            <family val="2"/>
          </rPr>
          <t>Keller, Zach:</t>
        </r>
        <r>
          <rPr>
            <sz val="10"/>
            <color rgb="FF000000"/>
            <rFont val="Tahoma"/>
            <family val="2"/>
          </rPr>
          <t xml:space="preserve">
Current Garden opened Feb 11 1968 (Forbes lists the 2013 renovation year). Source: Encyclopaedia Britannica, https://www.britannica.com/topic/Madison-Square-Garden</t>
        </r>
      </text>
    </comment>
    <comment ref="H57" authorId="0" shapeId="0" xr:uid="{9B2657F4-B88B-4D40-A7CA-0D1E15DFBAD7}">
      <text>
        <r>
          <rPr>
            <b/>
            <sz val="10"/>
            <color rgb="FF000000"/>
            <rFont val="Tahoma"/>
            <family val="2"/>
          </rPr>
          <t>Keller, Zach:</t>
        </r>
        <r>
          <rPr>
            <sz val="10"/>
            <color rgb="FF000000"/>
            <rFont val="Tahoma"/>
            <family val="2"/>
          </rPr>
          <t xml:space="preserve">
Current Garden opened Feb 11 1968 (Forbes lists the 2013 renovation year). Source: Encyclopaedia Britannica, https://www.britannica.com/topic/Madison-Square-Garden</t>
        </r>
      </text>
    </comment>
    <comment ref="I57" authorId="0" shapeId="0" xr:uid="{7DC27413-DA5C-8942-8362-19F1C30CBBDB}">
      <text>
        <r>
          <rPr>
            <b/>
            <sz val="10"/>
            <color rgb="FF000000"/>
            <rFont val="Tahoma"/>
            <family val="2"/>
          </rPr>
          <t>Keller, Zach:</t>
        </r>
        <r>
          <rPr>
            <sz val="10"/>
            <color rgb="FF000000"/>
            <rFont val="Tahoma"/>
            <family val="2"/>
          </rPr>
          <t xml:space="preserve">
Current Garden opened Feb 11 1968 (Forbes lists the 2013 renovation year). Source: Encyclopaedia Britannica, https://www.britannica.com/topic/Madison-Square-Garden</t>
        </r>
      </text>
    </comment>
    <comment ref="J57" authorId="0" shapeId="0" xr:uid="{D109B6B4-20FB-F649-B12D-75A3DC572DE9}">
      <text>
        <r>
          <rPr>
            <b/>
            <sz val="10"/>
            <color rgb="FF000000"/>
            <rFont val="Tahoma"/>
            <family val="2"/>
          </rPr>
          <t>Keller, Zach:</t>
        </r>
        <r>
          <rPr>
            <sz val="10"/>
            <color rgb="FF000000"/>
            <rFont val="Tahoma"/>
            <family val="2"/>
          </rPr>
          <t xml:space="preserve">
Current Garden opened Feb 11 1968 (Forbes lists the 2013 renovation year). Source: Encyclopaedia Britannica, https://www.britannica.com/topic/Madison-Square-Garden</t>
        </r>
      </text>
    </comment>
    <comment ref="K57" authorId="0" shapeId="0" xr:uid="{F974C1EA-5E91-EB40-9129-9FFD7006355A}">
      <text>
        <r>
          <rPr>
            <b/>
            <sz val="10"/>
            <color rgb="FF000000"/>
            <rFont val="Tahoma"/>
            <family val="2"/>
          </rPr>
          <t>Keller, Zach:</t>
        </r>
        <r>
          <rPr>
            <sz val="10"/>
            <color rgb="FF000000"/>
            <rFont val="Tahoma"/>
            <family val="2"/>
          </rPr>
          <t xml:space="preserve">
Current Garden opened Feb 11 1968 (Forbes lists the 2013 renovation year). Source: Encyclopaedia Britannica, https://www.britannica.com/topic/Madison-Square-Garden</t>
        </r>
      </text>
    </comment>
    <comment ref="B58" authorId="0" shapeId="0" xr:uid="{A6AA2949-2E23-FB46-A134-28B2C9EC5006}">
      <text>
        <r>
          <rPr>
            <b/>
            <sz val="10"/>
            <color rgb="FF000000"/>
            <rFont val="Tahoma"/>
            <family val="2"/>
          </rPr>
          <t>Keller, Zach:</t>
        </r>
        <r>
          <rPr>
            <sz val="10"/>
            <color rgb="FF000000"/>
            <rFont val="Tahoma"/>
            <family val="2"/>
          </rPr>
          <t xml:space="preserve">
Source: Forbes team page (Venue section, Oct 2025 list), https://www.forbes.com/teams/oklahoma-city-thunder/</t>
        </r>
      </text>
    </comment>
    <comment ref="C58" authorId="0" shapeId="0" xr:uid="{B87E7343-51D9-A747-9315-A21756DBF5CD}">
      <text>
        <r>
          <rPr>
            <b/>
            <sz val="10"/>
            <color rgb="FF000000"/>
            <rFont val="Tahoma"/>
            <family val="2"/>
          </rPr>
          <t>Keller, Zach:</t>
        </r>
        <r>
          <rPr>
            <sz val="10"/>
            <color rgb="FF000000"/>
            <rFont val="Tahoma"/>
            <family val="2"/>
          </rPr>
          <t xml:space="preserve">
Source: Forbes team page (Venue section, Oct 2025 list), https://www.forbes.com/teams/oklahoma-city-thunder/</t>
        </r>
      </text>
    </comment>
    <comment ref="D58" authorId="0" shapeId="0" xr:uid="{0CB726E0-C653-5642-B68E-9F725E5E56AC}">
      <text>
        <r>
          <rPr>
            <b/>
            <sz val="10"/>
            <color rgb="FF000000"/>
            <rFont val="Tahoma"/>
            <family val="2"/>
          </rPr>
          <t>Keller, Zach:</t>
        </r>
        <r>
          <rPr>
            <sz val="10"/>
            <color rgb="FF000000"/>
            <rFont val="Tahoma"/>
            <family val="2"/>
          </rPr>
          <t xml:space="preserve">
Source: Forbes team page (Venue section, Oct 2025 list), https://www.forbes.com/teams/oklahoma-city-thunder/</t>
        </r>
      </text>
    </comment>
    <comment ref="E58" authorId="0" shapeId="0" xr:uid="{72110890-0D23-074A-9AB1-DB5DE31215BA}">
      <text>
        <r>
          <rPr>
            <b/>
            <sz val="10"/>
            <color rgb="FF000000"/>
            <rFont val="Tahoma"/>
            <family val="2"/>
          </rPr>
          <t>Keller, Zach:</t>
        </r>
        <r>
          <rPr>
            <sz val="10"/>
            <color rgb="FF000000"/>
            <rFont val="Tahoma"/>
            <family val="2"/>
          </rPr>
          <t xml:space="preserve">
Source: Forbes team page (Venue section, Oct 2025 list), https://www.forbes.com/teams/oklahoma-city-thunder/</t>
        </r>
      </text>
    </comment>
    <comment ref="F58" authorId="0" shapeId="0" xr:uid="{90F1DDA4-507C-5241-9988-80DCE5E41B1F}">
      <text>
        <r>
          <rPr>
            <b/>
            <sz val="10"/>
            <color rgb="FF000000"/>
            <rFont val="Tahoma"/>
            <family val="2"/>
          </rPr>
          <t>Keller, Zach:</t>
        </r>
        <r>
          <rPr>
            <sz val="10"/>
            <color rgb="FF000000"/>
            <rFont val="Tahoma"/>
            <family val="2"/>
          </rPr>
          <t xml:space="preserve">
Source: Forbes team page (Venue section, Oct 2025 list), https://www.forbes.com/teams/oklahoma-city-thunder/</t>
        </r>
      </text>
    </comment>
    <comment ref="G58" authorId="0" shapeId="0" xr:uid="{470FC4C8-9045-3242-BFBF-7AB0A7E6B9AA}">
      <text>
        <r>
          <rPr>
            <b/>
            <sz val="10"/>
            <color rgb="FF000000"/>
            <rFont val="Tahoma"/>
            <family val="2"/>
          </rPr>
          <t>Keller, Zach:</t>
        </r>
        <r>
          <rPr>
            <sz val="10"/>
            <color rgb="FF000000"/>
            <rFont val="Tahoma"/>
            <family val="2"/>
          </rPr>
          <t xml:space="preserve">
Source: Forbes team page (Venue section, Oct 2025 list), https://www.forbes.com/teams/oklahoma-city-thunder/</t>
        </r>
      </text>
    </comment>
    <comment ref="H58" authorId="0" shapeId="0" xr:uid="{D84F038D-5832-F24B-B347-B02AE32A7588}">
      <text>
        <r>
          <rPr>
            <b/>
            <sz val="10"/>
            <color rgb="FF000000"/>
            <rFont val="Tahoma"/>
            <family val="2"/>
          </rPr>
          <t>Keller, Zach:</t>
        </r>
        <r>
          <rPr>
            <sz val="10"/>
            <color rgb="FF000000"/>
            <rFont val="Tahoma"/>
            <family val="2"/>
          </rPr>
          <t xml:space="preserve">
Source: Forbes team page (Venue section, Oct 2025 list), https://www.forbes.com/teams/oklahoma-city-thunder/</t>
        </r>
      </text>
    </comment>
    <comment ref="I58" authorId="0" shapeId="0" xr:uid="{75759500-2651-A44A-B711-E3B03519996E}">
      <text>
        <r>
          <rPr>
            <b/>
            <sz val="10"/>
            <color rgb="FF000000"/>
            <rFont val="Tahoma"/>
            <family val="2"/>
          </rPr>
          <t>Keller, Zach:</t>
        </r>
        <r>
          <rPr>
            <sz val="10"/>
            <color rgb="FF000000"/>
            <rFont val="Tahoma"/>
            <family val="2"/>
          </rPr>
          <t xml:space="preserve">
Source: Forbes team page (Venue section, Oct 2025 list), https://www.forbes.com/teams/oklahoma-city-thunder/</t>
        </r>
      </text>
    </comment>
    <comment ref="J58" authorId="0" shapeId="0" xr:uid="{07E92609-B827-AA41-B828-E9863A9BFABF}">
      <text>
        <r>
          <rPr>
            <b/>
            <sz val="10"/>
            <color rgb="FF000000"/>
            <rFont val="Tahoma"/>
            <family val="2"/>
          </rPr>
          <t>Keller, Zach:</t>
        </r>
        <r>
          <rPr>
            <sz val="10"/>
            <color rgb="FF000000"/>
            <rFont val="Tahoma"/>
            <family val="2"/>
          </rPr>
          <t xml:space="preserve">
Source: Forbes team page (Venue section, Oct 2025 list), https://www.forbes.com/teams/oklahoma-city-thunder/</t>
        </r>
      </text>
    </comment>
    <comment ref="K58" authorId="0" shapeId="0" xr:uid="{AD898F8D-87D2-D647-A299-12F0562F07A7}">
      <text>
        <r>
          <rPr>
            <b/>
            <sz val="10"/>
            <color rgb="FF000000"/>
            <rFont val="Tahoma"/>
            <family val="2"/>
          </rPr>
          <t>Keller, Zach:</t>
        </r>
        <r>
          <rPr>
            <sz val="10"/>
            <color rgb="FF000000"/>
            <rFont val="Tahoma"/>
            <family val="2"/>
          </rPr>
          <t xml:space="preserve">
Source: Forbes team page (Venue section, Oct 2025 list), https://www.forbes.com/teams/oklahoma-city-thunder/</t>
        </r>
      </text>
    </comment>
    <comment ref="B59" authorId="0" shapeId="0" xr:uid="{90399E9E-06AF-1B4E-86EA-A94AF01031A0}">
      <text>
        <r>
          <rPr>
            <b/>
            <sz val="10"/>
            <color rgb="FF000000"/>
            <rFont val="Tahoma"/>
            <family val="2"/>
          </rPr>
          <t>Keller, Zach:</t>
        </r>
        <r>
          <rPr>
            <sz val="10"/>
            <color rgb="FF000000"/>
            <rFont val="Tahoma"/>
            <family val="2"/>
          </rPr>
          <t xml:space="preserve">
Source: Forbes team page (Venue section, Oct 2025 list), https://www.forbes.com/teams/orlando-magic/</t>
        </r>
      </text>
    </comment>
    <comment ref="C59" authorId="0" shapeId="0" xr:uid="{41FFD733-DC46-B94B-9C0A-3CDEC8A24406}">
      <text>
        <r>
          <rPr>
            <b/>
            <sz val="10"/>
            <color rgb="FF000000"/>
            <rFont val="Tahoma"/>
            <family val="2"/>
          </rPr>
          <t>Keller, Zach:</t>
        </r>
        <r>
          <rPr>
            <sz val="10"/>
            <color rgb="FF000000"/>
            <rFont val="Tahoma"/>
            <family val="2"/>
          </rPr>
          <t xml:space="preserve">
Source: Forbes team page (Venue section, Oct 2025 list), https://www.forbes.com/teams/orlando-magic/</t>
        </r>
      </text>
    </comment>
    <comment ref="D59" authorId="0" shapeId="0" xr:uid="{7333619C-8F74-B245-8E6E-D3B1D2573122}">
      <text>
        <r>
          <rPr>
            <b/>
            <sz val="10"/>
            <color rgb="FF000000"/>
            <rFont val="Tahoma"/>
            <family val="2"/>
          </rPr>
          <t>Keller, Zach:</t>
        </r>
        <r>
          <rPr>
            <sz val="10"/>
            <color rgb="FF000000"/>
            <rFont val="Tahoma"/>
            <family val="2"/>
          </rPr>
          <t xml:space="preserve">
Source: Forbes team page (Venue section, Oct 2025 list), https://www.forbes.com/teams/orlando-magic/</t>
        </r>
      </text>
    </comment>
    <comment ref="E59" authorId="0" shapeId="0" xr:uid="{715ACC6E-32EE-594C-85CC-748B49FBA2BD}">
      <text>
        <r>
          <rPr>
            <b/>
            <sz val="10"/>
            <color rgb="FF000000"/>
            <rFont val="Tahoma"/>
            <family val="2"/>
          </rPr>
          <t>Keller, Zach:</t>
        </r>
        <r>
          <rPr>
            <sz val="10"/>
            <color rgb="FF000000"/>
            <rFont val="Tahoma"/>
            <family val="2"/>
          </rPr>
          <t xml:space="preserve">
Source: Forbes team page (Venue section, Oct 2025 list), https://www.forbes.com/teams/orlando-magic/</t>
        </r>
      </text>
    </comment>
    <comment ref="F59" authorId="0" shapeId="0" xr:uid="{6B0A9798-7D86-394E-9B48-377974D2BD4D}">
      <text>
        <r>
          <rPr>
            <b/>
            <sz val="10"/>
            <color rgb="FF000000"/>
            <rFont val="Tahoma"/>
            <family val="2"/>
          </rPr>
          <t>Keller, Zach:</t>
        </r>
        <r>
          <rPr>
            <sz val="10"/>
            <color rgb="FF000000"/>
            <rFont val="Tahoma"/>
            <family val="2"/>
          </rPr>
          <t xml:space="preserve">
Source: Forbes team page (Venue section, Oct 2025 list), https://www.forbes.com/teams/orlando-magic/</t>
        </r>
      </text>
    </comment>
    <comment ref="G59" authorId="0" shapeId="0" xr:uid="{1041477E-74CE-2F45-A27D-8E7BBE45AC86}">
      <text>
        <r>
          <rPr>
            <b/>
            <sz val="10"/>
            <color rgb="FF000000"/>
            <rFont val="Tahoma"/>
            <family val="2"/>
          </rPr>
          <t>Keller, Zach:</t>
        </r>
        <r>
          <rPr>
            <sz val="10"/>
            <color rgb="FF000000"/>
            <rFont val="Tahoma"/>
            <family val="2"/>
          </rPr>
          <t xml:space="preserve">
Source: Forbes team page (Venue section, Oct 2025 list), https://www.forbes.com/teams/orlando-magic/</t>
        </r>
      </text>
    </comment>
    <comment ref="H59" authorId="0" shapeId="0" xr:uid="{9BAAA941-F3C4-0040-8381-C63FA6596564}">
      <text>
        <r>
          <rPr>
            <b/>
            <sz val="10"/>
            <color rgb="FF000000"/>
            <rFont val="Tahoma"/>
            <family val="2"/>
          </rPr>
          <t>Keller, Zach:</t>
        </r>
        <r>
          <rPr>
            <sz val="10"/>
            <color rgb="FF000000"/>
            <rFont val="Tahoma"/>
            <family val="2"/>
          </rPr>
          <t xml:space="preserve">
Source: Forbes team page (Venue section, Oct 2025 list), https://www.forbes.com/teams/orlando-magic/</t>
        </r>
      </text>
    </comment>
    <comment ref="I59" authorId="0" shapeId="0" xr:uid="{F61B6C7E-823E-784B-9FC1-D8925742ED82}">
      <text>
        <r>
          <rPr>
            <b/>
            <sz val="10"/>
            <color rgb="FF000000"/>
            <rFont val="Tahoma"/>
            <family val="2"/>
          </rPr>
          <t>Keller, Zach:</t>
        </r>
        <r>
          <rPr>
            <sz val="10"/>
            <color rgb="FF000000"/>
            <rFont val="Tahoma"/>
            <family val="2"/>
          </rPr>
          <t xml:space="preserve">
Source: Forbes team page (Venue section, Oct 2025 list), https://www.forbes.com/teams/orlando-magic/</t>
        </r>
      </text>
    </comment>
    <comment ref="J59" authorId="0" shapeId="0" xr:uid="{F964F237-D0B0-5245-9FAF-B638A72E134A}">
      <text>
        <r>
          <rPr>
            <b/>
            <sz val="10"/>
            <color rgb="FF000000"/>
            <rFont val="Tahoma"/>
            <family val="2"/>
          </rPr>
          <t>Keller, Zach:</t>
        </r>
        <r>
          <rPr>
            <sz val="10"/>
            <color rgb="FF000000"/>
            <rFont val="Tahoma"/>
            <family val="2"/>
          </rPr>
          <t xml:space="preserve">
Source: Forbes team page (Venue section, Oct 2025 list), https://www.forbes.com/teams/orlando-magic/</t>
        </r>
      </text>
    </comment>
    <comment ref="K59" authorId="0" shapeId="0" xr:uid="{1068EFF0-5C85-DB49-B547-106B7B4353CC}">
      <text>
        <r>
          <rPr>
            <b/>
            <sz val="10"/>
            <color rgb="FF000000"/>
            <rFont val="Tahoma"/>
            <family val="2"/>
          </rPr>
          <t>Keller, Zach:</t>
        </r>
        <r>
          <rPr>
            <sz val="10"/>
            <color rgb="FF000000"/>
            <rFont val="Tahoma"/>
            <family val="2"/>
          </rPr>
          <t xml:space="preserve">
Source: Forbes team page (Venue section, Oct 2025 list), https://www.forbes.com/teams/orlando-magic/</t>
        </r>
      </text>
    </comment>
    <comment ref="B60" authorId="0" shapeId="0" xr:uid="{C8B7BAA2-4B4B-8F41-98C4-B27D6A3F4727}">
      <text>
        <r>
          <rPr>
            <b/>
            <sz val="10"/>
            <color rgb="FF000000"/>
            <rFont val="Tahoma"/>
            <family val="2"/>
          </rPr>
          <t>Keller, Zach:</t>
        </r>
        <r>
          <rPr>
            <sz val="10"/>
            <color rgb="FF000000"/>
            <rFont val="Tahoma"/>
            <family val="2"/>
          </rPr>
          <t xml:space="preserve">
Source: Forbes team page (Venue section, Oct 2025 list), https://www.forbes.com/teams/philadelphia-76ers/</t>
        </r>
      </text>
    </comment>
    <comment ref="C60" authorId="0" shapeId="0" xr:uid="{BB7CDA4F-10F6-034E-B4FC-ADAC728B622E}">
      <text>
        <r>
          <rPr>
            <b/>
            <sz val="10"/>
            <color rgb="FF000000"/>
            <rFont val="Tahoma"/>
            <family val="2"/>
          </rPr>
          <t>Keller, Zach:</t>
        </r>
        <r>
          <rPr>
            <sz val="10"/>
            <color rgb="FF000000"/>
            <rFont val="Tahoma"/>
            <family val="2"/>
          </rPr>
          <t xml:space="preserve">
Source: Forbes team page (Venue section, Oct 2025 list), https://www.forbes.com/teams/philadelphia-76ers/</t>
        </r>
      </text>
    </comment>
    <comment ref="D60" authorId="0" shapeId="0" xr:uid="{B73A76F9-9CA3-E841-8302-C5DB114191D7}">
      <text>
        <r>
          <rPr>
            <b/>
            <sz val="10"/>
            <color rgb="FF000000"/>
            <rFont val="Tahoma"/>
            <family val="2"/>
          </rPr>
          <t>Keller, Zach:</t>
        </r>
        <r>
          <rPr>
            <sz val="10"/>
            <color rgb="FF000000"/>
            <rFont val="Tahoma"/>
            <family val="2"/>
          </rPr>
          <t xml:space="preserve">
Source: Forbes team page (Venue section, Oct 2025 list), https://www.forbes.com/teams/philadelphia-76ers/</t>
        </r>
      </text>
    </comment>
    <comment ref="E60" authorId="0" shapeId="0" xr:uid="{43B893B2-973B-E944-A09E-A0883306EEE6}">
      <text>
        <r>
          <rPr>
            <b/>
            <sz val="10"/>
            <color rgb="FF000000"/>
            <rFont val="Tahoma"/>
            <family val="2"/>
          </rPr>
          <t>Keller, Zach:</t>
        </r>
        <r>
          <rPr>
            <sz val="10"/>
            <color rgb="FF000000"/>
            <rFont val="Tahoma"/>
            <family val="2"/>
          </rPr>
          <t xml:space="preserve">
Source: Forbes team page (Venue section, Oct 2025 list), https://www.forbes.com/teams/philadelphia-76ers/</t>
        </r>
      </text>
    </comment>
    <comment ref="F60" authorId="0" shapeId="0" xr:uid="{65A1C0E6-0D38-9C45-9BBE-450AA8616D5B}">
      <text>
        <r>
          <rPr>
            <b/>
            <sz val="10"/>
            <color rgb="FF000000"/>
            <rFont val="Tahoma"/>
            <family val="2"/>
          </rPr>
          <t>Keller, Zach:</t>
        </r>
        <r>
          <rPr>
            <sz val="10"/>
            <color rgb="FF000000"/>
            <rFont val="Tahoma"/>
            <family val="2"/>
          </rPr>
          <t xml:space="preserve">
Source: Forbes team page (Venue section, Oct 2025 list), https://www.forbes.com/teams/philadelphia-76ers/</t>
        </r>
      </text>
    </comment>
    <comment ref="G60" authorId="0" shapeId="0" xr:uid="{B6CDF7EE-05E3-B746-B55C-A0A0C5751DDA}">
      <text>
        <r>
          <rPr>
            <b/>
            <sz val="10"/>
            <color rgb="FF000000"/>
            <rFont val="Tahoma"/>
            <family val="2"/>
          </rPr>
          <t>Keller, Zach:</t>
        </r>
        <r>
          <rPr>
            <sz val="10"/>
            <color rgb="FF000000"/>
            <rFont val="Tahoma"/>
            <family val="2"/>
          </rPr>
          <t xml:space="preserve">
Source: Forbes team page (Venue section, Oct 2025 list), https://www.forbes.com/teams/philadelphia-76ers/</t>
        </r>
      </text>
    </comment>
    <comment ref="H60" authorId="0" shapeId="0" xr:uid="{DB4F3115-C323-D841-A519-94473658492C}">
      <text>
        <r>
          <rPr>
            <b/>
            <sz val="10"/>
            <color rgb="FF000000"/>
            <rFont val="Tahoma"/>
            <family val="2"/>
          </rPr>
          <t>Keller, Zach:</t>
        </r>
        <r>
          <rPr>
            <sz val="10"/>
            <color rgb="FF000000"/>
            <rFont val="Tahoma"/>
            <family val="2"/>
          </rPr>
          <t xml:space="preserve">
Source: Forbes team page (Venue section, Oct 2025 list), https://www.forbes.com/teams/philadelphia-76ers/</t>
        </r>
      </text>
    </comment>
    <comment ref="I60" authorId="0" shapeId="0" xr:uid="{DB3C7AE4-B693-1249-9039-48A0951956AB}">
      <text>
        <r>
          <rPr>
            <b/>
            <sz val="10"/>
            <color rgb="FF000000"/>
            <rFont val="Tahoma"/>
            <family val="2"/>
          </rPr>
          <t>Keller, Zach:</t>
        </r>
        <r>
          <rPr>
            <sz val="10"/>
            <color rgb="FF000000"/>
            <rFont val="Tahoma"/>
            <family val="2"/>
          </rPr>
          <t xml:space="preserve">
Source: Forbes team page (Venue section, Oct 2025 list), https://www.forbes.com/teams/philadelphia-76ers/</t>
        </r>
      </text>
    </comment>
    <comment ref="J60" authorId="0" shapeId="0" xr:uid="{9CBE1188-6E3D-D64C-9C91-E73F9A65F2C5}">
      <text>
        <r>
          <rPr>
            <b/>
            <sz val="10"/>
            <color rgb="FF000000"/>
            <rFont val="Tahoma"/>
            <family val="2"/>
          </rPr>
          <t>Keller, Zach:</t>
        </r>
        <r>
          <rPr>
            <sz val="10"/>
            <color rgb="FF000000"/>
            <rFont val="Tahoma"/>
            <family val="2"/>
          </rPr>
          <t xml:space="preserve">
Source: Forbes team page (Venue section, Oct 2025 list), https://www.forbes.com/teams/philadelphia-76ers/</t>
        </r>
      </text>
    </comment>
    <comment ref="K60" authorId="0" shapeId="0" xr:uid="{19B60A37-9E12-824B-AD98-67F2A56314DB}">
      <text>
        <r>
          <rPr>
            <b/>
            <sz val="10"/>
            <color rgb="FF000000"/>
            <rFont val="Tahoma"/>
            <family val="2"/>
          </rPr>
          <t>Keller, Zach:</t>
        </r>
        <r>
          <rPr>
            <sz val="10"/>
            <color rgb="FF000000"/>
            <rFont val="Tahoma"/>
            <family val="2"/>
          </rPr>
          <t xml:space="preserve">
Source: Forbes team page (Venue section, Oct 2025 list), https://www.forbes.com/teams/philadelphia-76ers/</t>
        </r>
      </text>
    </comment>
    <comment ref="B61" authorId="0" shapeId="0" xr:uid="{5AF73E41-D410-E948-A431-4198D6E8987D}">
      <text>
        <r>
          <rPr>
            <b/>
            <sz val="10"/>
            <color rgb="FF000000"/>
            <rFont val="Tahoma"/>
            <family val="2"/>
          </rPr>
          <t>Keller, Zach:</t>
        </r>
        <r>
          <rPr>
            <sz val="10"/>
            <color rgb="FF000000"/>
            <rFont val="Tahoma"/>
            <family val="2"/>
          </rPr>
          <t xml:space="preserve">
Source: Forbes team page (Venue section, Oct 2025 list), https://www.forbes.com/teams/phoenix-suns/</t>
        </r>
      </text>
    </comment>
    <comment ref="C61" authorId="0" shapeId="0" xr:uid="{00BECB14-5DC1-DE4B-AABC-3CC53147DED4}">
      <text>
        <r>
          <rPr>
            <b/>
            <sz val="10"/>
            <color rgb="FF000000"/>
            <rFont val="Tahoma"/>
            <family val="2"/>
          </rPr>
          <t>Keller, Zach:</t>
        </r>
        <r>
          <rPr>
            <sz val="10"/>
            <color rgb="FF000000"/>
            <rFont val="Tahoma"/>
            <family val="2"/>
          </rPr>
          <t xml:space="preserve">
Source: Forbes team page (Venue section, Oct 2025 list), https://www.forbes.com/teams/phoenix-suns/</t>
        </r>
      </text>
    </comment>
    <comment ref="D61" authorId="0" shapeId="0" xr:uid="{9D7BCDBF-CD08-234A-9D46-072F73E9FC44}">
      <text>
        <r>
          <rPr>
            <b/>
            <sz val="10"/>
            <color rgb="FF000000"/>
            <rFont val="Tahoma"/>
            <family val="2"/>
          </rPr>
          <t>Keller, Zach:</t>
        </r>
        <r>
          <rPr>
            <sz val="10"/>
            <color rgb="FF000000"/>
            <rFont val="Tahoma"/>
            <family val="2"/>
          </rPr>
          <t xml:space="preserve">
Source: Forbes team page (Venue section, Oct 2025 list), https://www.forbes.com/teams/phoenix-suns/</t>
        </r>
      </text>
    </comment>
    <comment ref="E61" authorId="0" shapeId="0" xr:uid="{BE414704-0EDE-1146-B1AB-9C81A7825EFD}">
      <text>
        <r>
          <rPr>
            <b/>
            <sz val="10"/>
            <color rgb="FF000000"/>
            <rFont val="Tahoma"/>
            <family val="2"/>
          </rPr>
          <t>Keller, Zach:</t>
        </r>
        <r>
          <rPr>
            <sz val="10"/>
            <color rgb="FF000000"/>
            <rFont val="Tahoma"/>
            <family val="2"/>
          </rPr>
          <t xml:space="preserve">
Source: Forbes team page (Venue section, Oct 2025 list), https://www.forbes.com/teams/phoenix-suns/</t>
        </r>
      </text>
    </comment>
    <comment ref="F61" authorId="0" shapeId="0" xr:uid="{57574CF0-3F54-8E42-9D42-7BB5B3C7AC5D}">
      <text>
        <r>
          <rPr>
            <b/>
            <sz val="10"/>
            <color rgb="FF000000"/>
            <rFont val="Tahoma"/>
            <family val="2"/>
          </rPr>
          <t>Keller, Zach:</t>
        </r>
        <r>
          <rPr>
            <sz val="10"/>
            <color rgb="FF000000"/>
            <rFont val="Tahoma"/>
            <family val="2"/>
          </rPr>
          <t xml:space="preserve">
Source: Forbes team page (Venue section, Oct 2025 list), https://www.forbes.com/teams/phoenix-suns/</t>
        </r>
      </text>
    </comment>
    <comment ref="G61" authorId="0" shapeId="0" xr:uid="{1E99D506-7BB6-724B-A947-977D0CA896C6}">
      <text>
        <r>
          <rPr>
            <b/>
            <sz val="10"/>
            <color rgb="FF000000"/>
            <rFont val="Tahoma"/>
            <family val="2"/>
          </rPr>
          <t>Keller, Zach:</t>
        </r>
        <r>
          <rPr>
            <sz val="10"/>
            <color rgb="FF000000"/>
            <rFont val="Tahoma"/>
            <family val="2"/>
          </rPr>
          <t xml:space="preserve">
Source: Forbes team page (Venue section, Oct 2025 list), https://www.forbes.com/teams/phoenix-suns/</t>
        </r>
      </text>
    </comment>
    <comment ref="H61" authorId="0" shapeId="0" xr:uid="{9E076698-A748-1141-83AC-6C1B02EA0235}">
      <text>
        <r>
          <rPr>
            <b/>
            <sz val="10"/>
            <color rgb="FF000000"/>
            <rFont val="Tahoma"/>
            <family val="2"/>
          </rPr>
          <t>Keller, Zach:</t>
        </r>
        <r>
          <rPr>
            <sz val="10"/>
            <color rgb="FF000000"/>
            <rFont val="Tahoma"/>
            <family val="2"/>
          </rPr>
          <t xml:space="preserve">
Source: Forbes team page (Venue section, Oct 2025 list), https://www.forbes.com/teams/phoenix-suns/</t>
        </r>
      </text>
    </comment>
    <comment ref="I61" authorId="0" shapeId="0" xr:uid="{662AC292-71FE-3E49-B2FE-67BABA290200}">
      <text>
        <r>
          <rPr>
            <b/>
            <sz val="10"/>
            <color rgb="FF000000"/>
            <rFont val="Tahoma"/>
            <family val="2"/>
          </rPr>
          <t>Keller, Zach:</t>
        </r>
        <r>
          <rPr>
            <sz val="10"/>
            <color rgb="FF000000"/>
            <rFont val="Tahoma"/>
            <family val="2"/>
          </rPr>
          <t xml:space="preserve">
Source: Forbes team page (Venue section, Oct 2025 list), https://www.forbes.com/teams/phoenix-suns/</t>
        </r>
      </text>
    </comment>
    <comment ref="J61" authorId="0" shapeId="0" xr:uid="{648D9D51-81CE-B04E-84CC-FC2CE66D71B5}">
      <text>
        <r>
          <rPr>
            <b/>
            <sz val="10"/>
            <color rgb="FF000000"/>
            <rFont val="Tahoma"/>
            <family val="2"/>
          </rPr>
          <t>Keller, Zach:</t>
        </r>
        <r>
          <rPr>
            <sz val="10"/>
            <color rgb="FF000000"/>
            <rFont val="Tahoma"/>
            <family val="2"/>
          </rPr>
          <t xml:space="preserve">
Source: Forbes team page (Venue section, Oct 2025 list), https://www.forbes.com/teams/phoenix-suns/</t>
        </r>
      </text>
    </comment>
    <comment ref="K61" authorId="0" shapeId="0" xr:uid="{596AA17A-8950-2D4E-842E-F2C61CFF13AF}">
      <text>
        <r>
          <rPr>
            <b/>
            <sz val="10"/>
            <color rgb="FF000000"/>
            <rFont val="Tahoma"/>
            <family val="2"/>
          </rPr>
          <t>Keller, Zach:</t>
        </r>
        <r>
          <rPr>
            <sz val="10"/>
            <color rgb="FF000000"/>
            <rFont val="Tahoma"/>
            <family val="2"/>
          </rPr>
          <t xml:space="preserve">
Source: Forbes team page (Venue section, Oct 2025 list), https://www.forbes.com/teams/phoenix-suns/</t>
        </r>
      </text>
    </comment>
    <comment ref="B62" authorId="0" shapeId="0" xr:uid="{F5CB6BA3-53A2-1F44-8591-F078BDFD5259}">
      <text>
        <r>
          <rPr>
            <b/>
            <sz val="10"/>
            <color rgb="FF000000"/>
            <rFont val="Tahoma"/>
            <family val="2"/>
          </rPr>
          <t>Keller, Zach:</t>
        </r>
        <r>
          <rPr>
            <sz val="10"/>
            <color rgb="FF000000"/>
            <rFont val="Tahoma"/>
            <family val="2"/>
          </rPr>
          <t xml:space="preserve">
Source: Forbes team page (Venue section, Oct 2025 list), https://www.forbes.com/teams/portland-trail-blazers/</t>
        </r>
      </text>
    </comment>
    <comment ref="C62" authorId="0" shapeId="0" xr:uid="{171ECE10-4C32-2840-A3DA-A42E6B2ADFF1}">
      <text>
        <r>
          <rPr>
            <b/>
            <sz val="10"/>
            <color rgb="FF000000"/>
            <rFont val="Tahoma"/>
            <family val="2"/>
          </rPr>
          <t>Keller, Zach:</t>
        </r>
        <r>
          <rPr>
            <sz val="10"/>
            <color rgb="FF000000"/>
            <rFont val="Tahoma"/>
            <family val="2"/>
          </rPr>
          <t xml:space="preserve">
Source: Forbes team page (Venue section, Oct 2025 list), https://www.forbes.com/teams/portland-trail-blazers/</t>
        </r>
      </text>
    </comment>
    <comment ref="D62" authorId="0" shapeId="0" xr:uid="{6C74A0CE-A400-A948-BC00-AFACE69042DB}">
      <text>
        <r>
          <rPr>
            <b/>
            <sz val="10"/>
            <color rgb="FF000000"/>
            <rFont val="Tahoma"/>
            <family val="2"/>
          </rPr>
          <t>Keller, Zach:</t>
        </r>
        <r>
          <rPr>
            <sz val="10"/>
            <color rgb="FF000000"/>
            <rFont val="Tahoma"/>
            <family val="2"/>
          </rPr>
          <t xml:space="preserve">
Source: Forbes team page (Venue section, Oct 2025 list), https://www.forbes.com/teams/portland-trail-blazers/</t>
        </r>
      </text>
    </comment>
    <comment ref="E62" authorId="0" shapeId="0" xr:uid="{BA81E47E-33A8-CD4F-92E9-5274EB1A36C5}">
      <text>
        <r>
          <rPr>
            <b/>
            <sz val="10"/>
            <color rgb="FF000000"/>
            <rFont val="Tahoma"/>
            <family val="2"/>
          </rPr>
          <t>Keller, Zach:</t>
        </r>
        <r>
          <rPr>
            <sz val="10"/>
            <color rgb="FF000000"/>
            <rFont val="Tahoma"/>
            <family val="2"/>
          </rPr>
          <t xml:space="preserve">
Source: Forbes team page (Venue section, Oct 2025 list), https://www.forbes.com/teams/portland-trail-blazers/</t>
        </r>
      </text>
    </comment>
    <comment ref="F62" authorId="0" shapeId="0" xr:uid="{4A76B39B-A8D4-3447-B637-7129A4AA5987}">
      <text>
        <r>
          <rPr>
            <b/>
            <sz val="10"/>
            <color rgb="FF000000"/>
            <rFont val="Tahoma"/>
            <family val="2"/>
          </rPr>
          <t>Keller, Zach:</t>
        </r>
        <r>
          <rPr>
            <sz val="10"/>
            <color rgb="FF000000"/>
            <rFont val="Tahoma"/>
            <family val="2"/>
          </rPr>
          <t xml:space="preserve">
Source: Forbes team page (Venue section, Oct 2025 list), https://www.forbes.com/teams/portland-trail-blazers/</t>
        </r>
      </text>
    </comment>
    <comment ref="G62" authorId="0" shapeId="0" xr:uid="{CF0AC274-8573-3444-94AF-4636C4D97128}">
      <text>
        <r>
          <rPr>
            <b/>
            <sz val="10"/>
            <color rgb="FF000000"/>
            <rFont val="Tahoma"/>
            <family val="2"/>
          </rPr>
          <t>Keller, Zach:</t>
        </r>
        <r>
          <rPr>
            <sz val="10"/>
            <color rgb="FF000000"/>
            <rFont val="Tahoma"/>
            <family val="2"/>
          </rPr>
          <t xml:space="preserve">
Source: Forbes team page (Venue section, Oct 2025 list), https://www.forbes.com/teams/portland-trail-blazers/</t>
        </r>
      </text>
    </comment>
    <comment ref="H62" authorId="0" shapeId="0" xr:uid="{29A1C487-C966-9443-9720-401F899F0B43}">
      <text>
        <r>
          <rPr>
            <b/>
            <sz val="10"/>
            <color rgb="FF000000"/>
            <rFont val="Tahoma"/>
            <family val="2"/>
          </rPr>
          <t>Keller, Zach:</t>
        </r>
        <r>
          <rPr>
            <sz val="10"/>
            <color rgb="FF000000"/>
            <rFont val="Tahoma"/>
            <family val="2"/>
          </rPr>
          <t xml:space="preserve">
Source: Forbes team page (Venue section, Oct 2025 list), https://www.forbes.com/teams/portland-trail-blazers/</t>
        </r>
      </text>
    </comment>
    <comment ref="I62" authorId="0" shapeId="0" xr:uid="{E2A40199-8C01-D848-9A3D-86FDF0063DC4}">
      <text>
        <r>
          <rPr>
            <b/>
            <sz val="10"/>
            <color rgb="FF000000"/>
            <rFont val="Tahoma"/>
            <family val="2"/>
          </rPr>
          <t>Keller, Zach:</t>
        </r>
        <r>
          <rPr>
            <sz val="10"/>
            <color rgb="FF000000"/>
            <rFont val="Tahoma"/>
            <family val="2"/>
          </rPr>
          <t xml:space="preserve">
Source: Forbes team page (Venue section, Oct 2025 list), https://www.forbes.com/teams/portland-trail-blazers/</t>
        </r>
      </text>
    </comment>
    <comment ref="J62" authorId="0" shapeId="0" xr:uid="{3F981282-5F97-714B-9032-DEFA12D4EF78}">
      <text>
        <r>
          <rPr>
            <b/>
            <sz val="10"/>
            <color rgb="FF000000"/>
            <rFont val="Tahoma"/>
            <family val="2"/>
          </rPr>
          <t>Keller, Zach:</t>
        </r>
        <r>
          <rPr>
            <sz val="10"/>
            <color rgb="FF000000"/>
            <rFont val="Tahoma"/>
            <family val="2"/>
          </rPr>
          <t xml:space="preserve">
Source: Forbes team page (Venue section, Oct 2025 list), https://www.forbes.com/teams/portland-trail-blazers/</t>
        </r>
      </text>
    </comment>
    <comment ref="K62" authorId="0" shapeId="0" xr:uid="{72B00B9D-E488-2343-9DF1-EE707CDFC4D1}">
      <text>
        <r>
          <rPr>
            <b/>
            <sz val="10"/>
            <color rgb="FF000000"/>
            <rFont val="Tahoma"/>
            <family val="2"/>
          </rPr>
          <t>Keller, Zach:</t>
        </r>
        <r>
          <rPr>
            <sz val="10"/>
            <color rgb="FF000000"/>
            <rFont val="Tahoma"/>
            <family val="2"/>
          </rPr>
          <t xml:space="preserve">
Source: Forbes team page (Venue section, Oct 2025 list), https://www.forbes.com/teams/portland-trail-blazers/</t>
        </r>
      </text>
    </comment>
    <comment ref="B63" authorId="0" shapeId="0" xr:uid="{82B5D162-9D3F-6843-8B23-CD5D3D5B3DB2}">
      <text>
        <r>
          <rPr>
            <b/>
            <sz val="10"/>
            <color rgb="FF000000"/>
            <rFont val="Tahoma"/>
            <family val="2"/>
          </rPr>
          <t>Keller, Zach:</t>
        </r>
        <r>
          <rPr>
            <sz val="10"/>
            <color rgb="FF000000"/>
            <rFont val="Tahoma"/>
            <family val="2"/>
          </rPr>
          <t xml:space="preserve">
Opened 1988. Source: Bleacher Report, https://bleacherreport.com/articles/2630531-kings-owe-sacramento-fresh-start-as-embarrassing-era-ends-at-sleep-train-arena</t>
        </r>
      </text>
    </comment>
    <comment ref="C63" authorId="0" shapeId="0" xr:uid="{54297449-D050-B34B-8469-11C8CC3D86CE}">
      <text>
        <r>
          <rPr>
            <b/>
            <sz val="10"/>
            <color rgb="FF000000"/>
            <rFont val="Tahoma"/>
            <family val="2"/>
          </rPr>
          <t>Keller, Zach:</t>
        </r>
        <r>
          <rPr>
            <sz val="10"/>
            <color rgb="FF000000"/>
            <rFont val="Tahoma"/>
            <family val="2"/>
          </rPr>
          <t xml:space="preserve">
Source: Forbes team page (Venue section, Oct 2025 list), https://www.forbes.com/teams/sacramento-kings/</t>
        </r>
      </text>
    </comment>
    <comment ref="D63" authorId="0" shapeId="0" xr:uid="{CFD93D9D-BEFE-4149-89C6-A766C183D322}">
      <text>
        <r>
          <rPr>
            <b/>
            <sz val="10"/>
            <color rgb="FF000000"/>
            <rFont val="Tahoma"/>
            <family val="2"/>
          </rPr>
          <t>Keller, Zach:</t>
        </r>
        <r>
          <rPr>
            <sz val="10"/>
            <color rgb="FF000000"/>
            <rFont val="Tahoma"/>
            <family val="2"/>
          </rPr>
          <t xml:space="preserve">
Source: Forbes team page (Venue section, Oct 2025 list), https://www.forbes.com/teams/sacramento-kings/</t>
        </r>
      </text>
    </comment>
    <comment ref="E63" authorId="0" shapeId="0" xr:uid="{A243C84E-7DC1-A64C-AAAE-39C049E6CBED}">
      <text>
        <r>
          <rPr>
            <b/>
            <sz val="10"/>
            <color rgb="FF000000"/>
            <rFont val="Tahoma"/>
            <family val="2"/>
          </rPr>
          <t>Keller, Zach:</t>
        </r>
        <r>
          <rPr>
            <sz val="10"/>
            <color rgb="FF000000"/>
            <rFont val="Tahoma"/>
            <family val="2"/>
          </rPr>
          <t xml:space="preserve">
Source: Forbes team page (Venue section, Oct 2025 list), https://www.forbes.com/teams/sacramento-kings/</t>
        </r>
      </text>
    </comment>
    <comment ref="F63" authorId="0" shapeId="0" xr:uid="{00452019-CBC5-1A46-A7AE-0F984D698466}">
      <text>
        <r>
          <rPr>
            <b/>
            <sz val="10"/>
            <color rgb="FF000000"/>
            <rFont val="Tahoma"/>
            <family val="2"/>
          </rPr>
          <t>Keller, Zach:</t>
        </r>
        <r>
          <rPr>
            <sz val="10"/>
            <color rgb="FF000000"/>
            <rFont val="Tahoma"/>
            <family val="2"/>
          </rPr>
          <t xml:space="preserve">
Source: Forbes team page (Venue section, Oct 2025 list), https://www.forbes.com/teams/sacramento-kings/</t>
        </r>
      </text>
    </comment>
    <comment ref="G63" authorId="0" shapeId="0" xr:uid="{8F29E5AB-2D73-8048-B06E-ABB155C5F87B}">
      <text>
        <r>
          <rPr>
            <b/>
            <sz val="10"/>
            <color rgb="FF000000"/>
            <rFont val="Tahoma"/>
            <family val="2"/>
          </rPr>
          <t>Keller, Zach:</t>
        </r>
        <r>
          <rPr>
            <sz val="10"/>
            <color rgb="FF000000"/>
            <rFont val="Tahoma"/>
            <family val="2"/>
          </rPr>
          <t xml:space="preserve">
Source: Forbes team page (Venue section, Oct 2025 list), https://www.forbes.com/teams/sacramento-kings/</t>
        </r>
      </text>
    </comment>
    <comment ref="H63" authorId="0" shapeId="0" xr:uid="{00D7C016-9100-B54D-9EDD-B805B5333822}">
      <text>
        <r>
          <rPr>
            <b/>
            <sz val="10"/>
            <color rgb="FF000000"/>
            <rFont val="Tahoma"/>
            <family val="2"/>
          </rPr>
          <t>Keller, Zach:</t>
        </r>
        <r>
          <rPr>
            <sz val="10"/>
            <color rgb="FF000000"/>
            <rFont val="Tahoma"/>
            <family val="2"/>
          </rPr>
          <t xml:space="preserve">
Source: Forbes team page (Venue section, Oct 2025 list), https://www.forbes.com/teams/sacramento-kings/</t>
        </r>
      </text>
    </comment>
    <comment ref="I63" authorId="0" shapeId="0" xr:uid="{A274FBDC-D153-D34B-8540-53756E68DA4F}">
      <text>
        <r>
          <rPr>
            <b/>
            <sz val="10"/>
            <color rgb="FF000000"/>
            <rFont val="Tahoma"/>
            <family val="2"/>
          </rPr>
          <t>Keller, Zach:</t>
        </r>
        <r>
          <rPr>
            <sz val="10"/>
            <color rgb="FF000000"/>
            <rFont val="Tahoma"/>
            <family val="2"/>
          </rPr>
          <t xml:space="preserve">
Source: Forbes team page (Venue section, Oct 2025 list), https://www.forbes.com/teams/sacramento-kings/</t>
        </r>
      </text>
    </comment>
    <comment ref="J63" authorId="0" shapeId="0" xr:uid="{EDD982ED-4F8C-254A-B69B-32D30A0F3C0A}">
      <text>
        <r>
          <rPr>
            <b/>
            <sz val="10"/>
            <color rgb="FF000000"/>
            <rFont val="Tahoma"/>
            <family val="2"/>
          </rPr>
          <t>Keller, Zach:</t>
        </r>
        <r>
          <rPr>
            <sz val="10"/>
            <color rgb="FF000000"/>
            <rFont val="Tahoma"/>
            <family val="2"/>
          </rPr>
          <t xml:space="preserve">
Source: Forbes team page (Venue section, Oct 2025 list), https://www.forbes.com/teams/sacramento-kings/</t>
        </r>
      </text>
    </comment>
    <comment ref="K63" authorId="0" shapeId="0" xr:uid="{03CE5C35-9A3A-514F-B979-CD6CB6D2AC41}">
      <text>
        <r>
          <rPr>
            <b/>
            <sz val="10"/>
            <color rgb="FF000000"/>
            <rFont val="Tahoma"/>
            <family val="2"/>
          </rPr>
          <t>Keller, Zach:</t>
        </r>
        <r>
          <rPr>
            <sz val="10"/>
            <color rgb="FF000000"/>
            <rFont val="Tahoma"/>
            <family val="2"/>
          </rPr>
          <t xml:space="preserve">
Source: Forbes team page (Venue section, Oct 2025 list), https://www.forbes.com/teams/sacramento-kings/</t>
        </r>
      </text>
    </comment>
    <comment ref="B64" authorId="0" shapeId="0" xr:uid="{19D31677-8D64-5244-A13E-7B26F20F665E}">
      <text>
        <r>
          <rPr>
            <b/>
            <sz val="10"/>
            <color rgb="FF000000"/>
            <rFont val="Tahoma"/>
            <family val="2"/>
          </rPr>
          <t>Keller, Zach:</t>
        </r>
        <r>
          <rPr>
            <sz val="10"/>
            <color rgb="FF000000"/>
            <rFont val="Tahoma"/>
            <family val="2"/>
          </rPr>
          <t xml:space="preserve">
Source: Forbes team page (Venue section, Oct 2025 list), https://www.forbes.com/teams/san-antonio-spurs/</t>
        </r>
      </text>
    </comment>
    <comment ref="C64" authorId="0" shapeId="0" xr:uid="{1139F3CE-983F-8F45-9D13-EDFEE1AE0557}">
      <text>
        <r>
          <rPr>
            <b/>
            <sz val="10"/>
            <color rgb="FF000000"/>
            <rFont val="Tahoma"/>
            <family val="2"/>
          </rPr>
          <t>Keller, Zach:</t>
        </r>
        <r>
          <rPr>
            <sz val="10"/>
            <color rgb="FF000000"/>
            <rFont val="Tahoma"/>
            <family val="2"/>
          </rPr>
          <t xml:space="preserve">
Source: Forbes team page (Venue section, Oct 2025 list), https://www.forbes.com/teams/san-antonio-spurs/</t>
        </r>
      </text>
    </comment>
    <comment ref="D64" authorId="0" shapeId="0" xr:uid="{937F8CFE-7F6E-AF49-B96D-59EBF27806C0}">
      <text>
        <r>
          <rPr>
            <b/>
            <sz val="10"/>
            <color rgb="FF000000"/>
            <rFont val="Tahoma"/>
            <family val="2"/>
          </rPr>
          <t>Keller, Zach:</t>
        </r>
        <r>
          <rPr>
            <sz val="10"/>
            <color rgb="FF000000"/>
            <rFont val="Tahoma"/>
            <family val="2"/>
          </rPr>
          <t xml:space="preserve">
Source: Forbes team page (Venue section, Oct 2025 list), https://www.forbes.com/teams/san-antonio-spurs/</t>
        </r>
      </text>
    </comment>
    <comment ref="E64" authorId="0" shapeId="0" xr:uid="{7C11E7A0-8A8A-A24C-89D5-58CAA3E4E7A8}">
      <text>
        <r>
          <rPr>
            <b/>
            <sz val="10"/>
            <color rgb="FF000000"/>
            <rFont val="Tahoma"/>
            <family val="2"/>
          </rPr>
          <t>Keller, Zach:</t>
        </r>
        <r>
          <rPr>
            <sz val="10"/>
            <color rgb="FF000000"/>
            <rFont val="Tahoma"/>
            <family val="2"/>
          </rPr>
          <t xml:space="preserve">
Source: Forbes team page (Venue section, Oct 2025 list), https://www.forbes.com/teams/san-antonio-spurs/</t>
        </r>
      </text>
    </comment>
    <comment ref="F64" authorId="0" shapeId="0" xr:uid="{9C0E224D-AEB9-A54F-82D3-F812131AC613}">
      <text>
        <r>
          <rPr>
            <b/>
            <sz val="10"/>
            <color rgb="FF000000"/>
            <rFont val="Tahoma"/>
            <family val="2"/>
          </rPr>
          <t>Keller, Zach:</t>
        </r>
        <r>
          <rPr>
            <sz val="10"/>
            <color rgb="FF000000"/>
            <rFont val="Tahoma"/>
            <family val="2"/>
          </rPr>
          <t xml:space="preserve">
Source: Forbes team page (Venue section, Oct 2025 list), https://www.forbes.com/teams/san-antonio-spurs/</t>
        </r>
      </text>
    </comment>
    <comment ref="G64" authorId="0" shapeId="0" xr:uid="{F0E6BB4F-07C0-3842-BCAE-1F6EABE4C5FD}">
      <text>
        <r>
          <rPr>
            <b/>
            <sz val="10"/>
            <color rgb="FF000000"/>
            <rFont val="Tahoma"/>
            <family val="2"/>
          </rPr>
          <t>Keller, Zach:</t>
        </r>
        <r>
          <rPr>
            <sz val="10"/>
            <color rgb="FF000000"/>
            <rFont val="Tahoma"/>
            <family val="2"/>
          </rPr>
          <t xml:space="preserve">
Source: Forbes team page (Venue section, Oct 2025 list), https://www.forbes.com/teams/san-antonio-spurs/</t>
        </r>
      </text>
    </comment>
    <comment ref="H64" authorId="0" shapeId="0" xr:uid="{56B2C8F8-4834-7344-BA2A-A5120FDDE1AA}">
      <text>
        <r>
          <rPr>
            <b/>
            <sz val="10"/>
            <color rgb="FF000000"/>
            <rFont val="Tahoma"/>
            <family val="2"/>
          </rPr>
          <t>Keller, Zach:</t>
        </r>
        <r>
          <rPr>
            <sz val="10"/>
            <color rgb="FF000000"/>
            <rFont val="Tahoma"/>
            <family val="2"/>
          </rPr>
          <t xml:space="preserve">
Source: Forbes team page (Venue section, Oct 2025 list), https://www.forbes.com/teams/san-antonio-spurs/</t>
        </r>
      </text>
    </comment>
    <comment ref="I64" authorId="0" shapeId="0" xr:uid="{5E2AA243-912C-1E44-B77B-55CAFCA5123B}">
      <text>
        <r>
          <rPr>
            <b/>
            <sz val="10"/>
            <color rgb="FF000000"/>
            <rFont val="Tahoma"/>
            <family val="2"/>
          </rPr>
          <t>Keller, Zach:</t>
        </r>
        <r>
          <rPr>
            <sz val="10"/>
            <color rgb="FF000000"/>
            <rFont val="Tahoma"/>
            <family val="2"/>
          </rPr>
          <t xml:space="preserve">
Source: Forbes team page (Venue section, Oct 2025 list), https://www.forbes.com/teams/san-antonio-spurs/</t>
        </r>
      </text>
    </comment>
    <comment ref="J64" authorId="0" shapeId="0" xr:uid="{CFDB1F35-06EF-1646-AFBA-07A9AA8D13E1}">
      <text>
        <r>
          <rPr>
            <b/>
            <sz val="10"/>
            <color rgb="FF000000"/>
            <rFont val="Tahoma"/>
            <family val="2"/>
          </rPr>
          <t>Keller, Zach:</t>
        </r>
        <r>
          <rPr>
            <sz val="10"/>
            <color rgb="FF000000"/>
            <rFont val="Tahoma"/>
            <family val="2"/>
          </rPr>
          <t xml:space="preserve">
Source: Forbes team page (Venue section, Oct 2025 list), https://www.forbes.com/teams/san-antonio-spurs/</t>
        </r>
      </text>
    </comment>
    <comment ref="K64" authorId="0" shapeId="0" xr:uid="{8BB4DDC9-B2D5-E34A-99B8-403D2328F31F}">
      <text>
        <r>
          <rPr>
            <b/>
            <sz val="10"/>
            <color rgb="FF000000"/>
            <rFont val="Tahoma"/>
            <family val="2"/>
          </rPr>
          <t>Keller, Zach:</t>
        </r>
        <r>
          <rPr>
            <sz val="10"/>
            <color rgb="FF000000"/>
            <rFont val="Tahoma"/>
            <family val="2"/>
          </rPr>
          <t xml:space="preserve">
Source: Forbes team page (Venue section, Oct 2025 list), https://www.forbes.com/teams/san-antonio-spurs/</t>
        </r>
      </text>
    </comment>
    <comment ref="B65" authorId="0" shapeId="0" xr:uid="{82D2F4CA-A8E1-5D43-B8EC-8305CA7B07F4}">
      <text>
        <r>
          <rPr>
            <b/>
            <sz val="10"/>
            <color rgb="FF000000"/>
            <rFont val="Tahoma"/>
            <family val="2"/>
          </rPr>
          <t>Keller, Zach:</t>
        </r>
        <r>
          <rPr>
            <sz val="10"/>
            <color rgb="FF000000"/>
            <rFont val="Tahoma"/>
            <family val="2"/>
          </rPr>
          <t xml:space="preserve">
Source: Forbes team page (Venue section, Oct 2025 list), https://www.forbes.com/teams/toronto-raptors/</t>
        </r>
      </text>
    </comment>
    <comment ref="C65" authorId="0" shapeId="0" xr:uid="{F3820C64-60DE-0E42-811F-C801BE48F0D7}">
      <text>
        <r>
          <rPr>
            <b/>
            <sz val="10"/>
            <color rgb="FF000000"/>
            <rFont val="Tahoma"/>
            <family val="2"/>
          </rPr>
          <t>Keller, Zach:</t>
        </r>
        <r>
          <rPr>
            <sz val="10"/>
            <color rgb="FF000000"/>
            <rFont val="Tahoma"/>
            <family val="2"/>
          </rPr>
          <t xml:space="preserve">
Source: Forbes team page (Venue section, Oct 2025 list), https://www.forbes.com/teams/toronto-raptors/</t>
        </r>
      </text>
    </comment>
    <comment ref="D65" authorId="0" shapeId="0" xr:uid="{907D875D-155F-1A4F-B32C-0926A78C62CA}">
      <text>
        <r>
          <rPr>
            <b/>
            <sz val="10"/>
            <color rgb="FF000000"/>
            <rFont val="Tahoma"/>
            <family val="2"/>
          </rPr>
          <t>Keller, Zach:</t>
        </r>
        <r>
          <rPr>
            <sz val="10"/>
            <color rgb="FF000000"/>
            <rFont val="Tahoma"/>
            <family val="2"/>
          </rPr>
          <t xml:space="preserve">
Source: Forbes team page (Venue section, Oct 2025 list), https://www.forbes.com/teams/toronto-raptors/</t>
        </r>
      </text>
    </comment>
    <comment ref="E65" authorId="0" shapeId="0" xr:uid="{566A8F9E-50F6-0045-B8BF-1CEF432C096B}">
      <text>
        <r>
          <rPr>
            <b/>
            <sz val="10"/>
            <color rgb="FF000000"/>
            <rFont val="Tahoma"/>
            <family val="2"/>
          </rPr>
          <t>Keller, Zach:</t>
        </r>
        <r>
          <rPr>
            <sz val="10"/>
            <color rgb="FF000000"/>
            <rFont val="Tahoma"/>
            <family val="2"/>
          </rPr>
          <t xml:space="preserve">
Source: Forbes team page (Venue section, Oct 2025 list), https://www.forbes.com/teams/toronto-raptors/</t>
        </r>
      </text>
    </comment>
    <comment ref="F65" authorId="0" shapeId="0" xr:uid="{D79454F7-A6E6-0040-BED9-9188F0297144}">
      <text>
        <r>
          <rPr>
            <b/>
            <sz val="10"/>
            <color rgb="FF000000"/>
            <rFont val="Tahoma"/>
            <family val="2"/>
          </rPr>
          <t>Keller, Zach:</t>
        </r>
        <r>
          <rPr>
            <sz val="10"/>
            <color rgb="FF000000"/>
            <rFont val="Tahoma"/>
            <family val="2"/>
          </rPr>
          <t xml:space="preserve">
Source: Forbes team page (Venue section, Oct 2025 list), https://www.forbes.com/teams/toronto-raptors/</t>
        </r>
      </text>
    </comment>
    <comment ref="G65" authorId="0" shapeId="0" xr:uid="{3DCCD952-20B1-194C-B8DA-6F35E8AF121D}">
      <text>
        <r>
          <rPr>
            <b/>
            <sz val="10"/>
            <color rgb="FF000000"/>
            <rFont val="Tahoma"/>
            <family val="2"/>
          </rPr>
          <t>Keller, Zach:</t>
        </r>
        <r>
          <rPr>
            <sz val="10"/>
            <color rgb="FF000000"/>
            <rFont val="Tahoma"/>
            <family val="2"/>
          </rPr>
          <t xml:space="preserve">
Source: Forbes team page (Venue section, Oct 2025 list), https://www.forbes.com/teams/toronto-raptors/</t>
        </r>
      </text>
    </comment>
    <comment ref="H65" authorId="0" shapeId="0" xr:uid="{F7278399-B480-244D-AECB-ED18B9796C8B}">
      <text>
        <r>
          <rPr>
            <b/>
            <sz val="10"/>
            <color rgb="FF000000"/>
            <rFont val="Tahoma"/>
            <family val="2"/>
          </rPr>
          <t>Keller, Zach:</t>
        </r>
        <r>
          <rPr>
            <sz val="10"/>
            <color rgb="FF000000"/>
            <rFont val="Tahoma"/>
            <family val="2"/>
          </rPr>
          <t xml:space="preserve">
Source: Forbes team page (Venue section, Oct 2025 list), https://www.forbes.com/teams/toronto-raptors/</t>
        </r>
      </text>
    </comment>
    <comment ref="I65" authorId="0" shapeId="0" xr:uid="{23EA95EF-35BA-6F4C-AA64-C71EE397D9F7}">
      <text>
        <r>
          <rPr>
            <b/>
            <sz val="10"/>
            <color rgb="FF000000"/>
            <rFont val="Tahoma"/>
            <family val="2"/>
          </rPr>
          <t>Keller, Zach:</t>
        </r>
        <r>
          <rPr>
            <sz val="10"/>
            <color rgb="FF000000"/>
            <rFont val="Tahoma"/>
            <family val="2"/>
          </rPr>
          <t xml:space="preserve">
Source: Forbes team page (Venue section, Oct 2025 list), https://www.forbes.com/teams/toronto-raptors/</t>
        </r>
      </text>
    </comment>
    <comment ref="J65" authorId="0" shapeId="0" xr:uid="{79290232-942E-7540-A4B5-6CAC79EE25A5}">
      <text>
        <r>
          <rPr>
            <b/>
            <sz val="10"/>
            <color rgb="FF000000"/>
            <rFont val="Tahoma"/>
            <family val="2"/>
          </rPr>
          <t>Keller, Zach:</t>
        </r>
        <r>
          <rPr>
            <sz val="10"/>
            <color rgb="FF000000"/>
            <rFont val="Tahoma"/>
            <family val="2"/>
          </rPr>
          <t xml:space="preserve">
Source: Forbes team page (Venue section, Oct 2025 list), https://www.forbes.com/teams/toronto-raptors/</t>
        </r>
      </text>
    </comment>
    <comment ref="K65" authorId="0" shapeId="0" xr:uid="{619F3466-9B39-5949-8DED-61836D216B2C}">
      <text>
        <r>
          <rPr>
            <b/>
            <sz val="10"/>
            <color rgb="FF000000"/>
            <rFont val="Tahoma"/>
            <family val="2"/>
          </rPr>
          <t>Keller, Zach:</t>
        </r>
        <r>
          <rPr>
            <sz val="10"/>
            <color rgb="FF000000"/>
            <rFont val="Tahoma"/>
            <family val="2"/>
          </rPr>
          <t xml:space="preserve">
Source: Forbes team page (Venue section, Oct 2025 list), https://www.forbes.com/teams/toronto-raptors/</t>
        </r>
      </text>
    </comment>
    <comment ref="B66" authorId="0" shapeId="0" xr:uid="{782BFEDF-1AA4-CA45-9C43-5260272F429F}">
      <text>
        <r>
          <rPr>
            <b/>
            <sz val="10"/>
            <color rgb="FF000000"/>
            <rFont val="Tahoma"/>
            <family val="2"/>
          </rPr>
          <t>Keller, Zach:</t>
        </r>
        <r>
          <rPr>
            <sz val="10"/>
            <color rgb="FF000000"/>
            <rFont val="Tahoma"/>
            <family val="2"/>
          </rPr>
          <t xml:space="preserve">
Opened October 1991 (Forbes lists the 2017 renovation year). Source: FFKR Architects (arena architect), https://www.ffkr.com/work/delta-center/</t>
        </r>
      </text>
    </comment>
    <comment ref="C66" authorId="0" shapeId="0" xr:uid="{BE59FD7F-AD84-824B-8B22-5B6FE4449CA0}">
      <text>
        <r>
          <rPr>
            <b/>
            <sz val="10"/>
            <color rgb="FF000000"/>
            <rFont val="Tahoma"/>
            <family val="2"/>
          </rPr>
          <t>Keller, Zach:</t>
        </r>
        <r>
          <rPr>
            <sz val="10"/>
            <color rgb="FF000000"/>
            <rFont val="Tahoma"/>
            <family val="2"/>
          </rPr>
          <t xml:space="preserve">
Opened October 1991 (Forbes lists the 2017 renovation year). Source: FFKR Architects (arena architect), https://www.ffkr.com/work/delta-center/</t>
        </r>
      </text>
    </comment>
    <comment ref="D66" authorId="0" shapeId="0" xr:uid="{8CF7A31E-5DF9-2F49-A0DE-8EEB1A1F1368}">
      <text>
        <r>
          <rPr>
            <b/>
            <sz val="10"/>
            <color rgb="FF000000"/>
            <rFont val="Tahoma"/>
            <family val="2"/>
          </rPr>
          <t>Keller, Zach:</t>
        </r>
        <r>
          <rPr>
            <sz val="10"/>
            <color rgb="FF000000"/>
            <rFont val="Tahoma"/>
            <family val="2"/>
          </rPr>
          <t xml:space="preserve">
Opened October 1991 (Forbes lists the 2017 renovation year). Source: FFKR Architects (arena architect), https://www.ffkr.com/work/delta-center/</t>
        </r>
      </text>
    </comment>
    <comment ref="E66" authorId="0" shapeId="0" xr:uid="{9F0D975C-30BD-014A-BC24-F677E886C6FE}">
      <text>
        <r>
          <rPr>
            <b/>
            <sz val="10"/>
            <color rgb="FF000000"/>
            <rFont val="Tahoma"/>
            <family val="2"/>
          </rPr>
          <t>Keller, Zach:</t>
        </r>
        <r>
          <rPr>
            <sz val="10"/>
            <color rgb="FF000000"/>
            <rFont val="Tahoma"/>
            <family val="2"/>
          </rPr>
          <t xml:space="preserve">
Opened October 1991 (Forbes lists the 2017 renovation year). Source: FFKR Architects (arena architect), https://www.ffkr.com/work/delta-center/</t>
        </r>
      </text>
    </comment>
    <comment ref="F66" authorId="0" shapeId="0" xr:uid="{15626FA2-8CAC-2643-9522-72BFD87D40E2}">
      <text>
        <r>
          <rPr>
            <b/>
            <sz val="10"/>
            <color rgb="FF000000"/>
            <rFont val="Tahoma"/>
            <family val="2"/>
          </rPr>
          <t>Keller, Zach:</t>
        </r>
        <r>
          <rPr>
            <sz val="10"/>
            <color rgb="FF000000"/>
            <rFont val="Tahoma"/>
            <family val="2"/>
          </rPr>
          <t xml:space="preserve">
Opened October 1991 (Forbes lists the 2017 renovation year). Source: FFKR Architects (arena architect), https://www.ffkr.com/work/delta-center/</t>
        </r>
      </text>
    </comment>
    <comment ref="G66" authorId="0" shapeId="0" xr:uid="{3735C5E9-D205-4943-8D95-E2E923085918}">
      <text>
        <r>
          <rPr>
            <b/>
            <sz val="10"/>
            <color rgb="FF000000"/>
            <rFont val="Tahoma"/>
            <family val="2"/>
          </rPr>
          <t>Keller, Zach:</t>
        </r>
        <r>
          <rPr>
            <sz val="10"/>
            <color rgb="FF000000"/>
            <rFont val="Tahoma"/>
            <family val="2"/>
          </rPr>
          <t xml:space="preserve">
Opened October 1991 (Forbes lists the 2017 renovation year). Source: FFKR Architects (arena architect), https://www.ffkr.com/work/delta-center/</t>
        </r>
      </text>
    </comment>
    <comment ref="H66" authorId="0" shapeId="0" xr:uid="{ED6F0CDA-D1A5-964B-B37A-D9CCA318C8ED}">
      <text>
        <r>
          <rPr>
            <b/>
            <sz val="10"/>
            <color rgb="FF000000"/>
            <rFont val="Tahoma"/>
            <family val="2"/>
          </rPr>
          <t>Keller, Zach:</t>
        </r>
        <r>
          <rPr>
            <sz val="10"/>
            <color rgb="FF000000"/>
            <rFont val="Tahoma"/>
            <family val="2"/>
          </rPr>
          <t xml:space="preserve">
Opened October 1991 (Forbes lists the 2017 renovation year). Source: FFKR Architects (arena architect), https://www.ffkr.com/work/delta-center/</t>
        </r>
      </text>
    </comment>
    <comment ref="I66" authorId="0" shapeId="0" xr:uid="{91AE78DF-48A9-D64F-8981-42CEB0E13BED}">
      <text>
        <r>
          <rPr>
            <b/>
            <sz val="10"/>
            <color rgb="FF000000"/>
            <rFont val="Tahoma"/>
            <family val="2"/>
          </rPr>
          <t>Keller, Zach:</t>
        </r>
        <r>
          <rPr>
            <sz val="10"/>
            <color rgb="FF000000"/>
            <rFont val="Tahoma"/>
            <family val="2"/>
          </rPr>
          <t xml:space="preserve">
Opened October 1991 (Forbes lists the 2017 renovation year). Source: FFKR Architects (arena architect), https://www.ffkr.com/work/delta-center/</t>
        </r>
      </text>
    </comment>
    <comment ref="J66" authorId="0" shapeId="0" xr:uid="{AE851871-AFB0-2940-8608-BC21D0796856}">
      <text>
        <r>
          <rPr>
            <b/>
            <sz val="10"/>
            <color rgb="FF000000"/>
            <rFont val="Tahoma"/>
            <family val="2"/>
          </rPr>
          <t>Keller, Zach:</t>
        </r>
        <r>
          <rPr>
            <sz val="10"/>
            <color rgb="FF000000"/>
            <rFont val="Tahoma"/>
            <family val="2"/>
          </rPr>
          <t xml:space="preserve">
Opened October 1991 (Forbes lists the 2017 renovation year). Source: FFKR Architects (arena architect), https://www.ffkr.com/work/delta-center/</t>
        </r>
      </text>
    </comment>
    <comment ref="K66" authorId="0" shapeId="0" xr:uid="{61FDC222-27BC-D448-BA40-0194FAEA6C69}">
      <text>
        <r>
          <rPr>
            <b/>
            <sz val="10"/>
            <color rgb="FF000000"/>
            <rFont val="Tahoma"/>
            <family val="2"/>
          </rPr>
          <t>Keller, Zach:</t>
        </r>
        <r>
          <rPr>
            <sz val="10"/>
            <color rgb="FF000000"/>
            <rFont val="Tahoma"/>
            <family val="2"/>
          </rPr>
          <t xml:space="preserve">
Opened October 1991 (Forbes lists the 2017 renovation year). Source: FFKR Architects (arena architect), https://www.ffkr.com/work/delta-center/</t>
        </r>
      </text>
    </comment>
    <comment ref="B67" authorId="0" shapeId="0" xr:uid="{3D0A430B-4DD0-F643-A60E-A03A091E6B1C}">
      <text>
        <r>
          <rPr>
            <b/>
            <sz val="10"/>
            <color rgb="FF000000"/>
            <rFont val="Tahoma"/>
            <family val="2"/>
          </rPr>
          <t>Keller, Zach:</t>
        </r>
        <r>
          <rPr>
            <sz val="10"/>
            <color rgb="FF000000"/>
            <rFont val="Tahoma"/>
            <family val="2"/>
          </rPr>
          <t xml:space="preserve">
Source: Forbes team page (Venue section, Oct 2025 list), https://www.forbes.com/teams/washington-wizards/</t>
        </r>
      </text>
    </comment>
    <comment ref="C67" authorId="0" shapeId="0" xr:uid="{F794B0FD-3889-0440-9BB0-175322FFED15}">
      <text>
        <r>
          <rPr>
            <b/>
            <sz val="10"/>
            <color rgb="FF000000"/>
            <rFont val="Tahoma"/>
            <family val="2"/>
          </rPr>
          <t>Keller, Zach:</t>
        </r>
        <r>
          <rPr>
            <sz val="10"/>
            <color rgb="FF000000"/>
            <rFont val="Tahoma"/>
            <family val="2"/>
          </rPr>
          <t xml:space="preserve">
Source: Forbes team page (Venue section, Oct 2025 list), https://www.forbes.com/teams/washington-wizards/</t>
        </r>
      </text>
    </comment>
    <comment ref="D67" authorId="0" shapeId="0" xr:uid="{6FEF84F0-D036-C348-BD61-F6909235E66A}">
      <text>
        <r>
          <rPr>
            <b/>
            <sz val="10"/>
            <color rgb="FF000000"/>
            <rFont val="Tahoma"/>
            <family val="2"/>
          </rPr>
          <t>Keller, Zach:</t>
        </r>
        <r>
          <rPr>
            <sz val="10"/>
            <color rgb="FF000000"/>
            <rFont val="Tahoma"/>
            <family val="2"/>
          </rPr>
          <t xml:space="preserve">
Source: Forbes team page (Venue section, Oct 2025 list), https://www.forbes.com/teams/washington-wizards/</t>
        </r>
      </text>
    </comment>
    <comment ref="E67" authorId="0" shapeId="0" xr:uid="{1699CA64-2255-8A44-B555-315B696988C3}">
      <text>
        <r>
          <rPr>
            <b/>
            <sz val="10"/>
            <color rgb="FF000000"/>
            <rFont val="Tahoma"/>
            <family val="2"/>
          </rPr>
          <t>Keller, Zach:</t>
        </r>
        <r>
          <rPr>
            <sz val="10"/>
            <color rgb="FF000000"/>
            <rFont val="Tahoma"/>
            <family val="2"/>
          </rPr>
          <t xml:space="preserve">
Source: Forbes team page (Venue section, Oct 2025 list), https://www.forbes.com/teams/washington-wizards/</t>
        </r>
      </text>
    </comment>
    <comment ref="F67" authorId="0" shapeId="0" xr:uid="{3C7D0B3D-8C4D-B14C-A508-5979ADEDECF8}">
      <text>
        <r>
          <rPr>
            <b/>
            <sz val="10"/>
            <color rgb="FF000000"/>
            <rFont val="Tahoma"/>
            <family val="2"/>
          </rPr>
          <t>Keller, Zach:</t>
        </r>
        <r>
          <rPr>
            <sz val="10"/>
            <color rgb="FF000000"/>
            <rFont val="Tahoma"/>
            <family val="2"/>
          </rPr>
          <t xml:space="preserve">
Source: Forbes team page (Venue section, Oct 2025 list), https://www.forbes.com/teams/washington-wizards/</t>
        </r>
      </text>
    </comment>
    <comment ref="G67" authorId="0" shapeId="0" xr:uid="{FFC1AB9B-CE98-3542-B65C-191768908A45}">
      <text>
        <r>
          <rPr>
            <b/>
            <sz val="10"/>
            <color rgb="FF000000"/>
            <rFont val="Tahoma"/>
            <family val="2"/>
          </rPr>
          <t>Keller, Zach:</t>
        </r>
        <r>
          <rPr>
            <sz val="10"/>
            <color rgb="FF000000"/>
            <rFont val="Tahoma"/>
            <family val="2"/>
          </rPr>
          <t xml:space="preserve">
Source: Forbes team page (Venue section, Oct 2025 list), https://www.forbes.com/teams/washington-wizards/</t>
        </r>
      </text>
    </comment>
    <comment ref="H67" authorId="0" shapeId="0" xr:uid="{E6F6B3E0-5545-3E47-AB82-C2305B3DBEAB}">
      <text>
        <r>
          <rPr>
            <b/>
            <sz val="10"/>
            <color rgb="FF000000"/>
            <rFont val="Tahoma"/>
            <family val="2"/>
          </rPr>
          <t>Keller, Zach:</t>
        </r>
        <r>
          <rPr>
            <sz val="10"/>
            <color rgb="FF000000"/>
            <rFont val="Tahoma"/>
            <family val="2"/>
          </rPr>
          <t xml:space="preserve">
Source: Forbes team page (Venue section, Oct 2025 list), https://www.forbes.com/teams/washington-wizards/</t>
        </r>
      </text>
    </comment>
    <comment ref="I67" authorId="0" shapeId="0" xr:uid="{554E46B0-CD7A-3B41-BD58-E8A0C1419A0F}">
      <text>
        <r>
          <rPr>
            <b/>
            <sz val="10"/>
            <color rgb="FF000000"/>
            <rFont val="Tahoma"/>
            <family val="2"/>
          </rPr>
          <t>Keller, Zach:</t>
        </r>
        <r>
          <rPr>
            <sz val="10"/>
            <color rgb="FF000000"/>
            <rFont val="Tahoma"/>
            <family val="2"/>
          </rPr>
          <t xml:space="preserve">
Source: Forbes team page (Venue section, Oct 2025 list), https://www.forbes.com/teams/washington-wizards/</t>
        </r>
      </text>
    </comment>
    <comment ref="J67" authorId="0" shapeId="0" xr:uid="{3838F522-FCDE-3044-ACFD-B4D8BD7ACE80}">
      <text>
        <r>
          <rPr>
            <b/>
            <sz val="10"/>
            <color rgb="FF000000"/>
            <rFont val="Tahoma"/>
            <family val="2"/>
          </rPr>
          <t>Keller, Zach:</t>
        </r>
        <r>
          <rPr>
            <sz val="10"/>
            <color rgb="FF000000"/>
            <rFont val="Tahoma"/>
            <family val="2"/>
          </rPr>
          <t xml:space="preserve">
Source: Forbes team page (Venue section, Oct 2025 list), https://www.forbes.com/teams/washington-wizards/</t>
        </r>
      </text>
    </comment>
    <comment ref="K67" authorId="0" shapeId="0" xr:uid="{AE83784F-E279-074A-BACD-4CC8F3CE487F}">
      <text>
        <r>
          <rPr>
            <b/>
            <sz val="10"/>
            <color rgb="FF000000"/>
            <rFont val="Tahoma"/>
            <family val="2"/>
          </rPr>
          <t>Keller, Zach:</t>
        </r>
        <r>
          <rPr>
            <sz val="10"/>
            <color rgb="FF000000"/>
            <rFont val="Tahoma"/>
            <family val="2"/>
          </rPr>
          <t xml:space="preserve">
Source: Forbes team page (Venue section, Oct 2025 list), https://www.forbes.com/teams/washington-wizards/</t>
        </r>
      </text>
    </comment>
    <comment ref="B71" authorId="0" shapeId="0" xr:uid="{5AF1870A-1993-404F-95E9-1F6069A35877}">
      <text>
        <r>
          <rPr>
            <b/>
            <sz val="10"/>
            <color rgb="FF000000"/>
            <rFont val="Tahoma"/>
            <family val="2"/>
          </rPr>
          <t>Keller, Zach:</t>
        </r>
        <r>
          <rPr>
            <sz val="10"/>
            <color rgb="FF000000"/>
            <rFont val="Tahoma"/>
            <family val="2"/>
          </rPr>
          <t xml:space="preserve">
N: owner per Forbes is City of Atlanta, Fulton County Rec Authority. No ownership change found for this season. Source: Forbes team page (Venue section, Oct 2025 list), https://www.forbes.com/teams/atlanta-hawks/</t>
        </r>
      </text>
    </comment>
    <comment ref="C71" authorId="0" shapeId="0" xr:uid="{6E44CAFE-A32B-4D42-A9EB-4D9DDD83A9D7}">
      <text>
        <r>
          <rPr>
            <b/>
            <sz val="10"/>
            <color rgb="FF000000"/>
            <rFont val="Tahoma"/>
            <family val="2"/>
          </rPr>
          <t>Keller, Zach:</t>
        </r>
        <r>
          <rPr>
            <sz val="10"/>
            <color rgb="FF000000"/>
            <rFont val="Tahoma"/>
            <family val="2"/>
          </rPr>
          <t xml:space="preserve">
N: owner per Forbes is City of Atlanta, Fulton County Rec Authority. No ownership change found for this season. Source: Forbes team page (Venue section, Oct 2025 list), https://www.forbes.com/teams/atlanta-hawks/</t>
        </r>
      </text>
    </comment>
    <comment ref="D71" authorId="0" shapeId="0" xr:uid="{570F07F4-0D24-C040-B7D5-8E51CF4230C6}">
      <text>
        <r>
          <rPr>
            <b/>
            <sz val="10"/>
            <color rgb="FF000000"/>
            <rFont val="Tahoma"/>
            <family val="2"/>
          </rPr>
          <t>Keller, Zach:</t>
        </r>
        <r>
          <rPr>
            <sz val="10"/>
            <color rgb="FF000000"/>
            <rFont val="Tahoma"/>
            <family val="2"/>
          </rPr>
          <t xml:space="preserve">
N: owner per Forbes is City of Atlanta, Fulton County Rec Authority. No ownership change found for this season. Source: Forbes team page (Venue section, Oct 2025 list), https://www.forbes.com/teams/atlanta-hawks/</t>
        </r>
      </text>
    </comment>
    <comment ref="E71" authorId="0" shapeId="0" xr:uid="{ECB764AE-632D-6343-AD00-9FA1B4364E87}">
      <text>
        <r>
          <rPr>
            <b/>
            <sz val="10"/>
            <color rgb="FF000000"/>
            <rFont val="Tahoma"/>
            <family val="2"/>
          </rPr>
          <t>Keller, Zach:</t>
        </r>
        <r>
          <rPr>
            <sz val="10"/>
            <color rgb="FF000000"/>
            <rFont val="Tahoma"/>
            <family val="2"/>
          </rPr>
          <t xml:space="preserve">
N: owner per Forbes is City of Atlanta, Fulton County Rec Authority. No ownership change found for this season. Source: Forbes team page (Venue section, Oct 2025 list), https://www.forbes.com/teams/atlanta-hawks/</t>
        </r>
      </text>
    </comment>
    <comment ref="F71" authorId="0" shapeId="0" xr:uid="{9CF99447-EFFF-0C43-AD4C-6366BC5944F8}">
      <text>
        <r>
          <rPr>
            <b/>
            <sz val="10"/>
            <color rgb="FF000000"/>
            <rFont val="Tahoma"/>
            <family val="2"/>
          </rPr>
          <t>Keller, Zach:</t>
        </r>
        <r>
          <rPr>
            <sz val="10"/>
            <color rgb="FF000000"/>
            <rFont val="Tahoma"/>
            <family val="2"/>
          </rPr>
          <t xml:space="preserve">
N: owner per Forbes is City of Atlanta, Fulton County Rec Authority. No ownership change found for this season. Source: Forbes team page (Venue section, Oct 2025 list), https://www.forbes.com/teams/atlanta-hawks/</t>
        </r>
      </text>
    </comment>
    <comment ref="G71" authorId="0" shapeId="0" xr:uid="{AE729C56-8363-1D45-BCF3-102F3A6A957F}">
      <text>
        <r>
          <rPr>
            <b/>
            <sz val="10"/>
            <color rgb="FF000000"/>
            <rFont val="Tahoma"/>
            <family val="2"/>
          </rPr>
          <t>Keller, Zach:</t>
        </r>
        <r>
          <rPr>
            <sz val="10"/>
            <color rgb="FF000000"/>
            <rFont val="Tahoma"/>
            <family val="2"/>
          </rPr>
          <t xml:space="preserve">
N: owner per Forbes is City of Atlanta, Fulton County Rec Authority. No ownership change found for this season. Source: Forbes team page (Venue section, Oct 2025 list), https://www.forbes.com/teams/atlanta-hawks/</t>
        </r>
      </text>
    </comment>
    <comment ref="H71" authorId="0" shapeId="0" xr:uid="{41690A69-8030-4E43-BE50-E6690A6723FC}">
      <text>
        <r>
          <rPr>
            <b/>
            <sz val="10"/>
            <color rgb="FF000000"/>
            <rFont val="Tahoma"/>
            <family val="2"/>
          </rPr>
          <t>Keller, Zach:</t>
        </r>
        <r>
          <rPr>
            <sz val="10"/>
            <color rgb="FF000000"/>
            <rFont val="Tahoma"/>
            <family val="2"/>
          </rPr>
          <t xml:space="preserve">
N: owner per Forbes is City of Atlanta, Fulton County Rec Authority. No ownership change found for this season. Source: Forbes team page (Venue section, Oct 2025 list), https://www.forbes.com/teams/atlanta-hawks/</t>
        </r>
      </text>
    </comment>
    <comment ref="I71" authorId="0" shapeId="0" xr:uid="{42A859BC-886B-BD47-A2E9-BDE09591CA3A}">
      <text>
        <r>
          <rPr>
            <b/>
            <sz val="10"/>
            <color rgb="FF000000"/>
            <rFont val="Tahoma"/>
            <family val="2"/>
          </rPr>
          <t>Keller, Zach:</t>
        </r>
        <r>
          <rPr>
            <sz val="10"/>
            <color rgb="FF000000"/>
            <rFont val="Tahoma"/>
            <family val="2"/>
          </rPr>
          <t xml:space="preserve">
N: owner per Forbes is City of Atlanta, Fulton County Rec Authority. No ownership change found for this season. Source: Forbes team page (Venue section, Oct 2025 list), https://www.forbes.com/teams/atlanta-hawks/</t>
        </r>
      </text>
    </comment>
    <comment ref="J71" authorId="0" shapeId="0" xr:uid="{B124AD26-72F2-544E-874F-EC5C3ABA1A82}">
      <text>
        <r>
          <rPr>
            <b/>
            <sz val="10"/>
            <color rgb="FF000000"/>
            <rFont val="Tahoma"/>
            <family val="2"/>
          </rPr>
          <t>Keller, Zach:</t>
        </r>
        <r>
          <rPr>
            <sz val="10"/>
            <color rgb="FF000000"/>
            <rFont val="Tahoma"/>
            <family val="2"/>
          </rPr>
          <t xml:space="preserve">
N: owner per Forbes is City of Atlanta, Fulton County Rec Authority. No ownership change found for this season. Source: Forbes team page (Venue section, Oct 2025 list), https://www.forbes.com/teams/atlanta-hawks/</t>
        </r>
      </text>
    </comment>
    <comment ref="K71" authorId="0" shapeId="0" xr:uid="{649AB626-F409-4845-8401-8DDBD1155DF3}">
      <text>
        <r>
          <rPr>
            <b/>
            <sz val="10"/>
            <color rgb="FF000000"/>
            <rFont val="Tahoma"/>
            <family val="2"/>
          </rPr>
          <t>Keller, Zach:</t>
        </r>
        <r>
          <rPr>
            <sz val="10"/>
            <color rgb="FF000000"/>
            <rFont val="Tahoma"/>
            <family val="2"/>
          </rPr>
          <t xml:space="preserve">
N: owner per Forbes is City of Atlanta, Fulton County Rec Authority. No ownership change found for this season. Source: Forbes team page (Venue section, Oct 2025 list), https://www.forbes.com/teams/atlanta-hawks/</t>
        </r>
      </text>
    </comment>
    <comment ref="B72" authorId="0" shapeId="0" xr:uid="{924F3A61-9A1B-3D47-A53E-FB3D911C221C}">
      <text>
        <r>
          <rPr>
            <b/>
            <sz val="10"/>
            <color rgb="FF000000"/>
            <rFont val="Tahoma"/>
            <family val="2"/>
          </rPr>
          <t>Keller, Zach:</t>
        </r>
        <r>
          <rPr>
            <sz val="10"/>
            <color rgb="FF000000"/>
            <rFont val="Tahoma"/>
            <family val="2"/>
          </rPr>
          <t xml:space="preserve">
N: owner per Forbes is Delaware North Companies. No ownership change found for this season. Source: Forbes team page (Venue section, Oct 2025 list), https://www.forbes.com/teams/boston-celtics/</t>
        </r>
      </text>
    </comment>
    <comment ref="C72" authorId="0" shapeId="0" xr:uid="{0F44CDA4-3684-1E4F-ABA9-46DB10E63064}">
      <text>
        <r>
          <rPr>
            <b/>
            <sz val="10"/>
            <color rgb="FF000000"/>
            <rFont val="Tahoma"/>
            <family val="2"/>
          </rPr>
          <t>Keller, Zach:</t>
        </r>
        <r>
          <rPr>
            <sz val="10"/>
            <color rgb="FF000000"/>
            <rFont val="Tahoma"/>
            <family val="2"/>
          </rPr>
          <t xml:space="preserve">
N: owner per Forbes is Delaware North Companies. No ownership change found for this season. Source: Forbes team page (Venue section, Oct 2025 list), https://www.forbes.com/teams/boston-celtics/</t>
        </r>
      </text>
    </comment>
    <comment ref="D72" authorId="0" shapeId="0" xr:uid="{539DC77A-A295-D14F-8C1B-B8CEF1FC5A53}">
      <text>
        <r>
          <rPr>
            <b/>
            <sz val="10"/>
            <color rgb="FF000000"/>
            <rFont val="Tahoma"/>
            <family val="2"/>
          </rPr>
          <t>Keller, Zach:</t>
        </r>
        <r>
          <rPr>
            <sz val="10"/>
            <color rgb="FF000000"/>
            <rFont val="Tahoma"/>
            <family val="2"/>
          </rPr>
          <t xml:space="preserve">
N: owner per Forbes is Delaware North Companies. No ownership change found for this season. Source: Forbes team page (Venue section, Oct 2025 list), https://www.forbes.com/teams/boston-celtics/</t>
        </r>
      </text>
    </comment>
    <comment ref="E72" authorId="0" shapeId="0" xr:uid="{AAF9D239-1EF6-1046-A95C-34400308C7A4}">
      <text>
        <r>
          <rPr>
            <b/>
            <sz val="10"/>
            <color rgb="FF000000"/>
            <rFont val="Tahoma"/>
            <family val="2"/>
          </rPr>
          <t>Keller, Zach:</t>
        </r>
        <r>
          <rPr>
            <sz val="10"/>
            <color rgb="FF000000"/>
            <rFont val="Tahoma"/>
            <family val="2"/>
          </rPr>
          <t xml:space="preserve">
N: owner per Forbes is Delaware North Companies. No ownership change found for this season. Source: Forbes team page (Venue section, Oct 2025 list), https://www.forbes.com/teams/boston-celtics/</t>
        </r>
      </text>
    </comment>
    <comment ref="F72" authorId="0" shapeId="0" xr:uid="{805601AE-FC79-A545-B4FF-ACA09268AC10}">
      <text>
        <r>
          <rPr>
            <b/>
            <sz val="10"/>
            <color rgb="FF000000"/>
            <rFont val="Tahoma"/>
            <family val="2"/>
          </rPr>
          <t>Keller, Zach:</t>
        </r>
        <r>
          <rPr>
            <sz val="10"/>
            <color rgb="FF000000"/>
            <rFont val="Tahoma"/>
            <family val="2"/>
          </rPr>
          <t xml:space="preserve">
N: owner per Forbes is Delaware North Companies. No ownership change found for this season. Source: Forbes team page (Venue section, Oct 2025 list), https://www.forbes.com/teams/boston-celtics/</t>
        </r>
      </text>
    </comment>
    <comment ref="G72" authorId="0" shapeId="0" xr:uid="{201C1A07-9B83-234C-8829-0921809940D5}">
      <text>
        <r>
          <rPr>
            <b/>
            <sz val="10"/>
            <color rgb="FF000000"/>
            <rFont val="Tahoma"/>
            <family val="2"/>
          </rPr>
          <t>Keller, Zach:</t>
        </r>
        <r>
          <rPr>
            <sz val="10"/>
            <color rgb="FF000000"/>
            <rFont val="Tahoma"/>
            <family val="2"/>
          </rPr>
          <t xml:space="preserve">
N: owner per Forbes is Delaware North Companies. No ownership change found for this season. Source: Forbes team page (Venue section, Oct 2025 list), https://www.forbes.com/teams/boston-celtics/</t>
        </r>
      </text>
    </comment>
    <comment ref="H72" authorId="0" shapeId="0" xr:uid="{1AA347EE-4698-A84D-869A-16B13975240F}">
      <text>
        <r>
          <rPr>
            <b/>
            <sz val="10"/>
            <color rgb="FF000000"/>
            <rFont val="Tahoma"/>
            <family val="2"/>
          </rPr>
          <t>Keller, Zach:</t>
        </r>
        <r>
          <rPr>
            <sz val="10"/>
            <color rgb="FF000000"/>
            <rFont val="Tahoma"/>
            <family val="2"/>
          </rPr>
          <t xml:space="preserve">
N: owner per Forbes is Delaware North Companies. No ownership change found for this season. Source: Forbes team page (Venue section, Oct 2025 list), https://www.forbes.com/teams/boston-celtics/</t>
        </r>
      </text>
    </comment>
    <comment ref="I72" authorId="0" shapeId="0" xr:uid="{C187294B-4597-DE49-893F-129EDD17ACBA}">
      <text>
        <r>
          <rPr>
            <b/>
            <sz val="10"/>
            <color rgb="FF000000"/>
            <rFont val="Tahoma"/>
            <family val="2"/>
          </rPr>
          <t>Keller, Zach:</t>
        </r>
        <r>
          <rPr>
            <sz val="10"/>
            <color rgb="FF000000"/>
            <rFont val="Tahoma"/>
            <family val="2"/>
          </rPr>
          <t xml:space="preserve">
N: owner per Forbes is Delaware North Companies. No ownership change found for this season. Source: Forbes team page (Venue section, Oct 2025 list), https://www.forbes.com/teams/boston-celtics/</t>
        </r>
      </text>
    </comment>
    <comment ref="J72" authorId="0" shapeId="0" xr:uid="{BDF0EAFD-2CE4-AD44-90A6-D26F308E0858}">
      <text>
        <r>
          <rPr>
            <b/>
            <sz val="10"/>
            <color rgb="FF000000"/>
            <rFont val="Tahoma"/>
            <family val="2"/>
          </rPr>
          <t>Keller, Zach:</t>
        </r>
        <r>
          <rPr>
            <sz val="10"/>
            <color rgb="FF000000"/>
            <rFont val="Tahoma"/>
            <family val="2"/>
          </rPr>
          <t xml:space="preserve">
N: owner per Forbes is Delaware North Companies. No ownership change found for this season. Source: Forbes team page (Venue section, Oct 2025 list), https://www.forbes.com/teams/boston-celtics/</t>
        </r>
      </text>
    </comment>
    <comment ref="K72" authorId="0" shapeId="0" xr:uid="{7296EFB5-FFBC-8147-AAC6-9D13AAE1918B}">
      <text>
        <r>
          <rPr>
            <b/>
            <sz val="10"/>
            <color rgb="FF000000"/>
            <rFont val="Tahoma"/>
            <family val="2"/>
          </rPr>
          <t>Keller, Zach:</t>
        </r>
        <r>
          <rPr>
            <sz val="10"/>
            <color rgb="FF000000"/>
            <rFont val="Tahoma"/>
            <family val="2"/>
          </rPr>
          <t xml:space="preserve">
N: owner per Forbes is Delaware North Companies. No ownership change found for this season. Source: Forbes team page (Venue section, Oct 2025 list), https://www.forbes.com/teams/boston-celtics/</t>
        </r>
      </text>
    </comment>
    <comment ref="B73" authorId="0" shapeId="0" xr:uid="{881645AA-7A32-5248-8A22-0A9AFB48B338}">
      <text>
        <r>
          <rPr>
            <b/>
            <sz val="10"/>
            <color rgb="FF000000"/>
            <rFont val="Tahoma"/>
            <family val="2"/>
          </rPr>
          <t>Keller, Zach:</t>
        </r>
        <r>
          <rPr>
            <sz val="10"/>
            <color rgb="FF000000"/>
            <rFont val="Tahoma"/>
            <family val="2"/>
          </rPr>
          <t xml:space="preserve">
N: owner per Forbes is New York State. No ownership change found for this season. Source: Forbes team page (Venue section, Oct 2025 list), https://www.forbes.com/teams/brooklyn-nets/</t>
        </r>
      </text>
    </comment>
    <comment ref="C73" authorId="0" shapeId="0" xr:uid="{F8A3FDC2-0372-0146-8321-148EEE41F9CE}">
      <text>
        <r>
          <rPr>
            <b/>
            <sz val="10"/>
            <color rgb="FF000000"/>
            <rFont val="Tahoma"/>
            <family val="2"/>
          </rPr>
          <t>Keller, Zach:</t>
        </r>
        <r>
          <rPr>
            <sz val="10"/>
            <color rgb="FF000000"/>
            <rFont val="Tahoma"/>
            <family val="2"/>
          </rPr>
          <t xml:space="preserve">
N: owner per Forbes is New York State. No ownership change found for this season. Source: Forbes team page (Venue section, Oct 2025 list), https://www.forbes.com/teams/brooklyn-nets/</t>
        </r>
      </text>
    </comment>
    <comment ref="D73" authorId="0" shapeId="0" xr:uid="{3E6E9B87-1586-B54D-A392-B988C2016DFF}">
      <text>
        <r>
          <rPr>
            <b/>
            <sz val="10"/>
            <color rgb="FF000000"/>
            <rFont val="Tahoma"/>
            <family val="2"/>
          </rPr>
          <t>Keller, Zach:</t>
        </r>
        <r>
          <rPr>
            <sz val="10"/>
            <color rgb="FF000000"/>
            <rFont val="Tahoma"/>
            <family val="2"/>
          </rPr>
          <t xml:space="preserve">
N: owner per Forbes is New York State. No ownership change found for this season. Source: Forbes team page (Venue section, Oct 2025 list), https://www.forbes.com/teams/brooklyn-nets/</t>
        </r>
      </text>
    </comment>
    <comment ref="E73" authorId="0" shapeId="0" xr:uid="{D60B3F07-27F8-7D43-B133-CE3E2C2DF14A}">
      <text>
        <r>
          <rPr>
            <b/>
            <sz val="10"/>
            <color rgb="FF000000"/>
            <rFont val="Tahoma"/>
            <family val="2"/>
          </rPr>
          <t>Keller, Zach:</t>
        </r>
        <r>
          <rPr>
            <sz val="10"/>
            <color rgb="FF000000"/>
            <rFont val="Tahoma"/>
            <family val="2"/>
          </rPr>
          <t xml:space="preserve">
N: owner per Forbes is New York State. No ownership change found for this season. Source: Forbes team page (Venue section, Oct 2025 list), https://www.forbes.com/teams/brooklyn-nets/</t>
        </r>
      </text>
    </comment>
    <comment ref="F73" authorId="0" shapeId="0" xr:uid="{C494BB5E-D6CC-3948-AC35-4F01A9A2FBFA}">
      <text>
        <r>
          <rPr>
            <b/>
            <sz val="10"/>
            <color rgb="FF000000"/>
            <rFont val="Tahoma"/>
            <family val="2"/>
          </rPr>
          <t>Keller, Zach:</t>
        </r>
        <r>
          <rPr>
            <sz val="10"/>
            <color rgb="FF000000"/>
            <rFont val="Tahoma"/>
            <family val="2"/>
          </rPr>
          <t xml:space="preserve">
N: owner per Forbes is New York State. No ownership change found for this season. Source: Forbes team page (Venue section, Oct 2025 list), https://www.forbes.com/teams/brooklyn-nets/</t>
        </r>
      </text>
    </comment>
    <comment ref="G73" authorId="0" shapeId="0" xr:uid="{01197B3D-2989-E845-B30D-C4F2C261BDFC}">
      <text>
        <r>
          <rPr>
            <b/>
            <sz val="10"/>
            <color rgb="FF000000"/>
            <rFont val="Tahoma"/>
            <family val="2"/>
          </rPr>
          <t>Keller, Zach:</t>
        </r>
        <r>
          <rPr>
            <sz val="10"/>
            <color rgb="FF000000"/>
            <rFont val="Tahoma"/>
            <family val="2"/>
          </rPr>
          <t xml:space="preserve">
N: owner per Forbes is New York State. No ownership change found for this season. Source: Forbes team page (Venue section, Oct 2025 list), https://www.forbes.com/teams/brooklyn-nets/</t>
        </r>
      </text>
    </comment>
    <comment ref="H73" authorId="0" shapeId="0" xr:uid="{3239B07B-FC75-4942-9CAE-4FA146384C12}">
      <text>
        <r>
          <rPr>
            <b/>
            <sz val="10"/>
            <color rgb="FF000000"/>
            <rFont val="Tahoma"/>
            <family val="2"/>
          </rPr>
          <t>Keller, Zach:</t>
        </r>
        <r>
          <rPr>
            <sz val="10"/>
            <color rgb="FF000000"/>
            <rFont val="Tahoma"/>
            <family val="2"/>
          </rPr>
          <t xml:space="preserve">
N: owner per Forbes is New York State. No ownership change found for this season. Source: Forbes team page (Venue section, Oct 2025 list), https://www.forbes.com/teams/brooklyn-nets/</t>
        </r>
      </text>
    </comment>
    <comment ref="I73" authorId="0" shapeId="0" xr:uid="{D3C737BD-56D4-7347-8EE1-4513A091BF6E}">
      <text>
        <r>
          <rPr>
            <b/>
            <sz val="10"/>
            <color rgb="FF000000"/>
            <rFont val="Tahoma"/>
            <family val="2"/>
          </rPr>
          <t>Keller, Zach:</t>
        </r>
        <r>
          <rPr>
            <sz val="10"/>
            <color rgb="FF000000"/>
            <rFont val="Tahoma"/>
            <family val="2"/>
          </rPr>
          <t xml:space="preserve">
N: owner per Forbes is New York State. No ownership change found for this season. Source: Forbes team page (Venue section, Oct 2025 list), https://www.forbes.com/teams/brooklyn-nets/</t>
        </r>
      </text>
    </comment>
    <comment ref="J73" authorId="0" shapeId="0" xr:uid="{2A8F0392-2F83-D042-A6F3-8AC68301F827}">
      <text>
        <r>
          <rPr>
            <b/>
            <sz val="10"/>
            <color rgb="FF000000"/>
            <rFont val="Tahoma"/>
            <family val="2"/>
          </rPr>
          <t>Keller, Zach:</t>
        </r>
        <r>
          <rPr>
            <sz val="10"/>
            <color rgb="FF000000"/>
            <rFont val="Tahoma"/>
            <family val="2"/>
          </rPr>
          <t xml:space="preserve">
N: owner per Forbes is New York State. No ownership change found for this season. Source: Forbes team page (Venue section, Oct 2025 list), https://www.forbes.com/teams/brooklyn-nets/</t>
        </r>
      </text>
    </comment>
    <comment ref="K73" authorId="0" shapeId="0" xr:uid="{027F3492-4B11-1443-A167-B56AAFAABFC6}">
      <text>
        <r>
          <rPr>
            <b/>
            <sz val="10"/>
            <color rgb="FF000000"/>
            <rFont val="Tahoma"/>
            <family val="2"/>
          </rPr>
          <t>Keller, Zach:</t>
        </r>
        <r>
          <rPr>
            <sz val="10"/>
            <color rgb="FF000000"/>
            <rFont val="Tahoma"/>
            <family val="2"/>
          </rPr>
          <t xml:space="preserve">
N: owner per Forbes is New York State. No ownership change found for this season. Source: Forbes team page (Venue section, Oct 2025 list), https://www.forbes.com/teams/brooklyn-nets/</t>
        </r>
      </text>
    </comment>
    <comment ref="B74" authorId="0" shapeId="0" xr:uid="{8400B3AF-FC45-DD40-A897-183D05D6B164}">
      <text>
        <r>
          <rPr>
            <b/>
            <sz val="10"/>
            <color rgb="FF000000"/>
            <rFont val="Tahoma"/>
            <family val="2"/>
          </rPr>
          <t>Keller, Zach:</t>
        </r>
        <r>
          <rPr>
            <sz val="10"/>
            <color rgb="FF000000"/>
            <rFont val="Tahoma"/>
            <family val="2"/>
          </rPr>
          <t xml:space="preserve">
N: owner per Forbes is City of Charlotte. No ownership change found for this season. Source: Forbes team page (Venue section, Oct 2025 list), https://www.forbes.com/teams/charlotte-hornets/</t>
        </r>
      </text>
    </comment>
    <comment ref="C74" authorId="0" shapeId="0" xr:uid="{9004EE47-5621-0B48-98A0-31D5A7D0709D}">
      <text>
        <r>
          <rPr>
            <b/>
            <sz val="10"/>
            <color rgb="FF000000"/>
            <rFont val="Tahoma"/>
            <family val="2"/>
          </rPr>
          <t>Keller, Zach:</t>
        </r>
        <r>
          <rPr>
            <sz val="10"/>
            <color rgb="FF000000"/>
            <rFont val="Tahoma"/>
            <family val="2"/>
          </rPr>
          <t xml:space="preserve">
N: owner per Forbes is City of Charlotte. No ownership change found for this season. Source: Forbes team page (Venue section, Oct 2025 list), https://www.forbes.com/teams/charlotte-hornets/</t>
        </r>
      </text>
    </comment>
    <comment ref="D74" authorId="0" shapeId="0" xr:uid="{EE81A442-0E83-6244-977F-69A98C228B7D}">
      <text>
        <r>
          <rPr>
            <b/>
            <sz val="10"/>
            <color rgb="FF000000"/>
            <rFont val="Tahoma"/>
            <family val="2"/>
          </rPr>
          <t>Keller, Zach:</t>
        </r>
        <r>
          <rPr>
            <sz val="10"/>
            <color rgb="FF000000"/>
            <rFont val="Tahoma"/>
            <family val="2"/>
          </rPr>
          <t xml:space="preserve">
N: owner per Forbes is City of Charlotte. No ownership change found for this season. Source: Forbes team page (Venue section, Oct 2025 list), https://www.forbes.com/teams/charlotte-hornets/</t>
        </r>
      </text>
    </comment>
    <comment ref="E74" authorId="0" shapeId="0" xr:uid="{B047D5CD-735E-A740-BC9F-061801B9BC49}">
      <text>
        <r>
          <rPr>
            <b/>
            <sz val="10"/>
            <color rgb="FF000000"/>
            <rFont val="Tahoma"/>
            <family val="2"/>
          </rPr>
          <t>Keller, Zach:</t>
        </r>
        <r>
          <rPr>
            <sz val="10"/>
            <color rgb="FF000000"/>
            <rFont val="Tahoma"/>
            <family val="2"/>
          </rPr>
          <t xml:space="preserve">
N: owner per Forbes is City of Charlotte. No ownership change found for this season. Source: Forbes team page (Venue section, Oct 2025 list), https://www.forbes.com/teams/charlotte-hornets/</t>
        </r>
      </text>
    </comment>
    <comment ref="F74" authorId="0" shapeId="0" xr:uid="{D9A8EC65-06EF-E549-9D31-558A80DB16DA}">
      <text>
        <r>
          <rPr>
            <b/>
            <sz val="10"/>
            <color rgb="FF000000"/>
            <rFont val="Tahoma"/>
            <family val="2"/>
          </rPr>
          <t>Keller, Zach:</t>
        </r>
        <r>
          <rPr>
            <sz val="10"/>
            <color rgb="FF000000"/>
            <rFont val="Tahoma"/>
            <family val="2"/>
          </rPr>
          <t xml:space="preserve">
N: owner per Forbes is City of Charlotte. No ownership change found for this season. Source: Forbes team page (Venue section, Oct 2025 list), https://www.forbes.com/teams/charlotte-hornets/</t>
        </r>
      </text>
    </comment>
    <comment ref="G74" authorId="0" shapeId="0" xr:uid="{5E9A3E24-E410-FC43-8041-4B460A3DE94B}">
      <text>
        <r>
          <rPr>
            <b/>
            <sz val="10"/>
            <color rgb="FF000000"/>
            <rFont val="Tahoma"/>
            <family val="2"/>
          </rPr>
          <t>Keller, Zach:</t>
        </r>
        <r>
          <rPr>
            <sz val="10"/>
            <color rgb="FF000000"/>
            <rFont val="Tahoma"/>
            <family val="2"/>
          </rPr>
          <t xml:space="preserve">
N: owner per Forbes is City of Charlotte. No ownership change found for this season. Source: Forbes team page (Venue section, Oct 2025 list), https://www.forbes.com/teams/charlotte-hornets/</t>
        </r>
      </text>
    </comment>
    <comment ref="H74" authorId="0" shapeId="0" xr:uid="{737FBD68-C571-1D43-8AAF-B3DB97C2DF38}">
      <text>
        <r>
          <rPr>
            <b/>
            <sz val="10"/>
            <color rgb="FF000000"/>
            <rFont val="Tahoma"/>
            <family val="2"/>
          </rPr>
          <t>Keller, Zach:</t>
        </r>
        <r>
          <rPr>
            <sz val="10"/>
            <color rgb="FF000000"/>
            <rFont val="Tahoma"/>
            <family val="2"/>
          </rPr>
          <t xml:space="preserve">
N: owner per Forbes is City of Charlotte. No ownership change found for this season. Source: Forbes team page (Venue section, Oct 2025 list), https://www.forbes.com/teams/charlotte-hornets/</t>
        </r>
      </text>
    </comment>
    <comment ref="I74" authorId="0" shapeId="0" xr:uid="{E1A159CD-47EE-704C-83DD-8D8E7561EABD}">
      <text>
        <r>
          <rPr>
            <b/>
            <sz val="10"/>
            <color rgb="FF000000"/>
            <rFont val="Tahoma"/>
            <family val="2"/>
          </rPr>
          <t>Keller, Zach:</t>
        </r>
        <r>
          <rPr>
            <sz val="10"/>
            <color rgb="FF000000"/>
            <rFont val="Tahoma"/>
            <family val="2"/>
          </rPr>
          <t xml:space="preserve">
N: owner per Forbes is City of Charlotte. No ownership change found for this season. Source: Forbes team page (Venue section, Oct 2025 list), https://www.forbes.com/teams/charlotte-hornets/</t>
        </r>
      </text>
    </comment>
    <comment ref="J74" authorId="0" shapeId="0" xr:uid="{B1C1080A-7764-4C4D-9633-9EE51C209051}">
      <text>
        <r>
          <rPr>
            <b/>
            <sz val="10"/>
            <color rgb="FF000000"/>
            <rFont val="Tahoma"/>
            <family val="2"/>
          </rPr>
          <t>Keller, Zach:</t>
        </r>
        <r>
          <rPr>
            <sz val="10"/>
            <color rgb="FF000000"/>
            <rFont val="Tahoma"/>
            <family val="2"/>
          </rPr>
          <t xml:space="preserve">
N: owner per Forbes is City of Charlotte. No ownership change found for this season. Source: Forbes team page (Venue section, Oct 2025 list), https://www.forbes.com/teams/charlotte-hornets/</t>
        </r>
      </text>
    </comment>
    <comment ref="K74" authorId="0" shapeId="0" xr:uid="{F3AE8F29-993A-AF4A-BCAD-27C862EAA00E}">
      <text>
        <r>
          <rPr>
            <b/>
            <sz val="10"/>
            <color rgb="FF000000"/>
            <rFont val="Tahoma"/>
            <family val="2"/>
          </rPr>
          <t>Keller, Zach:</t>
        </r>
        <r>
          <rPr>
            <sz val="10"/>
            <color rgb="FF000000"/>
            <rFont val="Tahoma"/>
            <family val="2"/>
          </rPr>
          <t xml:space="preserve">
N: owner per Forbes is City of Charlotte. No ownership change found for this season. Source: Forbes team page (Venue section, Oct 2025 list), https://www.forbes.com/teams/charlotte-hornets/</t>
        </r>
      </text>
    </comment>
    <comment ref="B75" authorId="0" shapeId="0" xr:uid="{F61D27C5-04EF-2E4F-BACC-E78E7DB7BFB5}">
      <text>
        <r>
          <rPr>
            <b/>
            <sz val="10"/>
            <color rgb="FF000000"/>
            <rFont val="Tahoma"/>
            <family val="2"/>
          </rPr>
          <t>Keller, Zach:</t>
        </r>
        <r>
          <rPr>
            <sz val="10"/>
            <color rgb="FF000000"/>
            <rFont val="Tahoma"/>
            <family val="2"/>
          </rPr>
          <t xml:space="preserve">
Y: owner per Forbes is Bulls and Blackhawks (joint). No ownership change found for this season. Source: Forbes team page (Venue section, Oct 2025 list), https://www.forbes.com/teams/chicago-bulls/</t>
        </r>
      </text>
    </comment>
    <comment ref="C75" authorId="0" shapeId="0" xr:uid="{975EB082-DD91-5549-9946-588598954A85}">
      <text>
        <r>
          <rPr>
            <b/>
            <sz val="10"/>
            <color rgb="FF000000"/>
            <rFont val="Tahoma"/>
            <family val="2"/>
          </rPr>
          <t>Keller, Zach:</t>
        </r>
        <r>
          <rPr>
            <sz val="10"/>
            <color rgb="FF000000"/>
            <rFont val="Tahoma"/>
            <family val="2"/>
          </rPr>
          <t xml:space="preserve">
Y: owner per Forbes is Bulls and Blackhawks (joint). No ownership change found for this season. Source: Forbes team page (Venue section, Oct 2025 list), https://www.forbes.com/teams/chicago-bulls/</t>
        </r>
      </text>
    </comment>
    <comment ref="D75" authorId="0" shapeId="0" xr:uid="{631D87D9-BA52-0D47-8085-2519BD2BFB83}">
      <text>
        <r>
          <rPr>
            <b/>
            <sz val="10"/>
            <color rgb="FF000000"/>
            <rFont val="Tahoma"/>
            <family val="2"/>
          </rPr>
          <t>Keller, Zach:</t>
        </r>
        <r>
          <rPr>
            <sz val="10"/>
            <color rgb="FF000000"/>
            <rFont val="Tahoma"/>
            <family val="2"/>
          </rPr>
          <t xml:space="preserve">
Y: owner per Forbes is Bulls and Blackhawks (joint). No ownership change found for this season. Source: Forbes team page (Venue section, Oct 2025 list), https://www.forbes.com/teams/chicago-bulls/</t>
        </r>
      </text>
    </comment>
    <comment ref="E75" authorId="0" shapeId="0" xr:uid="{F3A5DFDE-C07F-9A4A-81A3-532C31BC6C18}">
      <text>
        <r>
          <rPr>
            <b/>
            <sz val="10"/>
            <color rgb="FF000000"/>
            <rFont val="Tahoma"/>
            <family val="2"/>
          </rPr>
          <t>Keller, Zach:</t>
        </r>
        <r>
          <rPr>
            <sz val="10"/>
            <color rgb="FF000000"/>
            <rFont val="Tahoma"/>
            <family val="2"/>
          </rPr>
          <t xml:space="preserve">
Y: owner per Forbes is Bulls and Blackhawks (joint). No ownership change found for this season. Source: Forbes team page (Venue section, Oct 2025 list), https://www.forbes.com/teams/chicago-bulls/</t>
        </r>
      </text>
    </comment>
    <comment ref="F75" authorId="0" shapeId="0" xr:uid="{0173892F-ED67-9C4D-9B9E-E2AD973D43BA}">
      <text>
        <r>
          <rPr>
            <b/>
            <sz val="10"/>
            <color rgb="FF000000"/>
            <rFont val="Tahoma"/>
            <family val="2"/>
          </rPr>
          <t>Keller, Zach:</t>
        </r>
        <r>
          <rPr>
            <sz val="10"/>
            <color rgb="FF000000"/>
            <rFont val="Tahoma"/>
            <family val="2"/>
          </rPr>
          <t xml:space="preserve">
Y: owner per Forbes is Bulls and Blackhawks (joint). No ownership change found for this season. Source: Forbes team page (Venue section, Oct 2025 list), https://www.forbes.com/teams/chicago-bulls/</t>
        </r>
      </text>
    </comment>
    <comment ref="G75" authorId="0" shapeId="0" xr:uid="{47CE69B0-D4EA-C848-9EA9-A9B54EBBAAD3}">
      <text>
        <r>
          <rPr>
            <b/>
            <sz val="10"/>
            <color rgb="FF000000"/>
            <rFont val="Tahoma"/>
            <family val="2"/>
          </rPr>
          <t>Keller, Zach:</t>
        </r>
        <r>
          <rPr>
            <sz val="10"/>
            <color rgb="FF000000"/>
            <rFont val="Tahoma"/>
            <family val="2"/>
          </rPr>
          <t xml:space="preserve">
Y: owner per Forbes is Bulls and Blackhawks (joint). No ownership change found for this season. Source: Forbes team page (Venue section, Oct 2025 list), https://www.forbes.com/teams/chicago-bulls/</t>
        </r>
      </text>
    </comment>
    <comment ref="H75" authorId="0" shapeId="0" xr:uid="{C97E5E8F-11B6-6A41-B7C8-A8BA64CD74C0}">
      <text>
        <r>
          <rPr>
            <b/>
            <sz val="10"/>
            <color rgb="FF000000"/>
            <rFont val="Tahoma"/>
            <family val="2"/>
          </rPr>
          <t>Keller, Zach:</t>
        </r>
        <r>
          <rPr>
            <sz val="10"/>
            <color rgb="FF000000"/>
            <rFont val="Tahoma"/>
            <family val="2"/>
          </rPr>
          <t xml:space="preserve">
Y: owner per Forbes is Bulls and Blackhawks (joint). No ownership change found for this season. Source: Forbes team page (Venue section, Oct 2025 list), https://www.forbes.com/teams/chicago-bulls/</t>
        </r>
      </text>
    </comment>
    <comment ref="I75" authorId="0" shapeId="0" xr:uid="{92B4F6E6-257B-BB45-BBCD-F032388C8639}">
      <text>
        <r>
          <rPr>
            <b/>
            <sz val="10"/>
            <color rgb="FF000000"/>
            <rFont val="Tahoma"/>
            <family val="2"/>
          </rPr>
          <t>Keller, Zach:</t>
        </r>
        <r>
          <rPr>
            <sz val="10"/>
            <color rgb="FF000000"/>
            <rFont val="Tahoma"/>
            <family val="2"/>
          </rPr>
          <t xml:space="preserve">
Y: owner per Forbes is Bulls and Blackhawks (joint). No ownership change found for this season. Source: Forbes team page (Venue section, Oct 2025 list), https://www.forbes.com/teams/chicago-bulls/</t>
        </r>
      </text>
    </comment>
    <comment ref="J75" authorId="0" shapeId="0" xr:uid="{47E8E5EA-B7C1-AC41-A7A3-98174C26EA74}">
      <text>
        <r>
          <rPr>
            <b/>
            <sz val="10"/>
            <color rgb="FF000000"/>
            <rFont val="Tahoma"/>
            <family val="2"/>
          </rPr>
          <t>Keller, Zach:</t>
        </r>
        <r>
          <rPr>
            <sz val="10"/>
            <color rgb="FF000000"/>
            <rFont val="Tahoma"/>
            <family val="2"/>
          </rPr>
          <t xml:space="preserve">
Y: owner per Forbes is Bulls and Blackhawks (joint). No ownership change found for this season. Source: Forbes team page (Venue section, Oct 2025 list), https://www.forbes.com/teams/chicago-bulls/</t>
        </r>
      </text>
    </comment>
    <comment ref="K75" authorId="0" shapeId="0" xr:uid="{BB7623EE-1FB4-9640-A5CC-3F285465E7B6}">
      <text>
        <r>
          <rPr>
            <b/>
            <sz val="10"/>
            <color rgb="FF000000"/>
            <rFont val="Tahoma"/>
            <family val="2"/>
          </rPr>
          <t>Keller, Zach:</t>
        </r>
        <r>
          <rPr>
            <sz val="10"/>
            <color rgb="FF000000"/>
            <rFont val="Tahoma"/>
            <family val="2"/>
          </rPr>
          <t xml:space="preserve">
Y: owner per Forbes is Bulls and Blackhawks (joint). No ownership change found for this season. Source: Forbes team page (Venue section, Oct 2025 list), https://www.forbes.com/teams/chicago-bulls/</t>
        </r>
      </text>
    </comment>
    <comment ref="B76" authorId="0" shapeId="0" xr:uid="{2788CF04-68A3-3E44-8500-853E49213D47}">
      <text>
        <r>
          <rPr>
            <b/>
            <sz val="10"/>
            <color rgb="FF000000"/>
            <rFont val="Tahoma"/>
            <family val="2"/>
          </rPr>
          <t>Keller, Zach:</t>
        </r>
        <r>
          <rPr>
            <sz val="10"/>
            <color rgb="FF000000"/>
            <rFont val="Tahoma"/>
            <family val="2"/>
          </rPr>
          <t xml:space="preserve">
N: owner per Forbes is Gateway Economic Dev. Corp.. No ownership change found for this season. Source: Forbes team page (Venue section, Oct 2025 list), https://www.forbes.com/teams/cleveland-cavaliers/</t>
        </r>
      </text>
    </comment>
    <comment ref="C76" authorId="0" shapeId="0" xr:uid="{D04246B3-7A43-6A4F-BE23-18D58A980A53}">
      <text>
        <r>
          <rPr>
            <b/>
            <sz val="10"/>
            <color rgb="FF000000"/>
            <rFont val="Tahoma"/>
            <family val="2"/>
          </rPr>
          <t>Keller, Zach:</t>
        </r>
        <r>
          <rPr>
            <sz val="10"/>
            <color rgb="FF000000"/>
            <rFont val="Tahoma"/>
            <family val="2"/>
          </rPr>
          <t xml:space="preserve">
N: owner per Forbes is Gateway Economic Dev. Corp.. No ownership change found for this season. Source: Forbes team page (Venue section, Oct 2025 list), https://www.forbes.com/teams/cleveland-cavaliers/</t>
        </r>
      </text>
    </comment>
    <comment ref="D76" authorId="0" shapeId="0" xr:uid="{DF600440-4475-274D-B5BA-B46599A67FBC}">
      <text>
        <r>
          <rPr>
            <b/>
            <sz val="10"/>
            <color rgb="FF000000"/>
            <rFont val="Tahoma"/>
            <family val="2"/>
          </rPr>
          <t>Keller, Zach:</t>
        </r>
        <r>
          <rPr>
            <sz val="10"/>
            <color rgb="FF000000"/>
            <rFont val="Tahoma"/>
            <family val="2"/>
          </rPr>
          <t xml:space="preserve">
N: owner per Forbes is Gateway Economic Dev. Corp.. No ownership change found for this season. Source: Forbes team page (Venue section, Oct 2025 list), https://www.forbes.com/teams/cleveland-cavaliers/</t>
        </r>
      </text>
    </comment>
    <comment ref="E76" authorId="0" shapeId="0" xr:uid="{052AE030-1C00-9D4D-B680-307435C7EAE9}">
      <text>
        <r>
          <rPr>
            <b/>
            <sz val="10"/>
            <color rgb="FF000000"/>
            <rFont val="Tahoma"/>
            <family val="2"/>
          </rPr>
          <t>Keller, Zach:</t>
        </r>
        <r>
          <rPr>
            <sz val="10"/>
            <color rgb="FF000000"/>
            <rFont val="Tahoma"/>
            <family val="2"/>
          </rPr>
          <t xml:space="preserve">
N: owner per Forbes is Gateway Economic Dev. Corp.. No ownership change found for this season. Source: Forbes team page (Venue section, Oct 2025 list), https://www.forbes.com/teams/cleveland-cavaliers/</t>
        </r>
      </text>
    </comment>
    <comment ref="F76" authorId="0" shapeId="0" xr:uid="{10AD0DDD-0F53-4640-BF1D-F4B394ABED51}">
      <text>
        <r>
          <rPr>
            <b/>
            <sz val="10"/>
            <color rgb="FF000000"/>
            <rFont val="Tahoma"/>
            <family val="2"/>
          </rPr>
          <t>Keller, Zach:</t>
        </r>
        <r>
          <rPr>
            <sz val="10"/>
            <color rgb="FF000000"/>
            <rFont val="Tahoma"/>
            <family val="2"/>
          </rPr>
          <t xml:space="preserve">
N: owner per Forbes is Gateway Economic Dev. Corp.. No ownership change found for this season. Source: Forbes team page (Venue section, Oct 2025 list), https://www.forbes.com/teams/cleveland-cavaliers/</t>
        </r>
      </text>
    </comment>
    <comment ref="G76" authorId="0" shapeId="0" xr:uid="{2AE99A7F-7D4A-9240-8618-2C0AF890AE88}">
      <text>
        <r>
          <rPr>
            <b/>
            <sz val="10"/>
            <color rgb="FF000000"/>
            <rFont val="Tahoma"/>
            <family val="2"/>
          </rPr>
          <t>Keller, Zach:</t>
        </r>
        <r>
          <rPr>
            <sz val="10"/>
            <color rgb="FF000000"/>
            <rFont val="Tahoma"/>
            <family val="2"/>
          </rPr>
          <t xml:space="preserve">
N: owner per Forbes is Gateway Economic Dev. Corp.. No ownership change found for this season. Source: Forbes team page (Venue section, Oct 2025 list), https://www.forbes.com/teams/cleveland-cavaliers/</t>
        </r>
      </text>
    </comment>
    <comment ref="H76" authorId="0" shapeId="0" xr:uid="{090ADC88-153F-AC4F-974A-0827E446A838}">
      <text>
        <r>
          <rPr>
            <b/>
            <sz val="10"/>
            <color rgb="FF000000"/>
            <rFont val="Tahoma"/>
            <family val="2"/>
          </rPr>
          <t>Keller, Zach:</t>
        </r>
        <r>
          <rPr>
            <sz val="10"/>
            <color rgb="FF000000"/>
            <rFont val="Tahoma"/>
            <family val="2"/>
          </rPr>
          <t xml:space="preserve">
N: owner per Forbes is Gateway Economic Dev. Corp.. No ownership change found for this season. Source: Forbes team page (Venue section, Oct 2025 list), https://www.forbes.com/teams/cleveland-cavaliers/</t>
        </r>
      </text>
    </comment>
    <comment ref="I76" authorId="0" shapeId="0" xr:uid="{B23DFE00-E099-AF42-B600-31BD76F2ED40}">
      <text>
        <r>
          <rPr>
            <b/>
            <sz val="10"/>
            <color rgb="FF000000"/>
            <rFont val="Tahoma"/>
            <family val="2"/>
          </rPr>
          <t>Keller, Zach:</t>
        </r>
        <r>
          <rPr>
            <sz val="10"/>
            <color rgb="FF000000"/>
            <rFont val="Tahoma"/>
            <family val="2"/>
          </rPr>
          <t xml:space="preserve">
N: owner per Forbes is Gateway Economic Dev. Corp.. No ownership change found for this season. Source: Forbes team page (Venue section, Oct 2025 list), https://www.forbes.com/teams/cleveland-cavaliers/</t>
        </r>
      </text>
    </comment>
    <comment ref="J76" authorId="0" shapeId="0" xr:uid="{990BCC13-973C-D94C-A8F7-9E57A845358A}">
      <text>
        <r>
          <rPr>
            <b/>
            <sz val="10"/>
            <color rgb="FF000000"/>
            <rFont val="Tahoma"/>
            <family val="2"/>
          </rPr>
          <t>Keller, Zach:</t>
        </r>
        <r>
          <rPr>
            <sz val="10"/>
            <color rgb="FF000000"/>
            <rFont val="Tahoma"/>
            <family val="2"/>
          </rPr>
          <t xml:space="preserve">
N: owner per Forbes is Gateway Economic Dev. Corp.. No ownership change found for this season. Source: Forbes team page (Venue section, Oct 2025 list), https://www.forbes.com/teams/cleveland-cavaliers/</t>
        </r>
      </text>
    </comment>
    <comment ref="K76" authorId="0" shapeId="0" xr:uid="{CF848228-3FF9-8C43-A26E-0BF87D4943B9}">
      <text>
        <r>
          <rPr>
            <b/>
            <sz val="10"/>
            <color rgb="FF000000"/>
            <rFont val="Tahoma"/>
            <family val="2"/>
          </rPr>
          <t>Keller, Zach:</t>
        </r>
        <r>
          <rPr>
            <sz val="10"/>
            <color rgb="FF000000"/>
            <rFont val="Tahoma"/>
            <family val="2"/>
          </rPr>
          <t xml:space="preserve">
N: owner per Forbes is Gateway Economic Dev. Corp.. No ownership change found for this season. Source: Forbes team page (Venue section, Oct 2025 list), https://www.forbes.com/teams/cleveland-cavaliers/</t>
        </r>
      </text>
    </comment>
    <comment ref="B77" authorId="0" shapeId="0" xr:uid="{CDAF11D4-0053-3E49-9000-867A7C7AC089}">
      <text>
        <r>
          <rPr>
            <b/>
            <sz val="10"/>
            <color rgb="FF000000"/>
            <rFont val="Tahoma"/>
            <family val="2"/>
          </rPr>
          <t>Keller, Zach:</t>
        </r>
        <r>
          <rPr>
            <sz val="10"/>
            <color rgb="FF000000"/>
            <rFont val="Tahoma"/>
            <family val="2"/>
          </rPr>
          <t xml:space="preserve">
N: owner per Forbes is City of Dallas. No ownership change found for this season. Source: Forbes team page (Venue section, Oct 2025 list), https://www.forbes.com/teams/dallas-mavericks/</t>
        </r>
      </text>
    </comment>
    <comment ref="C77" authorId="0" shapeId="0" xr:uid="{C5A73B7A-6342-E946-885E-505856BFD952}">
      <text>
        <r>
          <rPr>
            <b/>
            <sz val="10"/>
            <color rgb="FF000000"/>
            <rFont val="Tahoma"/>
            <family val="2"/>
          </rPr>
          <t>Keller, Zach:</t>
        </r>
        <r>
          <rPr>
            <sz val="10"/>
            <color rgb="FF000000"/>
            <rFont val="Tahoma"/>
            <family val="2"/>
          </rPr>
          <t xml:space="preserve">
N: owner per Forbes is City of Dallas. No ownership change found for this season. Source: Forbes team page (Venue section, Oct 2025 list), https://www.forbes.com/teams/dallas-mavericks/</t>
        </r>
      </text>
    </comment>
    <comment ref="D77" authorId="0" shapeId="0" xr:uid="{C4E0EFA5-E8A7-A64B-8925-C2E30F3E3783}">
      <text>
        <r>
          <rPr>
            <b/>
            <sz val="10"/>
            <color rgb="FF000000"/>
            <rFont val="Tahoma"/>
            <family val="2"/>
          </rPr>
          <t>Keller, Zach:</t>
        </r>
        <r>
          <rPr>
            <sz val="10"/>
            <color rgb="FF000000"/>
            <rFont val="Tahoma"/>
            <family val="2"/>
          </rPr>
          <t xml:space="preserve">
N: owner per Forbes is City of Dallas. No ownership change found for this season. Source: Forbes team page (Venue section, Oct 2025 list), https://www.forbes.com/teams/dallas-mavericks/</t>
        </r>
      </text>
    </comment>
    <comment ref="E77" authorId="0" shapeId="0" xr:uid="{8D8FE05F-FD4D-F348-ACBC-B7976B043D88}">
      <text>
        <r>
          <rPr>
            <b/>
            <sz val="10"/>
            <color rgb="FF000000"/>
            <rFont val="Tahoma"/>
            <family val="2"/>
          </rPr>
          <t>Keller, Zach:</t>
        </r>
        <r>
          <rPr>
            <sz val="10"/>
            <color rgb="FF000000"/>
            <rFont val="Tahoma"/>
            <family val="2"/>
          </rPr>
          <t xml:space="preserve">
N: owner per Forbes is City of Dallas. No ownership change found for this season. Source: Forbes team page (Venue section, Oct 2025 list), https://www.forbes.com/teams/dallas-mavericks/</t>
        </r>
      </text>
    </comment>
    <comment ref="F77" authorId="0" shapeId="0" xr:uid="{10631AF5-EAB6-C74F-B115-591F569C84FE}">
      <text>
        <r>
          <rPr>
            <b/>
            <sz val="10"/>
            <color rgb="FF000000"/>
            <rFont val="Tahoma"/>
            <family val="2"/>
          </rPr>
          <t>Keller, Zach:</t>
        </r>
        <r>
          <rPr>
            <sz val="10"/>
            <color rgb="FF000000"/>
            <rFont val="Tahoma"/>
            <family val="2"/>
          </rPr>
          <t xml:space="preserve">
N: owner per Forbes is City of Dallas. No ownership change found for this season. Source: Forbes team page (Venue section, Oct 2025 list), https://www.forbes.com/teams/dallas-mavericks/</t>
        </r>
      </text>
    </comment>
    <comment ref="G77" authorId="0" shapeId="0" xr:uid="{D472AED7-180E-2E44-A01F-EC8828232436}">
      <text>
        <r>
          <rPr>
            <b/>
            <sz val="10"/>
            <color rgb="FF000000"/>
            <rFont val="Tahoma"/>
            <family val="2"/>
          </rPr>
          <t>Keller, Zach:</t>
        </r>
        <r>
          <rPr>
            <sz val="10"/>
            <color rgb="FF000000"/>
            <rFont val="Tahoma"/>
            <family val="2"/>
          </rPr>
          <t xml:space="preserve">
N: owner per Forbes is City of Dallas. No ownership change found for this season. Source: Forbes team page (Venue section, Oct 2025 list), https://www.forbes.com/teams/dallas-mavericks/</t>
        </r>
      </text>
    </comment>
    <comment ref="H77" authorId="0" shapeId="0" xr:uid="{F0DA0E42-B938-3F45-B98C-74CD20DCC5FD}">
      <text>
        <r>
          <rPr>
            <b/>
            <sz val="10"/>
            <color rgb="FF000000"/>
            <rFont val="Tahoma"/>
            <family val="2"/>
          </rPr>
          <t>Keller, Zach:</t>
        </r>
        <r>
          <rPr>
            <sz val="10"/>
            <color rgb="FF000000"/>
            <rFont val="Tahoma"/>
            <family val="2"/>
          </rPr>
          <t xml:space="preserve">
N: owner per Forbes is City of Dallas. No ownership change found for this season. Source: Forbes team page (Venue section, Oct 2025 list), https://www.forbes.com/teams/dallas-mavericks/</t>
        </r>
      </text>
    </comment>
    <comment ref="I77" authorId="0" shapeId="0" xr:uid="{F07CFE1A-A5AB-5C46-A527-9E44C102301C}">
      <text>
        <r>
          <rPr>
            <b/>
            <sz val="10"/>
            <color rgb="FF000000"/>
            <rFont val="Tahoma"/>
            <family val="2"/>
          </rPr>
          <t>Keller, Zach:</t>
        </r>
        <r>
          <rPr>
            <sz val="10"/>
            <color rgb="FF000000"/>
            <rFont val="Tahoma"/>
            <family val="2"/>
          </rPr>
          <t xml:space="preserve">
N: owner per Forbes is City of Dallas. No ownership change found for this season. Source: Forbes team page (Venue section, Oct 2025 list), https://www.forbes.com/teams/dallas-mavericks/</t>
        </r>
      </text>
    </comment>
    <comment ref="J77" authorId="0" shapeId="0" xr:uid="{D0B1ADBE-4666-3140-A24A-711EFC7170DE}">
      <text>
        <r>
          <rPr>
            <b/>
            <sz val="10"/>
            <color rgb="FF000000"/>
            <rFont val="Tahoma"/>
            <family val="2"/>
          </rPr>
          <t>Keller, Zach:</t>
        </r>
        <r>
          <rPr>
            <sz val="10"/>
            <color rgb="FF000000"/>
            <rFont val="Tahoma"/>
            <family val="2"/>
          </rPr>
          <t xml:space="preserve">
N: owner per Forbes is City of Dallas. No ownership change found for this season. Source: Forbes team page (Venue section, Oct 2025 list), https://www.forbes.com/teams/dallas-mavericks/</t>
        </r>
      </text>
    </comment>
    <comment ref="K77" authorId="0" shapeId="0" xr:uid="{38063317-189F-034C-8DAF-6A15FC0C4253}">
      <text>
        <r>
          <rPr>
            <b/>
            <sz val="10"/>
            <color rgb="FF000000"/>
            <rFont val="Tahoma"/>
            <family val="2"/>
          </rPr>
          <t>Keller, Zach:</t>
        </r>
        <r>
          <rPr>
            <sz val="10"/>
            <color rgb="FF000000"/>
            <rFont val="Tahoma"/>
            <family val="2"/>
          </rPr>
          <t xml:space="preserve">
N: owner per Forbes is City of Dallas. No ownership change found for this season. Source: Forbes team page (Venue section, Oct 2025 list), https://www.forbes.com/teams/dallas-mavericks/</t>
        </r>
      </text>
    </comment>
    <comment ref="B78" authorId="0" shapeId="0" xr:uid="{C724BC12-664F-4249-A45F-B73DC25A7D72}">
      <text>
        <r>
          <rPr>
            <b/>
            <sz val="10"/>
            <color rgb="FF000000"/>
            <rFont val="Tahoma"/>
            <family val="2"/>
          </rPr>
          <t>Keller, Zach:</t>
        </r>
        <r>
          <rPr>
            <sz val="10"/>
            <color rgb="FF000000"/>
            <rFont val="Tahoma"/>
            <family val="2"/>
          </rPr>
          <t xml:space="preserve">
Y: owner per Forbes is Stanley Kroenke (also controls the Nuggets). No ownership change found for this season. Source: Forbes team page (Venue section, Oct 2025 list), https://www.forbes.com/teams/denver-nuggets/</t>
        </r>
      </text>
    </comment>
    <comment ref="C78" authorId="0" shapeId="0" xr:uid="{46F75D63-EE57-FF42-A0A0-CA8506584596}">
      <text>
        <r>
          <rPr>
            <b/>
            <sz val="10"/>
            <color rgb="FF000000"/>
            <rFont val="Tahoma"/>
            <family val="2"/>
          </rPr>
          <t>Keller, Zach:</t>
        </r>
        <r>
          <rPr>
            <sz val="10"/>
            <color rgb="FF000000"/>
            <rFont val="Tahoma"/>
            <family val="2"/>
          </rPr>
          <t xml:space="preserve">
Y: owner per Forbes is Stanley Kroenke (also controls the Nuggets). No ownership change found for this season. Source: Forbes team page (Venue section, Oct 2025 list), https://www.forbes.com/teams/denver-nuggets/</t>
        </r>
      </text>
    </comment>
    <comment ref="D78" authorId="0" shapeId="0" xr:uid="{023060DD-B268-AC44-95E9-60E7E08C7D76}">
      <text>
        <r>
          <rPr>
            <b/>
            <sz val="10"/>
            <color rgb="FF000000"/>
            <rFont val="Tahoma"/>
            <family val="2"/>
          </rPr>
          <t>Keller, Zach:</t>
        </r>
        <r>
          <rPr>
            <sz val="10"/>
            <color rgb="FF000000"/>
            <rFont val="Tahoma"/>
            <family val="2"/>
          </rPr>
          <t xml:space="preserve">
Y: owner per Forbes is Stanley Kroenke (also controls the Nuggets). No ownership change found for this season. Source: Forbes team page (Venue section, Oct 2025 list), https://www.forbes.com/teams/denver-nuggets/</t>
        </r>
      </text>
    </comment>
    <comment ref="E78" authorId="0" shapeId="0" xr:uid="{B0BB51B6-339F-DC43-8297-19C8AC77ECAE}">
      <text>
        <r>
          <rPr>
            <b/>
            <sz val="10"/>
            <color rgb="FF000000"/>
            <rFont val="Tahoma"/>
            <family val="2"/>
          </rPr>
          <t>Keller, Zach:</t>
        </r>
        <r>
          <rPr>
            <sz val="10"/>
            <color rgb="FF000000"/>
            <rFont val="Tahoma"/>
            <family val="2"/>
          </rPr>
          <t xml:space="preserve">
Y: owner per Forbes is Stanley Kroenke (also controls the Nuggets). No ownership change found for this season. Source: Forbes team page (Venue section, Oct 2025 list), https://www.forbes.com/teams/denver-nuggets/</t>
        </r>
      </text>
    </comment>
    <comment ref="F78" authorId="0" shapeId="0" xr:uid="{30FA1587-FC91-9A4B-87FC-D51DBAA57C8A}">
      <text>
        <r>
          <rPr>
            <b/>
            <sz val="10"/>
            <color rgb="FF000000"/>
            <rFont val="Tahoma"/>
            <family val="2"/>
          </rPr>
          <t>Keller, Zach:</t>
        </r>
        <r>
          <rPr>
            <sz val="10"/>
            <color rgb="FF000000"/>
            <rFont val="Tahoma"/>
            <family val="2"/>
          </rPr>
          <t xml:space="preserve">
Y: owner per Forbes is Stanley Kroenke (also controls the Nuggets). No ownership change found for this season. Source: Forbes team page (Venue section, Oct 2025 list), https://www.forbes.com/teams/denver-nuggets/</t>
        </r>
      </text>
    </comment>
    <comment ref="G78" authorId="0" shapeId="0" xr:uid="{B33261F1-C169-2440-A2A4-8634D25EE533}">
      <text>
        <r>
          <rPr>
            <b/>
            <sz val="10"/>
            <color rgb="FF000000"/>
            <rFont val="Tahoma"/>
            <family val="2"/>
          </rPr>
          <t>Keller, Zach:</t>
        </r>
        <r>
          <rPr>
            <sz val="10"/>
            <color rgb="FF000000"/>
            <rFont val="Tahoma"/>
            <family val="2"/>
          </rPr>
          <t xml:space="preserve">
Y: owner per Forbes is Stanley Kroenke (also controls the Nuggets). No ownership change found for this season. Source: Forbes team page (Venue section, Oct 2025 list), https://www.forbes.com/teams/denver-nuggets/</t>
        </r>
      </text>
    </comment>
    <comment ref="H78" authorId="0" shapeId="0" xr:uid="{3A2E544A-30D5-4D4D-852B-39A8754FAA4A}">
      <text>
        <r>
          <rPr>
            <b/>
            <sz val="10"/>
            <color rgb="FF000000"/>
            <rFont val="Tahoma"/>
            <family val="2"/>
          </rPr>
          <t>Keller, Zach:</t>
        </r>
        <r>
          <rPr>
            <sz val="10"/>
            <color rgb="FF000000"/>
            <rFont val="Tahoma"/>
            <family val="2"/>
          </rPr>
          <t xml:space="preserve">
Y: owner per Forbes is Stanley Kroenke (also controls the Nuggets). No ownership change found for this season. Source: Forbes team page (Venue section, Oct 2025 list), https://www.forbes.com/teams/denver-nuggets/</t>
        </r>
      </text>
    </comment>
    <comment ref="I78" authorId="0" shapeId="0" xr:uid="{1338AC1E-8475-D943-AE46-C406FEC421F1}">
      <text>
        <r>
          <rPr>
            <b/>
            <sz val="10"/>
            <color rgb="FF000000"/>
            <rFont val="Tahoma"/>
            <family val="2"/>
          </rPr>
          <t>Keller, Zach:</t>
        </r>
        <r>
          <rPr>
            <sz val="10"/>
            <color rgb="FF000000"/>
            <rFont val="Tahoma"/>
            <family val="2"/>
          </rPr>
          <t xml:space="preserve">
Y: owner per Forbes is Stanley Kroenke (also controls the Nuggets). No ownership change found for this season. Source: Forbes team page (Venue section, Oct 2025 list), https://www.forbes.com/teams/denver-nuggets/</t>
        </r>
      </text>
    </comment>
    <comment ref="J78" authorId="0" shapeId="0" xr:uid="{543959FC-2677-C645-A5F0-8DA16EF9974E}">
      <text>
        <r>
          <rPr>
            <b/>
            <sz val="10"/>
            <color rgb="FF000000"/>
            <rFont val="Tahoma"/>
            <family val="2"/>
          </rPr>
          <t>Keller, Zach:</t>
        </r>
        <r>
          <rPr>
            <sz val="10"/>
            <color rgb="FF000000"/>
            <rFont val="Tahoma"/>
            <family val="2"/>
          </rPr>
          <t xml:space="preserve">
Y: owner per Forbes is Stanley Kroenke (also controls the Nuggets). No ownership change found for this season. Source: Forbes team page (Venue section, Oct 2025 list), https://www.forbes.com/teams/denver-nuggets/</t>
        </r>
      </text>
    </comment>
    <comment ref="K78" authorId="0" shapeId="0" xr:uid="{401AC2C7-F664-AD40-9465-8F4E22441088}">
      <text>
        <r>
          <rPr>
            <b/>
            <sz val="10"/>
            <color rgb="FF000000"/>
            <rFont val="Tahoma"/>
            <family val="2"/>
          </rPr>
          <t>Keller, Zach:</t>
        </r>
        <r>
          <rPr>
            <sz val="10"/>
            <color rgb="FF000000"/>
            <rFont val="Tahoma"/>
            <family val="2"/>
          </rPr>
          <t xml:space="preserve">
Y: owner per Forbes is Stanley Kroenke (also controls the Nuggets). No ownership change found for this season. Source: Forbes team page (Venue section, Oct 2025 list), https://www.forbes.com/teams/denver-nuggets/</t>
        </r>
      </text>
    </comment>
    <comment ref="B79" authorId="0" shapeId="0" xr:uid="{785D49E8-B606-064C-9D66-A74DF499C506}">
      <text>
        <r>
          <rPr>
            <b/>
            <sz val="10"/>
            <color rgb="FF000000"/>
            <rFont val="Tahoma"/>
            <family val="2"/>
          </rPr>
          <t>Keller, Zach:</t>
        </r>
        <r>
          <rPr>
            <sz val="10"/>
            <color rgb="FF000000"/>
            <rFont val="Tahoma"/>
            <family val="2"/>
          </rPr>
          <t xml:space="preserve">
Y: owned/operated by Palace Sports &amp; Entertainment, acquired by Pistons owner Tom Gores in 2011. Source: Detroit Sports Commission, https://detroitsports.org/sports/2013/10/23/GEN_1023132328.aspx?id=53</t>
        </r>
      </text>
    </comment>
    <comment ref="C79" authorId="0" shapeId="0" xr:uid="{819D12E0-A86A-2A40-A927-F42EE3DE22A7}">
      <text>
        <r>
          <rPr>
            <b/>
            <sz val="10"/>
            <color rgb="FF000000"/>
            <rFont val="Tahoma"/>
            <family val="2"/>
          </rPr>
          <t>Keller, Zach:</t>
        </r>
        <r>
          <rPr>
            <sz val="10"/>
            <color rgb="FF000000"/>
            <rFont val="Tahoma"/>
            <family val="2"/>
          </rPr>
          <t xml:space="preserve">
Y: owned/operated by Palace Sports &amp; Entertainment, acquired by Pistons owner Tom Gores in 2011. Source: Detroit Sports Commission, https://detroitsports.org/sports/2013/10/23/GEN_1023132328.aspx?id=53</t>
        </r>
      </text>
    </comment>
    <comment ref="D79" authorId="0" shapeId="0" xr:uid="{38E6C043-1E8D-2B4E-A9F6-2A0FA5B03C2C}">
      <text>
        <r>
          <rPr>
            <b/>
            <sz val="10"/>
            <color rgb="FF000000"/>
            <rFont val="Tahoma"/>
            <family val="2"/>
          </rPr>
          <t>Keller, Zach:</t>
        </r>
        <r>
          <rPr>
            <sz val="10"/>
            <color rgb="FF000000"/>
            <rFont val="Tahoma"/>
            <family val="2"/>
          </rPr>
          <t xml:space="preserve">
N: owner per Forbes is City of Detroit. No ownership change found for this season. Source: Forbes team page (Venue section, Oct 2025 list), https://www.forbes.com/teams/detroit-pistons/</t>
        </r>
      </text>
    </comment>
    <comment ref="E79" authorId="0" shapeId="0" xr:uid="{4F89A95A-EEB8-5F49-89CF-1D0F05D91DE0}">
      <text>
        <r>
          <rPr>
            <b/>
            <sz val="10"/>
            <color rgb="FF000000"/>
            <rFont val="Tahoma"/>
            <family val="2"/>
          </rPr>
          <t>Keller, Zach:</t>
        </r>
        <r>
          <rPr>
            <sz val="10"/>
            <color rgb="FF000000"/>
            <rFont val="Tahoma"/>
            <family val="2"/>
          </rPr>
          <t xml:space="preserve">
N: owner per Forbes is City of Detroit. No ownership change found for this season. Source: Forbes team page (Venue section, Oct 2025 list), https://www.forbes.com/teams/detroit-pistons/</t>
        </r>
      </text>
    </comment>
    <comment ref="F79" authorId="0" shapeId="0" xr:uid="{3A33AE5A-B438-C744-B2F9-2B66E10EC7AF}">
      <text>
        <r>
          <rPr>
            <b/>
            <sz val="10"/>
            <color rgb="FF000000"/>
            <rFont val="Tahoma"/>
            <family val="2"/>
          </rPr>
          <t>Keller, Zach:</t>
        </r>
        <r>
          <rPr>
            <sz val="10"/>
            <color rgb="FF000000"/>
            <rFont val="Tahoma"/>
            <family val="2"/>
          </rPr>
          <t xml:space="preserve">
N: owner per Forbes is City of Detroit. No ownership change found for this season. Source: Forbes team page (Venue section, Oct 2025 list), https://www.forbes.com/teams/detroit-pistons/</t>
        </r>
      </text>
    </comment>
    <comment ref="G79" authorId="0" shapeId="0" xr:uid="{07B11C93-D4D5-AB4D-B9E6-3267D4641369}">
      <text>
        <r>
          <rPr>
            <b/>
            <sz val="10"/>
            <color rgb="FF000000"/>
            <rFont val="Tahoma"/>
            <family val="2"/>
          </rPr>
          <t>Keller, Zach:</t>
        </r>
        <r>
          <rPr>
            <sz val="10"/>
            <color rgb="FF000000"/>
            <rFont val="Tahoma"/>
            <family val="2"/>
          </rPr>
          <t xml:space="preserve">
N: owner per Forbes is City of Detroit. No ownership change found for this season. Source: Forbes team page (Venue section, Oct 2025 list), https://www.forbes.com/teams/detroit-pistons/</t>
        </r>
      </text>
    </comment>
    <comment ref="H79" authorId="0" shapeId="0" xr:uid="{64DE8851-5C0F-9548-8B81-D798D658361D}">
      <text>
        <r>
          <rPr>
            <b/>
            <sz val="10"/>
            <color rgb="FF000000"/>
            <rFont val="Tahoma"/>
            <family val="2"/>
          </rPr>
          <t>Keller, Zach:</t>
        </r>
        <r>
          <rPr>
            <sz val="10"/>
            <color rgb="FF000000"/>
            <rFont val="Tahoma"/>
            <family val="2"/>
          </rPr>
          <t xml:space="preserve">
N: owner per Forbes is City of Detroit. No ownership change found for this season. Source: Forbes team page (Venue section, Oct 2025 list), https://www.forbes.com/teams/detroit-pistons/</t>
        </r>
      </text>
    </comment>
    <comment ref="I79" authorId="0" shapeId="0" xr:uid="{B911D636-861A-0F49-9549-26055073B79A}">
      <text>
        <r>
          <rPr>
            <b/>
            <sz val="10"/>
            <color rgb="FF000000"/>
            <rFont val="Tahoma"/>
            <family val="2"/>
          </rPr>
          <t>Keller, Zach:</t>
        </r>
        <r>
          <rPr>
            <sz val="10"/>
            <color rgb="FF000000"/>
            <rFont val="Tahoma"/>
            <family val="2"/>
          </rPr>
          <t xml:space="preserve">
N: owner per Forbes is City of Detroit. No ownership change found for this season. Source: Forbes team page (Venue section, Oct 2025 list), https://www.forbes.com/teams/detroit-pistons/</t>
        </r>
      </text>
    </comment>
    <comment ref="J79" authorId="0" shapeId="0" xr:uid="{4F8024B9-A972-F44F-A105-E821FEF1B8AE}">
      <text>
        <r>
          <rPr>
            <b/>
            <sz val="10"/>
            <color rgb="FF000000"/>
            <rFont val="Tahoma"/>
            <family val="2"/>
          </rPr>
          <t>Keller, Zach:</t>
        </r>
        <r>
          <rPr>
            <sz val="10"/>
            <color rgb="FF000000"/>
            <rFont val="Tahoma"/>
            <family val="2"/>
          </rPr>
          <t xml:space="preserve">
N: owner per Forbes is City of Detroit. No ownership change found for this season. Source: Forbes team page (Venue section, Oct 2025 list), https://www.forbes.com/teams/detroit-pistons/</t>
        </r>
      </text>
    </comment>
    <comment ref="K79" authorId="0" shapeId="0" xr:uid="{A767E1E3-AB15-A94E-8D9A-A8E6943B359E}">
      <text>
        <r>
          <rPr>
            <b/>
            <sz val="10"/>
            <color rgb="FF000000"/>
            <rFont val="Tahoma"/>
            <family val="2"/>
          </rPr>
          <t>Keller, Zach:</t>
        </r>
        <r>
          <rPr>
            <sz val="10"/>
            <color rgb="FF000000"/>
            <rFont val="Tahoma"/>
            <family val="2"/>
          </rPr>
          <t xml:space="preserve">
N: owner per Forbes is City of Detroit. No ownership change found for this season. Source: Forbes team page (Venue section, Oct 2025 list), https://www.forbes.com/teams/detroit-pistons/</t>
        </r>
      </text>
    </comment>
    <comment ref="B80" authorId="0" shapeId="0" xr:uid="{C84544B8-A202-1245-8B88-8A6EE8215428}">
      <text>
        <r>
          <rPr>
            <b/>
            <sz val="10"/>
            <color rgb="FF000000"/>
            <rFont val="Tahoma"/>
            <family val="2"/>
          </rPr>
          <t>Keller, Zach:</t>
        </r>
        <r>
          <rPr>
            <sz val="10"/>
            <color rgb="FF000000"/>
            <rFont val="Tahoma"/>
            <family val="2"/>
          </rPr>
          <t xml:space="preserve">
N: Warriors leased the arena from the Oakland Coliseum Joint Powers Authority (City of Oakland and Alameda County). Source: CBS SF, https://www.cbsnews.com/amp/sanfrancisco/news/warriors-oracle-arena-lease-extension-2018-19</t>
        </r>
      </text>
    </comment>
    <comment ref="C80" authorId="0" shapeId="0" xr:uid="{795C279D-EE25-AB4B-96D8-5E18F43A5D3F}">
      <text>
        <r>
          <rPr>
            <b/>
            <sz val="10"/>
            <color rgb="FF000000"/>
            <rFont val="Tahoma"/>
            <family val="2"/>
          </rPr>
          <t>Keller, Zach:</t>
        </r>
        <r>
          <rPr>
            <sz val="10"/>
            <color rgb="FF000000"/>
            <rFont val="Tahoma"/>
            <family val="2"/>
          </rPr>
          <t xml:space="preserve">
N: Warriors leased the arena from the Oakland Coliseum Joint Powers Authority (City of Oakland and Alameda County). Source: CBS SF, https://www.cbsnews.com/amp/sanfrancisco/news/warriors-oracle-arena-lease-extension-2018-19</t>
        </r>
      </text>
    </comment>
    <comment ref="D80" authorId="0" shapeId="0" xr:uid="{3AE5CB99-D976-3F45-A7B4-E4C8018DBC18}">
      <text>
        <r>
          <rPr>
            <b/>
            <sz val="10"/>
            <color rgb="FF000000"/>
            <rFont val="Tahoma"/>
            <family val="2"/>
          </rPr>
          <t>Keller, Zach:</t>
        </r>
        <r>
          <rPr>
            <sz val="10"/>
            <color rgb="FF000000"/>
            <rFont val="Tahoma"/>
            <family val="2"/>
          </rPr>
          <t xml:space="preserve">
N: Warriors leased the arena from the Oakland Coliseum Joint Powers Authority (City of Oakland and Alameda County). Source: CBS SF, https://www.cbsnews.com/amp/sanfrancisco/news/warriors-oracle-arena-lease-extension-2018-19</t>
        </r>
      </text>
    </comment>
    <comment ref="E80" authorId="0" shapeId="0" xr:uid="{3E55C269-7ECA-9F4B-A1B0-6120C6DCBE98}">
      <text>
        <r>
          <rPr>
            <b/>
            <sz val="10"/>
            <color rgb="FF000000"/>
            <rFont val="Tahoma"/>
            <family val="2"/>
          </rPr>
          <t>Keller, Zach:</t>
        </r>
        <r>
          <rPr>
            <sz val="10"/>
            <color rgb="FF000000"/>
            <rFont val="Tahoma"/>
            <family val="2"/>
          </rPr>
          <t xml:space="preserve">
N: Warriors leased the arena from the Oakland Coliseum Joint Powers Authority (City of Oakland and Alameda County). Source: CBS SF, https://www.cbsnews.com/amp/sanfrancisco/news/warriors-oracle-arena-lease-extension-2018-19</t>
        </r>
      </text>
    </comment>
    <comment ref="F80" authorId="0" shapeId="0" xr:uid="{44865062-FD74-7B47-A2B4-7DAB0869F004}">
      <text>
        <r>
          <rPr>
            <b/>
            <sz val="10"/>
            <color rgb="FF000000"/>
            <rFont val="Tahoma"/>
            <family val="2"/>
          </rPr>
          <t>Keller, Zach:</t>
        </r>
        <r>
          <rPr>
            <sz val="10"/>
            <color rgb="FF000000"/>
            <rFont val="Tahoma"/>
            <family val="2"/>
          </rPr>
          <t xml:space="preserve">
Y: owner per Forbes is Team. No ownership change found for this season. Source: Forbes team page (Venue section, Oct 2025 list), https://www.forbes.com/teams/golden-state-warriors/</t>
        </r>
      </text>
    </comment>
    <comment ref="G80" authorId="0" shapeId="0" xr:uid="{8330B657-E4E4-474B-9B4D-499D3059F022}">
      <text>
        <r>
          <rPr>
            <b/>
            <sz val="10"/>
            <color rgb="FF000000"/>
            <rFont val="Tahoma"/>
            <family val="2"/>
          </rPr>
          <t>Keller, Zach:</t>
        </r>
        <r>
          <rPr>
            <sz val="10"/>
            <color rgb="FF000000"/>
            <rFont val="Tahoma"/>
            <family val="2"/>
          </rPr>
          <t xml:space="preserve">
Y: owner per Forbes is Team. No ownership change found for this season. Source: Forbes team page (Venue section, Oct 2025 list), https://www.forbes.com/teams/golden-state-warriors/</t>
        </r>
      </text>
    </comment>
    <comment ref="H80" authorId="0" shapeId="0" xr:uid="{1F3640C4-BDE4-3D44-AFD4-2BFB1996BDD0}">
      <text>
        <r>
          <rPr>
            <b/>
            <sz val="10"/>
            <color rgb="FF000000"/>
            <rFont val="Tahoma"/>
            <family val="2"/>
          </rPr>
          <t>Keller, Zach:</t>
        </r>
        <r>
          <rPr>
            <sz val="10"/>
            <color rgb="FF000000"/>
            <rFont val="Tahoma"/>
            <family val="2"/>
          </rPr>
          <t xml:space="preserve">
Y: owner per Forbes is Team. No ownership change found for this season. Source: Forbes team page (Venue section, Oct 2025 list), https://www.forbes.com/teams/golden-state-warriors/</t>
        </r>
      </text>
    </comment>
    <comment ref="I80" authorId="0" shapeId="0" xr:uid="{53ED30E0-D446-0B44-A464-271203FC5942}">
      <text>
        <r>
          <rPr>
            <b/>
            <sz val="10"/>
            <color rgb="FF000000"/>
            <rFont val="Tahoma"/>
            <family val="2"/>
          </rPr>
          <t>Keller, Zach:</t>
        </r>
        <r>
          <rPr>
            <sz val="10"/>
            <color rgb="FF000000"/>
            <rFont val="Tahoma"/>
            <family val="2"/>
          </rPr>
          <t xml:space="preserve">
Y: owner per Forbes is Team. No ownership change found for this season. Source: Forbes team page (Venue section, Oct 2025 list), https://www.forbes.com/teams/golden-state-warriors/</t>
        </r>
      </text>
    </comment>
    <comment ref="J80" authorId="0" shapeId="0" xr:uid="{5291A970-5A26-AA4F-BB19-CDAA4E8F86A8}">
      <text>
        <r>
          <rPr>
            <b/>
            <sz val="10"/>
            <color rgb="FF000000"/>
            <rFont val="Tahoma"/>
            <family val="2"/>
          </rPr>
          <t>Keller, Zach:</t>
        </r>
        <r>
          <rPr>
            <sz val="10"/>
            <color rgb="FF000000"/>
            <rFont val="Tahoma"/>
            <family val="2"/>
          </rPr>
          <t xml:space="preserve">
Y: owner per Forbes is Team. No ownership change found for this season. Source: Forbes team page (Venue section, Oct 2025 list), https://www.forbes.com/teams/golden-state-warriors/</t>
        </r>
      </text>
    </comment>
    <comment ref="K80" authorId="0" shapeId="0" xr:uid="{0816BE23-5732-234F-BDD3-773D81410F27}">
      <text>
        <r>
          <rPr>
            <b/>
            <sz val="10"/>
            <color rgb="FF000000"/>
            <rFont val="Tahoma"/>
            <family val="2"/>
          </rPr>
          <t>Keller, Zach:</t>
        </r>
        <r>
          <rPr>
            <sz val="10"/>
            <color rgb="FF000000"/>
            <rFont val="Tahoma"/>
            <family val="2"/>
          </rPr>
          <t xml:space="preserve">
Y: owner per Forbes is Team. No ownership change found for this season. Source: Forbes team page (Venue section, Oct 2025 list), https://www.forbes.com/teams/golden-state-warriors/</t>
        </r>
      </text>
    </comment>
    <comment ref="B81" authorId="0" shapeId="0" xr:uid="{83E9717E-EE8A-F74E-84E0-96CB3AD1C331}">
      <text>
        <r>
          <rPr>
            <b/>
            <sz val="10"/>
            <color rgb="FF000000"/>
            <rFont val="Tahoma"/>
            <family val="2"/>
          </rPr>
          <t>Keller, Zach:</t>
        </r>
        <r>
          <rPr>
            <sz val="10"/>
            <color rgb="FF000000"/>
            <rFont val="Tahoma"/>
            <family val="2"/>
          </rPr>
          <t xml:space="preserve">
N: owner per Forbes is Harris County, Houston Sports Authority. No ownership change found for this season. Source: Forbes team page (Venue section, Oct 2025 list), https://www.forbes.com/teams/houston-rockets/</t>
        </r>
      </text>
    </comment>
    <comment ref="C81" authorId="0" shapeId="0" xr:uid="{D9E4F2B5-78EF-0647-A25A-3A4CC37DF12E}">
      <text>
        <r>
          <rPr>
            <b/>
            <sz val="10"/>
            <color rgb="FF000000"/>
            <rFont val="Tahoma"/>
            <family val="2"/>
          </rPr>
          <t>Keller, Zach:</t>
        </r>
        <r>
          <rPr>
            <sz val="10"/>
            <color rgb="FF000000"/>
            <rFont val="Tahoma"/>
            <family val="2"/>
          </rPr>
          <t xml:space="preserve">
N: owner per Forbes is Harris County, Houston Sports Authority. No ownership change found for this season. Source: Forbes team page (Venue section, Oct 2025 list), https://www.forbes.com/teams/houston-rockets/</t>
        </r>
      </text>
    </comment>
    <comment ref="D81" authorId="0" shapeId="0" xr:uid="{5644D4CB-7602-FD47-9D8F-85BBFC611639}">
      <text>
        <r>
          <rPr>
            <b/>
            <sz val="10"/>
            <color rgb="FF000000"/>
            <rFont val="Tahoma"/>
            <family val="2"/>
          </rPr>
          <t>Keller, Zach:</t>
        </r>
        <r>
          <rPr>
            <sz val="10"/>
            <color rgb="FF000000"/>
            <rFont val="Tahoma"/>
            <family val="2"/>
          </rPr>
          <t xml:space="preserve">
N: owner per Forbes is Harris County, Houston Sports Authority. No ownership change found for this season. Source: Forbes team page (Venue section, Oct 2025 list), https://www.forbes.com/teams/houston-rockets/</t>
        </r>
      </text>
    </comment>
    <comment ref="E81" authorId="0" shapeId="0" xr:uid="{CAAFD101-31E8-F042-83C6-3F24A94655F0}">
      <text>
        <r>
          <rPr>
            <b/>
            <sz val="10"/>
            <color rgb="FF000000"/>
            <rFont val="Tahoma"/>
            <family val="2"/>
          </rPr>
          <t>Keller, Zach:</t>
        </r>
        <r>
          <rPr>
            <sz val="10"/>
            <color rgb="FF000000"/>
            <rFont val="Tahoma"/>
            <family val="2"/>
          </rPr>
          <t xml:space="preserve">
N: owner per Forbes is Harris County, Houston Sports Authority. No ownership change found for this season. Source: Forbes team page (Venue section, Oct 2025 list), https://www.forbes.com/teams/houston-rockets/</t>
        </r>
      </text>
    </comment>
    <comment ref="F81" authorId="0" shapeId="0" xr:uid="{A9C777B5-8EAF-CF48-B01A-7FE143F80527}">
      <text>
        <r>
          <rPr>
            <b/>
            <sz val="10"/>
            <color rgb="FF000000"/>
            <rFont val="Tahoma"/>
            <family val="2"/>
          </rPr>
          <t>Keller, Zach:</t>
        </r>
        <r>
          <rPr>
            <sz val="10"/>
            <color rgb="FF000000"/>
            <rFont val="Tahoma"/>
            <family val="2"/>
          </rPr>
          <t xml:space="preserve">
N: owner per Forbes is Harris County, Houston Sports Authority. No ownership change found for this season. Source: Forbes team page (Venue section, Oct 2025 list), https://www.forbes.com/teams/houston-rockets/</t>
        </r>
      </text>
    </comment>
    <comment ref="G81" authorId="0" shapeId="0" xr:uid="{AEDFD727-663C-5044-B868-5715D039D51C}">
      <text>
        <r>
          <rPr>
            <b/>
            <sz val="10"/>
            <color rgb="FF000000"/>
            <rFont val="Tahoma"/>
            <family val="2"/>
          </rPr>
          <t>Keller, Zach:</t>
        </r>
        <r>
          <rPr>
            <sz val="10"/>
            <color rgb="FF000000"/>
            <rFont val="Tahoma"/>
            <family val="2"/>
          </rPr>
          <t xml:space="preserve">
N: owner per Forbes is Harris County, Houston Sports Authority. No ownership change found for this season. Source: Forbes team page (Venue section, Oct 2025 list), https://www.forbes.com/teams/houston-rockets/</t>
        </r>
      </text>
    </comment>
    <comment ref="H81" authorId="0" shapeId="0" xr:uid="{8A400DC2-8C39-E848-A9BC-5BD0FAFF4324}">
      <text>
        <r>
          <rPr>
            <b/>
            <sz val="10"/>
            <color rgb="FF000000"/>
            <rFont val="Tahoma"/>
            <family val="2"/>
          </rPr>
          <t>Keller, Zach:</t>
        </r>
        <r>
          <rPr>
            <sz val="10"/>
            <color rgb="FF000000"/>
            <rFont val="Tahoma"/>
            <family val="2"/>
          </rPr>
          <t xml:space="preserve">
N: owner per Forbes is Harris County, Houston Sports Authority. No ownership change found for this season. Source: Forbes team page (Venue section, Oct 2025 list), https://www.forbes.com/teams/houston-rockets/</t>
        </r>
      </text>
    </comment>
    <comment ref="I81" authorId="0" shapeId="0" xr:uid="{0AD4ACD7-89E5-3F4A-A6A1-4741FF688442}">
      <text>
        <r>
          <rPr>
            <b/>
            <sz val="10"/>
            <color rgb="FF000000"/>
            <rFont val="Tahoma"/>
            <family val="2"/>
          </rPr>
          <t>Keller, Zach:</t>
        </r>
        <r>
          <rPr>
            <sz val="10"/>
            <color rgb="FF000000"/>
            <rFont val="Tahoma"/>
            <family val="2"/>
          </rPr>
          <t xml:space="preserve">
N: owner per Forbes is Harris County, Houston Sports Authority. No ownership change found for this season. Source: Forbes team page (Venue section, Oct 2025 list), https://www.forbes.com/teams/houston-rockets/</t>
        </r>
      </text>
    </comment>
    <comment ref="J81" authorId="0" shapeId="0" xr:uid="{0A7CDA65-BF20-FA46-B52B-E9CE983EFA06}">
      <text>
        <r>
          <rPr>
            <b/>
            <sz val="10"/>
            <color rgb="FF000000"/>
            <rFont val="Tahoma"/>
            <family val="2"/>
          </rPr>
          <t>Keller, Zach:</t>
        </r>
        <r>
          <rPr>
            <sz val="10"/>
            <color rgb="FF000000"/>
            <rFont val="Tahoma"/>
            <family val="2"/>
          </rPr>
          <t xml:space="preserve">
N: owner per Forbes is Harris County, Houston Sports Authority. No ownership change found for this season. Source: Forbes team page (Venue section, Oct 2025 list), https://www.forbes.com/teams/houston-rockets/</t>
        </r>
      </text>
    </comment>
    <comment ref="K81" authorId="0" shapeId="0" xr:uid="{0647CF61-183D-1A46-8A71-A45DFA4B3F52}">
      <text>
        <r>
          <rPr>
            <b/>
            <sz val="10"/>
            <color rgb="FF000000"/>
            <rFont val="Tahoma"/>
            <family val="2"/>
          </rPr>
          <t>Keller, Zach:</t>
        </r>
        <r>
          <rPr>
            <sz val="10"/>
            <color rgb="FF000000"/>
            <rFont val="Tahoma"/>
            <family val="2"/>
          </rPr>
          <t xml:space="preserve">
N: owner per Forbes is Harris County, Houston Sports Authority. No ownership change found for this season. Source: Forbes team page (Venue section, Oct 2025 list), https://www.forbes.com/teams/houston-rockets/</t>
        </r>
      </text>
    </comment>
    <comment ref="B82" authorId="0" shapeId="0" xr:uid="{E40E43EB-49BA-6C4C-AE76-95A80CD0B3D3}">
      <text>
        <r>
          <rPr>
            <b/>
            <sz val="10"/>
            <color rgb="FF000000"/>
            <rFont val="Tahoma"/>
            <family val="2"/>
          </rPr>
          <t>Keller, Zach:</t>
        </r>
        <r>
          <rPr>
            <sz val="10"/>
            <color rgb="FF000000"/>
            <rFont val="Tahoma"/>
            <family val="2"/>
          </rPr>
          <t xml:space="preserve">
N: owner per Forbes is City of Indianapolis. No ownership change found for this season. Source: Forbes team page (Venue section, Oct 2025 list), https://www.forbes.com/teams/indiana-pacers/</t>
        </r>
      </text>
    </comment>
    <comment ref="C82" authorId="0" shapeId="0" xr:uid="{163F5162-D224-9940-B5BC-345AE342F16E}">
      <text>
        <r>
          <rPr>
            <b/>
            <sz val="10"/>
            <color rgb="FF000000"/>
            <rFont val="Tahoma"/>
            <family val="2"/>
          </rPr>
          <t>Keller, Zach:</t>
        </r>
        <r>
          <rPr>
            <sz val="10"/>
            <color rgb="FF000000"/>
            <rFont val="Tahoma"/>
            <family val="2"/>
          </rPr>
          <t xml:space="preserve">
N: owner per Forbes is City of Indianapolis. No ownership change found for this season. Source: Forbes team page (Venue section, Oct 2025 list), https://www.forbes.com/teams/indiana-pacers/</t>
        </r>
      </text>
    </comment>
    <comment ref="D82" authorId="0" shapeId="0" xr:uid="{C98BC061-6A38-274F-BDE6-19D065F250B3}">
      <text>
        <r>
          <rPr>
            <b/>
            <sz val="10"/>
            <color rgb="FF000000"/>
            <rFont val="Tahoma"/>
            <family val="2"/>
          </rPr>
          <t>Keller, Zach:</t>
        </r>
        <r>
          <rPr>
            <sz val="10"/>
            <color rgb="FF000000"/>
            <rFont val="Tahoma"/>
            <family val="2"/>
          </rPr>
          <t xml:space="preserve">
N: owner per Forbes is City of Indianapolis. No ownership change found for this season. Source: Forbes team page (Venue section, Oct 2025 list), https://www.forbes.com/teams/indiana-pacers/</t>
        </r>
      </text>
    </comment>
    <comment ref="E82" authorId="0" shapeId="0" xr:uid="{05C07891-D34E-D746-8689-842B2FC7F793}">
      <text>
        <r>
          <rPr>
            <b/>
            <sz val="10"/>
            <color rgb="FF000000"/>
            <rFont val="Tahoma"/>
            <family val="2"/>
          </rPr>
          <t>Keller, Zach:</t>
        </r>
        <r>
          <rPr>
            <sz val="10"/>
            <color rgb="FF000000"/>
            <rFont val="Tahoma"/>
            <family val="2"/>
          </rPr>
          <t xml:space="preserve">
N: owner per Forbes is City of Indianapolis. No ownership change found for this season. Source: Forbes team page (Venue section, Oct 2025 list), https://www.forbes.com/teams/indiana-pacers/</t>
        </r>
      </text>
    </comment>
    <comment ref="F82" authorId="0" shapeId="0" xr:uid="{52AE98B9-5784-2641-A1CD-97D414A9B384}">
      <text>
        <r>
          <rPr>
            <b/>
            <sz val="10"/>
            <color rgb="FF000000"/>
            <rFont val="Tahoma"/>
            <family val="2"/>
          </rPr>
          <t>Keller, Zach:</t>
        </r>
        <r>
          <rPr>
            <sz val="10"/>
            <color rgb="FF000000"/>
            <rFont val="Tahoma"/>
            <family val="2"/>
          </rPr>
          <t xml:space="preserve">
N: owner per Forbes is City of Indianapolis. No ownership change found for this season. Source: Forbes team page (Venue section, Oct 2025 list), https://www.forbes.com/teams/indiana-pacers/</t>
        </r>
      </text>
    </comment>
    <comment ref="G82" authorId="0" shapeId="0" xr:uid="{DF619555-4082-E64C-8EE6-6751FB98AD78}">
      <text>
        <r>
          <rPr>
            <b/>
            <sz val="10"/>
            <color rgb="FF000000"/>
            <rFont val="Tahoma"/>
            <family val="2"/>
          </rPr>
          <t>Keller, Zach:</t>
        </r>
        <r>
          <rPr>
            <sz val="10"/>
            <color rgb="FF000000"/>
            <rFont val="Tahoma"/>
            <family val="2"/>
          </rPr>
          <t xml:space="preserve">
N: owner per Forbes is City of Indianapolis. No ownership change found for this season. Source: Forbes team page (Venue section, Oct 2025 list), https://www.forbes.com/teams/indiana-pacers/</t>
        </r>
      </text>
    </comment>
    <comment ref="H82" authorId="0" shapeId="0" xr:uid="{B4147928-E46E-7C41-A40A-DA79198F08F9}">
      <text>
        <r>
          <rPr>
            <b/>
            <sz val="10"/>
            <color rgb="FF000000"/>
            <rFont val="Tahoma"/>
            <family val="2"/>
          </rPr>
          <t>Keller, Zach:</t>
        </r>
        <r>
          <rPr>
            <sz val="10"/>
            <color rgb="FF000000"/>
            <rFont val="Tahoma"/>
            <family val="2"/>
          </rPr>
          <t xml:space="preserve">
N: owner per Forbes is City of Indianapolis. No ownership change found for this season. Source: Forbes team page (Venue section, Oct 2025 list), https://www.forbes.com/teams/indiana-pacers/</t>
        </r>
      </text>
    </comment>
    <comment ref="I82" authorId="0" shapeId="0" xr:uid="{7267F32D-CDA5-5443-AC59-34C96787ADC5}">
      <text>
        <r>
          <rPr>
            <b/>
            <sz val="10"/>
            <color rgb="FF000000"/>
            <rFont val="Tahoma"/>
            <family val="2"/>
          </rPr>
          <t>Keller, Zach:</t>
        </r>
        <r>
          <rPr>
            <sz val="10"/>
            <color rgb="FF000000"/>
            <rFont val="Tahoma"/>
            <family val="2"/>
          </rPr>
          <t xml:space="preserve">
N: owner per Forbes is City of Indianapolis. No ownership change found for this season. Source: Forbes team page (Venue section, Oct 2025 list), https://www.forbes.com/teams/indiana-pacers/</t>
        </r>
      </text>
    </comment>
    <comment ref="J82" authorId="0" shapeId="0" xr:uid="{BEECFAE5-25DA-6145-94A7-E193B7161461}">
      <text>
        <r>
          <rPr>
            <b/>
            <sz val="10"/>
            <color rgb="FF000000"/>
            <rFont val="Tahoma"/>
            <family val="2"/>
          </rPr>
          <t>Keller, Zach:</t>
        </r>
        <r>
          <rPr>
            <sz val="10"/>
            <color rgb="FF000000"/>
            <rFont val="Tahoma"/>
            <family val="2"/>
          </rPr>
          <t xml:space="preserve">
N: owner per Forbes is City of Indianapolis. No ownership change found for this season. Source: Forbes team page (Venue section, Oct 2025 list), https://www.forbes.com/teams/indiana-pacers/</t>
        </r>
      </text>
    </comment>
    <comment ref="K82" authorId="0" shapeId="0" xr:uid="{C2D095D0-280F-2B4C-88CE-9C50E3C5C7E2}">
      <text>
        <r>
          <rPr>
            <b/>
            <sz val="10"/>
            <color rgb="FF000000"/>
            <rFont val="Tahoma"/>
            <family val="2"/>
          </rPr>
          <t>Keller, Zach:</t>
        </r>
        <r>
          <rPr>
            <sz val="10"/>
            <color rgb="FF000000"/>
            <rFont val="Tahoma"/>
            <family val="2"/>
          </rPr>
          <t xml:space="preserve">
N: owner per Forbes is City of Indianapolis. No ownership change found for this season. Source: Forbes team page (Venue section, Oct 2025 list), https://www.forbes.com/teams/indiana-pacers/</t>
        </r>
      </text>
    </comment>
    <comment ref="B83" authorId="0" shapeId="0" xr:uid="{037CBA7C-126C-6545-B700-269B72C607B6}">
      <text>
        <r>
          <rPr>
            <b/>
            <sz val="10"/>
            <color rgb="FF000000"/>
            <rFont val="Tahoma"/>
            <family val="2"/>
          </rPr>
          <t>Keller, Zach:</t>
        </r>
        <r>
          <rPr>
            <sz val="10"/>
            <color rgb="FF000000"/>
            <rFont val="Tahoma"/>
            <family val="2"/>
          </rPr>
          <t xml:space="preserve">
N: owned by AEG. Source: Forbes team page (Lakers, same arena), https://www.forbes.com/teams/los-angeles-lakers/</t>
        </r>
      </text>
    </comment>
    <comment ref="C83" authorId="0" shapeId="0" xr:uid="{D326FCB4-F7EA-8545-893E-5FCF4BFF16B1}">
      <text>
        <r>
          <rPr>
            <b/>
            <sz val="10"/>
            <color rgb="FF000000"/>
            <rFont val="Tahoma"/>
            <family val="2"/>
          </rPr>
          <t>Keller, Zach:</t>
        </r>
        <r>
          <rPr>
            <sz val="10"/>
            <color rgb="FF000000"/>
            <rFont val="Tahoma"/>
            <family val="2"/>
          </rPr>
          <t xml:space="preserve">
N: owned by AEG. Source: Forbes team page (Lakers, same arena), https://www.forbes.com/teams/los-angeles-lakers/</t>
        </r>
      </text>
    </comment>
    <comment ref="D83" authorId="0" shapeId="0" xr:uid="{E067D0CF-08F2-7A41-B306-9510FAFB106A}">
      <text>
        <r>
          <rPr>
            <b/>
            <sz val="10"/>
            <color rgb="FF000000"/>
            <rFont val="Tahoma"/>
            <family val="2"/>
          </rPr>
          <t>Keller, Zach:</t>
        </r>
        <r>
          <rPr>
            <sz val="10"/>
            <color rgb="FF000000"/>
            <rFont val="Tahoma"/>
            <family val="2"/>
          </rPr>
          <t xml:space="preserve">
N: owned by AEG. Source: Forbes team page (Lakers, same arena), https://www.forbes.com/teams/los-angeles-lakers/</t>
        </r>
      </text>
    </comment>
    <comment ref="E83" authorId="0" shapeId="0" xr:uid="{13FD6D71-BD70-F74C-BFD9-F8E401A4FFA1}">
      <text>
        <r>
          <rPr>
            <b/>
            <sz val="10"/>
            <color rgb="FF000000"/>
            <rFont val="Tahoma"/>
            <family val="2"/>
          </rPr>
          <t>Keller, Zach:</t>
        </r>
        <r>
          <rPr>
            <sz val="10"/>
            <color rgb="FF000000"/>
            <rFont val="Tahoma"/>
            <family val="2"/>
          </rPr>
          <t xml:space="preserve">
N: owned by AEG. Source: Forbes team page (Lakers, same arena), https://www.forbes.com/teams/los-angeles-lakers/</t>
        </r>
      </text>
    </comment>
    <comment ref="F83" authorId="0" shapeId="0" xr:uid="{206A0A62-5741-EB42-BD25-352999ADFAD7}">
      <text>
        <r>
          <rPr>
            <b/>
            <sz val="10"/>
            <color rgb="FF000000"/>
            <rFont val="Tahoma"/>
            <family val="2"/>
          </rPr>
          <t>Keller, Zach:</t>
        </r>
        <r>
          <rPr>
            <sz val="10"/>
            <color rgb="FF000000"/>
            <rFont val="Tahoma"/>
            <family val="2"/>
          </rPr>
          <t xml:space="preserve">
N: owned by AEG. Source: Forbes team page (Lakers, same arena), https://www.forbes.com/teams/los-angeles-lakers/</t>
        </r>
      </text>
    </comment>
    <comment ref="G83" authorId="0" shapeId="0" xr:uid="{9E55D48B-F314-7643-9F9F-E3456E80E96A}">
      <text>
        <r>
          <rPr>
            <b/>
            <sz val="10"/>
            <color rgb="FF000000"/>
            <rFont val="Tahoma"/>
            <family val="2"/>
          </rPr>
          <t>Keller, Zach:</t>
        </r>
        <r>
          <rPr>
            <sz val="10"/>
            <color rgb="FF000000"/>
            <rFont val="Tahoma"/>
            <family val="2"/>
          </rPr>
          <t xml:space="preserve">
N: owned by AEG. Source: Forbes team page (Lakers, same arena), https://www.forbes.com/teams/los-angeles-lakers/</t>
        </r>
      </text>
    </comment>
    <comment ref="H83" authorId="0" shapeId="0" xr:uid="{C6D05700-64A7-5443-BD15-77EB5988B1AB}">
      <text>
        <r>
          <rPr>
            <b/>
            <sz val="10"/>
            <color rgb="FF000000"/>
            <rFont val="Tahoma"/>
            <family val="2"/>
          </rPr>
          <t>Keller, Zach:</t>
        </r>
        <r>
          <rPr>
            <sz val="10"/>
            <color rgb="FF000000"/>
            <rFont val="Tahoma"/>
            <family val="2"/>
          </rPr>
          <t xml:space="preserve">
N: owned by AEG. Source: Forbes team page (Lakers, same arena), https://www.forbes.com/teams/los-angeles-lakers/</t>
        </r>
      </text>
    </comment>
    <comment ref="I83" authorId="0" shapeId="0" xr:uid="{CBB1B57B-BE3E-504A-9A71-3CCBEA6E4C97}">
      <text>
        <r>
          <rPr>
            <b/>
            <sz val="10"/>
            <color rgb="FF000000"/>
            <rFont val="Tahoma"/>
            <family val="2"/>
          </rPr>
          <t>Keller, Zach:</t>
        </r>
        <r>
          <rPr>
            <sz val="10"/>
            <color rgb="FF000000"/>
            <rFont val="Tahoma"/>
            <family val="2"/>
          </rPr>
          <t xml:space="preserve">
N: owned by AEG. Source: Forbes team page (Lakers, same arena), https://www.forbes.com/teams/los-angeles-lakers/</t>
        </r>
      </text>
    </comment>
    <comment ref="J83" authorId="0" shapeId="0" xr:uid="{7F8E1F6A-2378-3A4B-858B-A410EC3366CD}">
      <text>
        <r>
          <rPr>
            <b/>
            <sz val="10"/>
            <color rgb="FF000000"/>
            <rFont val="Tahoma"/>
            <family val="2"/>
          </rPr>
          <t>Keller, Zach:</t>
        </r>
        <r>
          <rPr>
            <sz val="10"/>
            <color rgb="FF000000"/>
            <rFont val="Tahoma"/>
            <family val="2"/>
          </rPr>
          <t xml:space="preserve">
N: owned by AEG. Source: Forbes team page (Lakers, same arena), https://www.forbes.com/teams/los-angeles-lakers/</t>
        </r>
      </text>
    </comment>
    <comment ref="K83" authorId="0" shapeId="0" xr:uid="{C6771CF5-228C-C640-9CD3-91F7FD5F71A4}">
      <text>
        <r>
          <rPr>
            <b/>
            <sz val="10"/>
            <color rgb="FF000000"/>
            <rFont val="Tahoma"/>
            <family val="2"/>
          </rPr>
          <t>Keller, Zach:</t>
        </r>
        <r>
          <rPr>
            <sz val="10"/>
            <color rgb="FF000000"/>
            <rFont val="Tahoma"/>
            <family val="2"/>
          </rPr>
          <t xml:space="preserve">
Y: owner per Forbes is Team. No ownership change found for this season. Source: Forbes team page (Venue section, Oct 2025 list), https://www.forbes.com/teams/los-angeles-clippers/</t>
        </r>
      </text>
    </comment>
    <comment ref="B84" authorId="0" shapeId="0" xr:uid="{AE7AAC2F-E681-A244-B424-26138683F7D6}">
      <text>
        <r>
          <rPr>
            <b/>
            <sz val="10"/>
            <color rgb="FF000000"/>
            <rFont val="Tahoma"/>
            <family val="2"/>
          </rPr>
          <t>Keller, Zach:</t>
        </r>
        <r>
          <rPr>
            <sz val="10"/>
            <color rgb="FF000000"/>
            <rFont val="Tahoma"/>
            <family val="2"/>
          </rPr>
          <t xml:space="preserve">
N: owner per Forbes is AEG. No ownership change found for this season. Source: Forbes team page (Venue section, Oct 2025 list), https://www.forbes.com/teams/los-angeles-lakers/</t>
        </r>
      </text>
    </comment>
    <comment ref="C84" authorId="0" shapeId="0" xr:uid="{A9D8EAB9-D017-D842-8289-99BC7307396F}">
      <text>
        <r>
          <rPr>
            <b/>
            <sz val="10"/>
            <color rgb="FF000000"/>
            <rFont val="Tahoma"/>
            <family val="2"/>
          </rPr>
          <t>Keller, Zach:</t>
        </r>
        <r>
          <rPr>
            <sz val="10"/>
            <color rgb="FF000000"/>
            <rFont val="Tahoma"/>
            <family val="2"/>
          </rPr>
          <t xml:space="preserve">
N: owner per Forbes is AEG. No ownership change found for this season. Source: Forbes team page (Venue section, Oct 2025 list), https://www.forbes.com/teams/los-angeles-lakers/</t>
        </r>
      </text>
    </comment>
    <comment ref="D84" authorId="0" shapeId="0" xr:uid="{158F9235-3EEE-A647-9336-BD87CAA8C6C2}">
      <text>
        <r>
          <rPr>
            <b/>
            <sz val="10"/>
            <color rgb="FF000000"/>
            <rFont val="Tahoma"/>
            <family val="2"/>
          </rPr>
          <t>Keller, Zach:</t>
        </r>
        <r>
          <rPr>
            <sz val="10"/>
            <color rgb="FF000000"/>
            <rFont val="Tahoma"/>
            <family val="2"/>
          </rPr>
          <t xml:space="preserve">
N: owner per Forbes is AEG. No ownership change found for this season. Source: Forbes team page (Venue section, Oct 2025 list), https://www.forbes.com/teams/los-angeles-lakers/</t>
        </r>
      </text>
    </comment>
    <comment ref="E84" authorId="0" shapeId="0" xr:uid="{86B38D4C-20D9-4E47-A427-B3AA8EB3D40B}">
      <text>
        <r>
          <rPr>
            <b/>
            <sz val="10"/>
            <color rgb="FF000000"/>
            <rFont val="Tahoma"/>
            <family val="2"/>
          </rPr>
          <t>Keller, Zach:</t>
        </r>
        <r>
          <rPr>
            <sz val="10"/>
            <color rgb="FF000000"/>
            <rFont val="Tahoma"/>
            <family val="2"/>
          </rPr>
          <t xml:space="preserve">
N: owner per Forbes is AEG. No ownership change found for this season. Source: Forbes team page (Venue section, Oct 2025 list), https://www.forbes.com/teams/los-angeles-lakers/</t>
        </r>
      </text>
    </comment>
    <comment ref="F84" authorId="0" shapeId="0" xr:uid="{7F196F66-DC79-A64B-9C5B-D6EB7B12A359}">
      <text>
        <r>
          <rPr>
            <b/>
            <sz val="10"/>
            <color rgb="FF000000"/>
            <rFont val="Tahoma"/>
            <family val="2"/>
          </rPr>
          <t>Keller, Zach:</t>
        </r>
        <r>
          <rPr>
            <sz val="10"/>
            <color rgb="FF000000"/>
            <rFont val="Tahoma"/>
            <family val="2"/>
          </rPr>
          <t xml:space="preserve">
N: owner per Forbes is AEG. No ownership change found for this season. Source: Forbes team page (Venue section, Oct 2025 list), https://www.forbes.com/teams/los-angeles-lakers/</t>
        </r>
      </text>
    </comment>
    <comment ref="G84" authorId="0" shapeId="0" xr:uid="{54013CA0-D63F-AB46-94F7-791A847FC292}">
      <text>
        <r>
          <rPr>
            <b/>
            <sz val="10"/>
            <color rgb="FF000000"/>
            <rFont val="Tahoma"/>
            <family val="2"/>
          </rPr>
          <t>Keller, Zach:</t>
        </r>
        <r>
          <rPr>
            <sz val="10"/>
            <color rgb="FF000000"/>
            <rFont val="Tahoma"/>
            <family val="2"/>
          </rPr>
          <t xml:space="preserve">
N: owner per Forbes is AEG. No ownership change found for this season. Source: Forbes team page (Venue section, Oct 2025 list), https://www.forbes.com/teams/los-angeles-lakers/</t>
        </r>
      </text>
    </comment>
    <comment ref="H84" authorId="0" shapeId="0" xr:uid="{DAB48410-5153-CB4C-A9CA-CA404E2BF259}">
      <text>
        <r>
          <rPr>
            <b/>
            <sz val="10"/>
            <color rgb="FF000000"/>
            <rFont val="Tahoma"/>
            <family val="2"/>
          </rPr>
          <t>Keller, Zach:</t>
        </r>
        <r>
          <rPr>
            <sz val="10"/>
            <color rgb="FF000000"/>
            <rFont val="Tahoma"/>
            <family val="2"/>
          </rPr>
          <t xml:space="preserve">
N: owner per Forbes is AEG. No ownership change found for this season. Source: Forbes team page (Venue section, Oct 2025 list), https://www.forbes.com/teams/los-angeles-lakers/</t>
        </r>
      </text>
    </comment>
    <comment ref="I84" authorId="0" shapeId="0" xr:uid="{E9187A5B-5EB6-D14C-A2DD-836FCDAA3FCD}">
      <text>
        <r>
          <rPr>
            <b/>
            <sz val="10"/>
            <color rgb="FF000000"/>
            <rFont val="Tahoma"/>
            <family val="2"/>
          </rPr>
          <t>Keller, Zach:</t>
        </r>
        <r>
          <rPr>
            <sz val="10"/>
            <color rgb="FF000000"/>
            <rFont val="Tahoma"/>
            <family val="2"/>
          </rPr>
          <t xml:space="preserve">
N: owner per Forbes is AEG. No ownership change found for this season. Source: Forbes team page (Venue section, Oct 2025 list), https://www.forbes.com/teams/los-angeles-lakers/</t>
        </r>
      </text>
    </comment>
    <comment ref="J84" authorId="0" shapeId="0" xr:uid="{374F06F5-ABAC-F349-ABB8-BC7472A50691}">
      <text>
        <r>
          <rPr>
            <b/>
            <sz val="10"/>
            <color rgb="FF000000"/>
            <rFont val="Tahoma"/>
            <family val="2"/>
          </rPr>
          <t>Keller, Zach:</t>
        </r>
        <r>
          <rPr>
            <sz val="10"/>
            <color rgb="FF000000"/>
            <rFont val="Tahoma"/>
            <family val="2"/>
          </rPr>
          <t xml:space="preserve">
N: owner per Forbes is AEG. No ownership change found for this season. Source: Forbes team page (Venue section, Oct 2025 list), https://www.forbes.com/teams/los-angeles-lakers/</t>
        </r>
      </text>
    </comment>
    <comment ref="K84" authorId="0" shapeId="0" xr:uid="{9F7AC9EF-2007-1D4C-9CFC-892DB4616222}">
      <text>
        <r>
          <rPr>
            <b/>
            <sz val="10"/>
            <color rgb="FF000000"/>
            <rFont val="Tahoma"/>
            <family val="2"/>
          </rPr>
          <t>Keller, Zach:</t>
        </r>
        <r>
          <rPr>
            <sz val="10"/>
            <color rgb="FF000000"/>
            <rFont val="Tahoma"/>
            <family val="2"/>
          </rPr>
          <t xml:space="preserve">
N: owner per Forbes is AEG. No ownership change found for this season. Source: Forbes team page (Venue section, Oct 2025 list), https://www.forbes.com/teams/los-angeles-lakers/</t>
        </r>
      </text>
    </comment>
    <comment ref="B85" authorId="0" shapeId="0" xr:uid="{3D85F86F-884C-3A41-8FFF-09AA7E5C93EE}">
      <text>
        <r>
          <rPr>
            <b/>
            <sz val="10"/>
            <color rgb="FF000000"/>
            <rFont val="Tahoma"/>
            <family val="2"/>
          </rPr>
          <t>Keller, Zach:</t>
        </r>
        <r>
          <rPr>
            <sz val="10"/>
            <color rgb="FF000000"/>
            <rFont val="Tahoma"/>
            <family val="2"/>
          </rPr>
          <t xml:space="preserve">
N: owner per Forbes is City of Memphis and Shelby County. No ownership change found for this season. Source: Forbes team page (Venue section, Oct 2025 list), https://www.forbes.com/teams/memphis-grizzlies/</t>
        </r>
      </text>
    </comment>
    <comment ref="C85" authorId="0" shapeId="0" xr:uid="{55D23544-E111-334C-A662-CF3CD8BBAF81}">
      <text>
        <r>
          <rPr>
            <b/>
            <sz val="10"/>
            <color rgb="FF000000"/>
            <rFont val="Tahoma"/>
            <family val="2"/>
          </rPr>
          <t>Keller, Zach:</t>
        </r>
        <r>
          <rPr>
            <sz val="10"/>
            <color rgb="FF000000"/>
            <rFont val="Tahoma"/>
            <family val="2"/>
          </rPr>
          <t xml:space="preserve">
N: owner per Forbes is City of Memphis and Shelby County. No ownership change found for this season. Source: Forbes team page (Venue section, Oct 2025 list), https://www.forbes.com/teams/memphis-grizzlies/</t>
        </r>
      </text>
    </comment>
    <comment ref="D85" authorId="0" shapeId="0" xr:uid="{983D65AB-265D-0D47-9E42-51CEB9009A01}">
      <text>
        <r>
          <rPr>
            <b/>
            <sz val="10"/>
            <color rgb="FF000000"/>
            <rFont val="Tahoma"/>
            <family val="2"/>
          </rPr>
          <t>Keller, Zach:</t>
        </r>
        <r>
          <rPr>
            <sz val="10"/>
            <color rgb="FF000000"/>
            <rFont val="Tahoma"/>
            <family val="2"/>
          </rPr>
          <t xml:space="preserve">
N: owner per Forbes is City of Memphis and Shelby County. No ownership change found for this season. Source: Forbes team page (Venue section, Oct 2025 list), https://www.forbes.com/teams/memphis-grizzlies/</t>
        </r>
      </text>
    </comment>
    <comment ref="E85" authorId="0" shapeId="0" xr:uid="{33D932AF-9810-C447-9691-7BCA191F4BFF}">
      <text>
        <r>
          <rPr>
            <b/>
            <sz val="10"/>
            <color rgb="FF000000"/>
            <rFont val="Tahoma"/>
            <family val="2"/>
          </rPr>
          <t>Keller, Zach:</t>
        </r>
        <r>
          <rPr>
            <sz val="10"/>
            <color rgb="FF000000"/>
            <rFont val="Tahoma"/>
            <family val="2"/>
          </rPr>
          <t xml:space="preserve">
N: owner per Forbes is City of Memphis and Shelby County. No ownership change found for this season. Source: Forbes team page (Venue section, Oct 2025 list), https://www.forbes.com/teams/memphis-grizzlies/</t>
        </r>
      </text>
    </comment>
    <comment ref="F85" authorId="0" shapeId="0" xr:uid="{9F8EB966-6988-BA47-97E6-9349FA937BF2}">
      <text>
        <r>
          <rPr>
            <b/>
            <sz val="10"/>
            <color rgb="FF000000"/>
            <rFont val="Tahoma"/>
            <family val="2"/>
          </rPr>
          <t>Keller, Zach:</t>
        </r>
        <r>
          <rPr>
            <sz val="10"/>
            <color rgb="FF000000"/>
            <rFont val="Tahoma"/>
            <family val="2"/>
          </rPr>
          <t xml:space="preserve">
N: owner per Forbes is City of Memphis and Shelby County. No ownership change found for this season. Source: Forbes team page (Venue section, Oct 2025 list), https://www.forbes.com/teams/memphis-grizzlies/</t>
        </r>
      </text>
    </comment>
    <comment ref="G85" authorId="0" shapeId="0" xr:uid="{550E852F-BADE-FB44-9A00-7B37A9594E06}">
      <text>
        <r>
          <rPr>
            <b/>
            <sz val="10"/>
            <color rgb="FF000000"/>
            <rFont val="Tahoma"/>
            <family val="2"/>
          </rPr>
          <t>Keller, Zach:</t>
        </r>
        <r>
          <rPr>
            <sz val="10"/>
            <color rgb="FF000000"/>
            <rFont val="Tahoma"/>
            <family val="2"/>
          </rPr>
          <t xml:space="preserve">
N: owner per Forbes is City of Memphis and Shelby County. No ownership change found for this season. Source: Forbes team page (Venue section, Oct 2025 list), https://www.forbes.com/teams/memphis-grizzlies/</t>
        </r>
      </text>
    </comment>
    <comment ref="H85" authorId="0" shapeId="0" xr:uid="{70481235-9A45-4342-AF8C-896C06E71732}">
      <text>
        <r>
          <rPr>
            <b/>
            <sz val="10"/>
            <color rgb="FF000000"/>
            <rFont val="Tahoma"/>
            <family val="2"/>
          </rPr>
          <t>Keller, Zach:</t>
        </r>
        <r>
          <rPr>
            <sz val="10"/>
            <color rgb="FF000000"/>
            <rFont val="Tahoma"/>
            <family val="2"/>
          </rPr>
          <t xml:space="preserve">
N: owner per Forbes is City of Memphis and Shelby County. No ownership change found for this season. Source: Forbes team page (Venue section, Oct 2025 list), https://www.forbes.com/teams/memphis-grizzlies/</t>
        </r>
      </text>
    </comment>
    <comment ref="I85" authorId="0" shapeId="0" xr:uid="{0F480EE8-CE5B-C34A-AA64-0B70C2FDB79D}">
      <text>
        <r>
          <rPr>
            <b/>
            <sz val="10"/>
            <color rgb="FF000000"/>
            <rFont val="Tahoma"/>
            <family val="2"/>
          </rPr>
          <t>Keller, Zach:</t>
        </r>
        <r>
          <rPr>
            <sz val="10"/>
            <color rgb="FF000000"/>
            <rFont val="Tahoma"/>
            <family val="2"/>
          </rPr>
          <t xml:space="preserve">
N: owner per Forbes is City of Memphis and Shelby County. No ownership change found for this season. Source: Forbes team page (Venue section, Oct 2025 list), https://www.forbes.com/teams/memphis-grizzlies/</t>
        </r>
      </text>
    </comment>
    <comment ref="J85" authorId="0" shapeId="0" xr:uid="{022E92C2-EC32-F149-B8F6-4562989377C9}">
      <text>
        <r>
          <rPr>
            <b/>
            <sz val="10"/>
            <color rgb="FF000000"/>
            <rFont val="Tahoma"/>
            <family val="2"/>
          </rPr>
          <t>Keller, Zach:</t>
        </r>
        <r>
          <rPr>
            <sz val="10"/>
            <color rgb="FF000000"/>
            <rFont val="Tahoma"/>
            <family val="2"/>
          </rPr>
          <t xml:space="preserve">
N: owner per Forbes is City of Memphis and Shelby County. No ownership change found for this season. Source: Forbes team page (Venue section, Oct 2025 list), https://www.forbes.com/teams/memphis-grizzlies/</t>
        </r>
      </text>
    </comment>
    <comment ref="K85" authorId="0" shapeId="0" xr:uid="{6FDC8D71-89CC-794A-BC98-3A6EB7FE7E39}">
      <text>
        <r>
          <rPr>
            <b/>
            <sz val="10"/>
            <color rgb="FF000000"/>
            <rFont val="Tahoma"/>
            <family val="2"/>
          </rPr>
          <t>Keller, Zach:</t>
        </r>
        <r>
          <rPr>
            <sz val="10"/>
            <color rgb="FF000000"/>
            <rFont val="Tahoma"/>
            <family val="2"/>
          </rPr>
          <t xml:space="preserve">
N: owner per Forbes is City of Memphis and Shelby County. No ownership change found for this season. Source: Forbes team page (Venue section, Oct 2025 list), https://www.forbes.com/teams/memphis-grizzlies/</t>
        </r>
      </text>
    </comment>
    <comment ref="B86" authorId="0" shapeId="0" xr:uid="{79161D99-E288-8642-B8C5-8384702714DA}">
      <text>
        <r>
          <rPr>
            <b/>
            <sz val="10"/>
            <color rgb="FF000000"/>
            <rFont val="Tahoma"/>
            <family val="2"/>
          </rPr>
          <t>Keller, Zach:</t>
        </r>
        <r>
          <rPr>
            <sz val="10"/>
            <color rgb="FF000000"/>
            <rFont val="Tahoma"/>
            <family val="2"/>
          </rPr>
          <t xml:space="preserve">
N: owner per Forbes is Miami-Dade County. No ownership change found for this season. Source: Forbes team page (Venue section, Oct 2025 list), https://www.forbes.com/teams/miami-heat/</t>
        </r>
      </text>
    </comment>
    <comment ref="C86" authorId="0" shapeId="0" xr:uid="{D354B71F-2A53-9741-B2B4-739E5D39CDB6}">
      <text>
        <r>
          <rPr>
            <b/>
            <sz val="10"/>
            <color rgb="FF000000"/>
            <rFont val="Tahoma"/>
            <family val="2"/>
          </rPr>
          <t>Keller, Zach:</t>
        </r>
        <r>
          <rPr>
            <sz val="10"/>
            <color rgb="FF000000"/>
            <rFont val="Tahoma"/>
            <family val="2"/>
          </rPr>
          <t xml:space="preserve">
N: owner per Forbes is Miami-Dade County. No ownership change found for this season. Source: Forbes team page (Venue section, Oct 2025 list), https://www.forbes.com/teams/miami-heat/</t>
        </r>
      </text>
    </comment>
    <comment ref="D86" authorId="0" shapeId="0" xr:uid="{1F24DC45-F29C-1A45-9110-B41D6797C207}">
      <text>
        <r>
          <rPr>
            <b/>
            <sz val="10"/>
            <color rgb="FF000000"/>
            <rFont val="Tahoma"/>
            <family val="2"/>
          </rPr>
          <t>Keller, Zach:</t>
        </r>
        <r>
          <rPr>
            <sz val="10"/>
            <color rgb="FF000000"/>
            <rFont val="Tahoma"/>
            <family val="2"/>
          </rPr>
          <t xml:space="preserve">
N: owner per Forbes is Miami-Dade County. No ownership change found for this season. Source: Forbes team page (Venue section, Oct 2025 list), https://www.forbes.com/teams/miami-heat/</t>
        </r>
      </text>
    </comment>
    <comment ref="E86" authorId="0" shapeId="0" xr:uid="{DD9A5FD6-A03E-A140-869B-CAA75B88683C}">
      <text>
        <r>
          <rPr>
            <b/>
            <sz val="10"/>
            <color rgb="FF000000"/>
            <rFont val="Tahoma"/>
            <family val="2"/>
          </rPr>
          <t>Keller, Zach:</t>
        </r>
        <r>
          <rPr>
            <sz val="10"/>
            <color rgb="FF000000"/>
            <rFont val="Tahoma"/>
            <family val="2"/>
          </rPr>
          <t xml:space="preserve">
N: owner per Forbes is Miami-Dade County. No ownership change found for this season. Source: Forbes team page (Venue section, Oct 2025 list), https://www.forbes.com/teams/miami-heat/</t>
        </r>
      </text>
    </comment>
    <comment ref="F86" authorId="0" shapeId="0" xr:uid="{5398DD01-23A1-0B45-8C8B-D71A00B0DA2E}">
      <text>
        <r>
          <rPr>
            <b/>
            <sz val="10"/>
            <color rgb="FF000000"/>
            <rFont val="Tahoma"/>
            <family val="2"/>
          </rPr>
          <t>Keller, Zach:</t>
        </r>
        <r>
          <rPr>
            <sz val="10"/>
            <color rgb="FF000000"/>
            <rFont val="Tahoma"/>
            <family val="2"/>
          </rPr>
          <t xml:space="preserve">
N: owner per Forbes is Miami-Dade County. No ownership change found for this season. Source: Forbes team page (Venue section, Oct 2025 list), https://www.forbes.com/teams/miami-heat/</t>
        </r>
      </text>
    </comment>
    <comment ref="G86" authorId="0" shapeId="0" xr:uid="{E657373F-6F35-D842-B9C5-D62733CC25D3}">
      <text>
        <r>
          <rPr>
            <b/>
            <sz val="10"/>
            <color rgb="FF000000"/>
            <rFont val="Tahoma"/>
            <family val="2"/>
          </rPr>
          <t>Keller, Zach:</t>
        </r>
        <r>
          <rPr>
            <sz val="10"/>
            <color rgb="FF000000"/>
            <rFont val="Tahoma"/>
            <family val="2"/>
          </rPr>
          <t xml:space="preserve">
N: owner per Forbes is Miami-Dade County. No ownership change found for this season. Source: Forbes team page (Venue section, Oct 2025 list), https://www.forbes.com/teams/miami-heat/</t>
        </r>
      </text>
    </comment>
    <comment ref="H86" authorId="0" shapeId="0" xr:uid="{54153AF6-D98A-D541-A4B6-BECD4FD1DABF}">
      <text>
        <r>
          <rPr>
            <b/>
            <sz val="10"/>
            <color rgb="FF000000"/>
            <rFont val="Tahoma"/>
            <family val="2"/>
          </rPr>
          <t>Keller, Zach:</t>
        </r>
        <r>
          <rPr>
            <sz val="10"/>
            <color rgb="FF000000"/>
            <rFont val="Tahoma"/>
            <family val="2"/>
          </rPr>
          <t xml:space="preserve">
N: owner per Forbes is Miami-Dade County. No ownership change found for this season. Source: Forbes team page (Venue section, Oct 2025 list), https://www.forbes.com/teams/miami-heat/</t>
        </r>
      </text>
    </comment>
    <comment ref="I86" authorId="0" shapeId="0" xr:uid="{46337681-065D-FB4C-B290-3B70DA37F20C}">
      <text>
        <r>
          <rPr>
            <b/>
            <sz val="10"/>
            <color rgb="FF000000"/>
            <rFont val="Tahoma"/>
            <family val="2"/>
          </rPr>
          <t>Keller, Zach:</t>
        </r>
        <r>
          <rPr>
            <sz val="10"/>
            <color rgb="FF000000"/>
            <rFont val="Tahoma"/>
            <family val="2"/>
          </rPr>
          <t xml:space="preserve">
N: owner per Forbes is Miami-Dade County. No ownership change found for this season. Source: Forbes team page (Venue section, Oct 2025 list), https://www.forbes.com/teams/miami-heat/</t>
        </r>
      </text>
    </comment>
    <comment ref="J86" authorId="0" shapeId="0" xr:uid="{2376F218-3E37-0147-A0D6-807C504EF7C7}">
      <text>
        <r>
          <rPr>
            <b/>
            <sz val="10"/>
            <color rgb="FF000000"/>
            <rFont val="Tahoma"/>
            <family val="2"/>
          </rPr>
          <t>Keller, Zach:</t>
        </r>
        <r>
          <rPr>
            <sz val="10"/>
            <color rgb="FF000000"/>
            <rFont val="Tahoma"/>
            <family val="2"/>
          </rPr>
          <t xml:space="preserve">
N: owner per Forbes is Miami-Dade County. No ownership change found for this season. Source: Forbes team page (Venue section, Oct 2025 list), https://www.forbes.com/teams/miami-heat/</t>
        </r>
      </text>
    </comment>
    <comment ref="K86" authorId="0" shapeId="0" xr:uid="{BE6F5309-48FD-FF4D-82F5-6B4ADC608EEE}">
      <text>
        <r>
          <rPr>
            <b/>
            <sz val="10"/>
            <color rgb="FF000000"/>
            <rFont val="Tahoma"/>
            <family val="2"/>
          </rPr>
          <t>Keller, Zach:</t>
        </r>
        <r>
          <rPr>
            <sz val="10"/>
            <color rgb="FF000000"/>
            <rFont val="Tahoma"/>
            <family val="2"/>
          </rPr>
          <t xml:space="preserve">
N: owner per Forbes is Miami-Dade County. No ownership change found for this season. Source: Forbes team page (Venue section, Oct 2025 list), https://www.forbes.com/teams/miami-heat/</t>
        </r>
      </text>
    </comment>
    <comment ref="B87" authorId="0" shapeId="0" xr:uid="{7218CD48-307F-634E-95FA-85472D27F531}">
      <text>
        <r>
          <rPr>
            <b/>
            <sz val="10"/>
            <color rgb="FF000000"/>
            <rFont val="Tahoma"/>
            <family val="2"/>
          </rPr>
          <t>Keller, Zach:</t>
        </r>
        <r>
          <rPr>
            <sz val="10"/>
            <color rgb="FF000000"/>
            <rFont val="Tahoma"/>
            <family val="2"/>
          </rPr>
          <t xml:space="preserve">
N: owned by the Bradley Center Sports and Entertainment Corporation (a state-created entity, not the Bucks). Source: Wikipedia (secondary), https://en.wikipedia.org/wiki/Bradley_Center</t>
        </r>
      </text>
    </comment>
    <comment ref="C87" authorId="0" shapeId="0" xr:uid="{FD2F9803-298C-6A44-887B-56407DD9232B}">
      <text>
        <r>
          <rPr>
            <b/>
            <sz val="10"/>
            <color rgb="FF000000"/>
            <rFont val="Tahoma"/>
            <family val="2"/>
          </rPr>
          <t>Keller, Zach:</t>
        </r>
        <r>
          <rPr>
            <sz val="10"/>
            <color rgb="FF000000"/>
            <rFont val="Tahoma"/>
            <family val="2"/>
          </rPr>
          <t xml:space="preserve">
N: owned by the Bradley Center Sports and Entertainment Corporation (a state-created entity, not the Bucks). Source: Wikipedia (secondary), https://en.wikipedia.org/wiki/Bradley_Center</t>
        </r>
      </text>
    </comment>
    <comment ref="D87" authorId="0" shapeId="0" xr:uid="{119B8A29-BC4B-C74E-9B9E-C232D5322DA8}">
      <text>
        <r>
          <rPr>
            <b/>
            <sz val="10"/>
            <color rgb="FF000000"/>
            <rFont val="Tahoma"/>
            <family val="2"/>
          </rPr>
          <t>Keller, Zach:</t>
        </r>
        <r>
          <rPr>
            <sz val="10"/>
            <color rgb="FF000000"/>
            <rFont val="Tahoma"/>
            <family val="2"/>
          </rPr>
          <t xml:space="preserve">
N: owned by the Bradley Center Sports and Entertainment Corporation (a state-created entity, not the Bucks). Source: Wikipedia (secondary), https://en.wikipedia.org/wiki/Bradley_Center</t>
        </r>
      </text>
    </comment>
    <comment ref="E87" authorId="0" shapeId="0" xr:uid="{86EC32AA-6535-654E-8D81-E75590ECC2CB}">
      <text>
        <r>
          <rPr>
            <b/>
            <sz val="10"/>
            <color rgb="FF000000"/>
            <rFont val="Tahoma"/>
            <family val="2"/>
          </rPr>
          <t>Keller, Zach:</t>
        </r>
        <r>
          <rPr>
            <sz val="10"/>
            <color rgb="FF000000"/>
            <rFont val="Tahoma"/>
            <family val="2"/>
          </rPr>
          <t xml:space="preserve">
N: owner per Forbes is Wisconsin Center District. No ownership change found for this season. Source: Forbes team page (Venue section, Oct 2025 list), https://www.forbes.com/teams/milwaukee-bucks/</t>
        </r>
      </text>
    </comment>
    <comment ref="F87" authorId="0" shapeId="0" xr:uid="{4C75D2E0-6DAE-454A-8D8B-A006A7F8F215}">
      <text>
        <r>
          <rPr>
            <b/>
            <sz val="10"/>
            <color rgb="FF000000"/>
            <rFont val="Tahoma"/>
            <family val="2"/>
          </rPr>
          <t>Keller, Zach:</t>
        </r>
        <r>
          <rPr>
            <sz val="10"/>
            <color rgb="FF000000"/>
            <rFont val="Tahoma"/>
            <family val="2"/>
          </rPr>
          <t xml:space="preserve">
N: owner per Forbes is Wisconsin Center District. No ownership change found for this season. Source: Forbes team page (Venue section, Oct 2025 list), https://www.forbes.com/teams/milwaukee-bucks/</t>
        </r>
      </text>
    </comment>
    <comment ref="G87" authorId="0" shapeId="0" xr:uid="{03114221-A2CC-D24E-A21C-6338D1067273}">
      <text>
        <r>
          <rPr>
            <b/>
            <sz val="10"/>
            <color rgb="FF000000"/>
            <rFont val="Tahoma"/>
            <family val="2"/>
          </rPr>
          <t>Keller, Zach:</t>
        </r>
        <r>
          <rPr>
            <sz val="10"/>
            <color rgb="FF000000"/>
            <rFont val="Tahoma"/>
            <family val="2"/>
          </rPr>
          <t xml:space="preserve">
N: owner per Forbes is Wisconsin Center District. No ownership change found for this season. Source: Forbes team page (Venue section, Oct 2025 list), https://www.forbes.com/teams/milwaukee-bucks/</t>
        </r>
      </text>
    </comment>
    <comment ref="H87" authorId="0" shapeId="0" xr:uid="{FE24AB26-3DF1-9F4D-92B9-ED1EF478F606}">
      <text>
        <r>
          <rPr>
            <b/>
            <sz val="10"/>
            <color rgb="FF000000"/>
            <rFont val="Tahoma"/>
            <family val="2"/>
          </rPr>
          <t>Keller, Zach:</t>
        </r>
        <r>
          <rPr>
            <sz val="10"/>
            <color rgb="FF000000"/>
            <rFont val="Tahoma"/>
            <family val="2"/>
          </rPr>
          <t xml:space="preserve">
N: owner per Forbes is Wisconsin Center District. No ownership change found for this season. Source: Forbes team page (Venue section, Oct 2025 list), https://www.forbes.com/teams/milwaukee-bucks/</t>
        </r>
      </text>
    </comment>
    <comment ref="I87" authorId="0" shapeId="0" xr:uid="{B5C68C91-F5A0-5846-9191-425AB2CD8B90}">
      <text>
        <r>
          <rPr>
            <b/>
            <sz val="10"/>
            <color rgb="FF000000"/>
            <rFont val="Tahoma"/>
            <family val="2"/>
          </rPr>
          <t>Keller, Zach:</t>
        </r>
        <r>
          <rPr>
            <sz val="10"/>
            <color rgb="FF000000"/>
            <rFont val="Tahoma"/>
            <family val="2"/>
          </rPr>
          <t xml:space="preserve">
N: owner per Forbes is Wisconsin Center District. No ownership change found for this season. Source: Forbes team page (Venue section, Oct 2025 list), https://www.forbes.com/teams/milwaukee-bucks/</t>
        </r>
      </text>
    </comment>
    <comment ref="J87" authorId="0" shapeId="0" xr:uid="{92F266AB-9259-E04D-8716-F4EDFB435588}">
      <text>
        <r>
          <rPr>
            <b/>
            <sz val="10"/>
            <color rgb="FF000000"/>
            <rFont val="Tahoma"/>
            <family val="2"/>
          </rPr>
          <t>Keller, Zach:</t>
        </r>
        <r>
          <rPr>
            <sz val="10"/>
            <color rgb="FF000000"/>
            <rFont val="Tahoma"/>
            <family val="2"/>
          </rPr>
          <t xml:space="preserve">
N: owner per Forbes is Wisconsin Center District. No ownership change found for this season. Source: Forbes team page (Venue section, Oct 2025 list), https://www.forbes.com/teams/milwaukee-bucks/</t>
        </r>
      </text>
    </comment>
    <comment ref="K87" authorId="0" shapeId="0" xr:uid="{D8AB5929-6F29-8749-A218-FC3EBF8F29C8}">
      <text>
        <r>
          <rPr>
            <b/>
            <sz val="10"/>
            <color rgb="FF000000"/>
            <rFont val="Tahoma"/>
            <family val="2"/>
          </rPr>
          <t>Keller, Zach:</t>
        </r>
        <r>
          <rPr>
            <sz val="10"/>
            <color rgb="FF000000"/>
            <rFont val="Tahoma"/>
            <family val="2"/>
          </rPr>
          <t xml:space="preserve">
N: owner per Forbes is Wisconsin Center District. No ownership change found for this season. Source: Forbes team page (Venue section, Oct 2025 list), https://www.forbes.com/teams/milwaukee-bucks/</t>
        </r>
      </text>
    </comment>
    <comment ref="B88" authorId="0" shapeId="0" xr:uid="{0386FC43-A48C-FA47-A2BB-77CF79EFAB76}">
      <text>
        <r>
          <rPr>
            <b/>
            <sz val="10"/>
            <color rgb="FF000000"/>
            <rFont val="Tahoma"/>
            <family val="2"/>
          </rPr>
          <t>Keller, Zach:</t>
        </r>
        <r>
          <rPr>
            <sz val="10"/>
            <color rgb="FF000000"/>
            <rFont val="Tahoma"/>
            <family val="2"/>
          </rPr>
          <t xml:space="preserve">
N: owner per Forbes is City of Minneapolis. No ownership change found for this season. Source: Forbes team page (Venue section, Oct 2025 list), https://www.forbes.com/teams/minnesota-timberwolves/</t>
        </r>
      </text>
    </comment>
    <comment ref="C88" authorId="0" shapeId="0" xr:uid="{8E6737A4-257F-DA4B-9DD0-C0F8D7209A69}">
      <text>
        <r>
          <rPr>
            <b/>
            <sz val="10"/>
            <color rgb="FF000000"/>
            <rFont val="Tahoma"/>
            <family val="2"/>
          </rPr>
          <t>Keller, Zach:</t>
        </r>
        <r>
          <rPr>
            <sz val="10"/>
            <color rgb="FF000000"/>
            <rFont val="Tahoma"/>
            <family val="2"/>
          </rPr>
          <t xml:space="preserve">
N: owner per Forbes is City of Minneapolis. No ownership change found for this season. Source: Forbes team page (Venue section, Oct 2025 list), https://www.forbes.com/teams/minnesota-timberwolves/</t>
        </r>
      </text>
    </comment>
    <comment ref="D88" authorId="0" shapeId="0" xr:uid="{E0F6E72F-0C58-8844-9288-422C4D04912E}">
      <text>
        <r>
          <rPr>
            <b/>
            <sz val="10"/>
            <color rgb="FF000000"/>
            <rFont val="Tahoma"/>
            <family val="2"/>
          </rPr>
          <t>Keller, Zach:</t>
        </r>
        <r>
          <rPr>
            <sz val="10"/>
            <color rgb="FF000000"/>
            <rFont val="Tahoma"/>
            <family val="2"/>
          </rPr>
          <t xml:space="preserve">
N: owner per Forbes is City of Minneapolis. No ownership change found for this season. Source: Forbes team page (Venue section, Oct 2025 list), https://www.forbes.com/teams/minnesota-timberwolves/</t>
        </r>
      </text>
    </comment>
    <comment ref="E88" authorId="0" shapeId="0" xr:uid="{0191602E-F771-464C-8725-782445320C9E}">
      <text>
        <r>
          <rPr>
            <b/>
            <sz val="10"/>
            <color rgb="FF000000"/>
            <rFont val="Tahoma"/>
            <family val="2"/>
          </rPr>
          <t>Keller, Zach:</t>
        </r>
        <r>
          <rPr>
            <sz val="10"/>
            <color rgb="FF000000"/>
            <rFont val="Tahoma"/>
            <family val="2"/>
          </rPr>
          <t xml:space="preserve">
N: owner per Forbes is City of Minneapolis. No ownership change found for this season. Source: Forbes team page (Venue section, Oct 2025 list), https://www.forbes.com/teams/minnesota-timberwolves/</t>
        </r>
      </text>
    </comment>
    <comment ref="F88" authorId="0" shapeId="0" xr:uid="{510F982F-BEB3-314C-8A8B-3E5E154AB176}">
      <text>
        <r>
          <rPr>
            <b/>
            <sz val="10"/>
            <color rgb="FF000000"/>
            <rFont val="Tahoma"/>
            <family val="2"/>
          </rPr>
          <t>Keller, Zach:</t>
        </r>
        <r>
          <rPr>
            <sz val="10"/>
            <color rgb="FF000000"/>
            <rFont val="Tahoma"/>
            <family val="2"/>
          </rPr>
          <t xml:space="preserve">
N: owner per Forbes is City of Minneapolis. No ownership change found for this season. Source: Forbes team page (Venue section, Oct 2025 list), https://www.forbes.com/teams/minnesota-timberwolves/</t>
        </r>
      </text>
    </comment>
    <comment ref="G88" authorId="0" shapeId="0" xr:uid="{EA89F36A-846D-984F-8A2A-B5CD672EAC0C}">
      <text>
        <r>
          <rPr>
            <b/>
            <sz val="10"/>
            <color rgb="FF000000"/>
            <rFont val="Tahoma"/>
            <family val="2"/>
          </rPr>
          <t>Keller, Zach:</t>
        </r>
        <r>
          <rPr>
            <sz val="10"/>
            <color rgb="FF000000"/>
            <rFont val="Tahoma"/>
            <family val="2"/>
          </rPr>
          <t xml:space="preserve">
N: owner per Forbes is City of Minneapolis. No ownership change found for this season. Source: Forbes team page (Venue section, Oct 2025 list), https://www.forbes.com/teams/minnesota-timberwolves/</t>
        </r>
      </text>
    </comment>
    <comment ref="H88" authorId="0" shapeId="0" xr:uid="{7A8DCE37-65BB-E649-93E8-D9601EBED5FC}">
      <text>
        <r>
          <rPr>
            <b/>
            <sz val="10"/>
            <color rgb="FF000000"/>
            <rFont val="Tahoma"/>
            <family val="2"/>
          </rPr>
          <t>Keller, Zach:</t>
        </r>
        <r>
          <rPr>
            <sz val="10"/>
            <color rgb="FF000000"/>
            <rFont val="Tahoma"/>
            <family val="2"/>
          </rPr>
          <t xml:space="preserve">
N: owner per Forbes is City of Minneapolis. No ownership change found for this season. Source: Forbes team page (Venue section, Oct 2025 list), https://www.forbes.com/teams/minnesota-timberwolves/</t>
        </r>
      </text>
    </comment>
    <comment ref="I88" authorId="0" shapeId="0" xr:uid="{E1BF92EA-3935-DD4E-A69E-1262F4700F46}">
      <text>
        <r>
          <rPr>
            <b/>
            <sz val="10"/>
            <color rgb="FF000000"/>
            <rFont val="Tahoma"/>
            <family val="2"/>
          </rPr>
          <t>Keller, Zach:</t>
        </r>
        <r>
          <rPr>
            <sz val="10"/>
            <color rgb="FF000000"/>
            <rFont val="Tahoma"/>
            <family val="2"/>
          </rPr>
          <t xml:space="preserve">
N: owner per Forbes is City of Minneapolis. No ownership change found for this season. Source: Forbes team page (Venue section, Oct 2025 list), https://www.forbes.com/teams/minnesota-timberwolves/</t>
        </r>
      </text>
    </comment>
    <comment ref="J88" authorId="0" shapeId="0" xr:uid="{011F3C30-9FBD-E04E-961C-263C6C8D7846}">
      <text>
        <r>
          <rPr>
            <b/>
            <sz val="10"/>
            <color rgb="FF000000"/>
            <rFont val="Tahoma"/>
            <family val="2"/>
          </rPr>
          <t>Keller, Zach:</t>
        </r>
        <r>
          <rPr>
            <sz val="10"/>
            <color rgb="FF000000"/>
            <rFont val="Tahoma"/>
            <family val="2"/>
          </rPr>
          <t xml:space="preserve">
N: owner per Forbes is City of Minneapolis. No ownership change found for this season. Source: Forbes team page (Venue section, Oct 2025 list), https://www.forbes.com/teams/minnesota-timberwolves/</t>
        </r>
      </text>
    </comment>
    <comment ref="K88" authorId="0" shapeId="0" xr:uid="{3BFC5474-A6B1-CF40-8387-E0BC1299CB35}">
      <text>
        <r>
          <rPr>
            <b/>
            <sz val="10"/>
            <color rgb="FF000000"/>
            <rFont val="Tahoma"/>
            <family val="2"/>
          </rPr>
          <t>Keller, Zach:</t>
        </r>
        <r>
          <rPr>
            <sz val="10"/>
            <color rgb="FF000000"/>
            <rFont val="Tahoma"/>
            <family val="2"/>
          </rPr>
          <t xml:space="preserve">
N: owner per Forbes is City of Minneapolis. No ownership change found for this season. Source: Forbes team page (Venue section, Oct 2025 list), https://www.forbes.com/teams/minnesota-timberwolves/</t>
        </r>
      </text>
    </comment>
    <comment ref="B89" authorId="0" shapeId="0" xr:uid="{72A1D5B4-9BF9-4B43-835E-184A2B1D06A4}">
      <text>
        <r>
          <rPr>
            <b/>
            <sz val="10"/>
            <color rgb="FF000000"/>
            <rFont val="Tahoma"/>
            <family val="2"/>
          </rPr>
          <t>Keller, Zach:</t>
        </r>
        <r>
          <rPr>
            <sz val="10"/>
            <color rgb="FF000000"/>
            <rFont val="Tahoma"/>
            <family val="2"/>
          </rPr>
          <t xml:space="preserve">
N: owner per Forbes is Louisiana Superdome &amp; Expo Authority. No ownership change found for this season. Source: Forbes team page (Venue section, Oct 2025 list), https://www.forbes.com/teams/new-orleans-pelicans/</t>
        </r>
      </text>
    </comment>
    <comment ref="C89" authorId="0" shapeId="0" xr:uid="{210A742E-A63E-1141-91A4-384354FF42BA}">
      <text>
        <r>
          <rPr>
            <b/>
            <sz val="10"/>
            <color rgb="FF000000"/>
            <rFont val="Tahoma"/>
            <family val="2"/>
          </rPr>
          <t>Keller, Zach:</t>
        </r>
        <r>
          <rPr>
            <sz val="10"/>
            <color rgb="FF000000"/>
            <rFont val="Tahoma"/>
            <family val="2"/>
          </rPr>
          <t xml:space="preserve">
N: owner per Forbes is Louisiana Superdome &amp; Expo Authority. No ownership change found for this season. Source: Forbes team page (Venue section, Oct 2025 list), https://www.forbes.com/teams/new-orleans-pelicans/</t>
        </r>
      </text>
    </comment>
    <comment ref="D89" authorId="0" shapeId="0" xr:uid="{C0B38A26-0855-254E-8D89-A07EC7C1B704}">
      <text>
        <r>
          <rPr>
            <b/>
            <sz val="10"/>
            <color rgb="FF000000"/>
            <rFont val="Tahoma"/>
            <family val="2"/>
          </rPr>
          <t>Keller, Zach:</t>
        </r>
        <r>
          <rPr>
            <sz val="10"/>
            <color rgb="FF000000"/>
            <rFont val="Tahoma"/>
            <family val="2"/>
          </rPr>
          <t xml:space="preserve">
N: owner per Forbes is Louisiana Superdome &amp; Expo Authority. No ownership change found for this season. Source: Forbes team page (Venue section, Oct 2025 list), https://www.forbes.com/teams/new-orleans-pelicans/</t>
        </r>
      </text>
    </comment>
    <comment ref="E89" authorId="0" shapeId="0" xr:uid="{E8989FC2-BF8A-7E41-B956-2444B9FA1849}">
      <text>
        <r>
          <rPr>
            <b/>
            <sz val="10"/>
            <color rgb="FF000000"/>
            <rFont val="Tahoma"/>
            <family val="2"/>
          </rPr>
          <t>Keller, Zach:</t>
        </r>
        <r>
          <rPr>
            <sz val="10"/>
            <color rgb="FF000000"/>
            <rFont val="Tahoma"/>
            <family val="2"/>
          </rPr>
          <t xml:space="preserve">
N: owner per Forbes is Louisiana Superdome &amp; Expo Authority. No ownership change found for this season. Source: Forbes team page (Venue section, Oct 2025 list), https://www.forbes.com/teams/new-orleans-pelicans/</t>
        </r>
      </text>
    </comment>
    <comment ref="F89" authorId="0" shapeId="0" xr:uid="{9927D93A-0DAA-C740-B164-755AC6A5DB4A}">
      <text>
        <r>
          <rPr>
            <b/>
            <sz val="10"/>
            <color rgb="FF000000"/>
            <rFont val="Tahoma"/>
            <family val="2"/>
          </rPr>
          <t>Keller, Zach:</t>
        </r>
        <r>
          <rPr>
            <sz val="10"/>
            <color rgb="FF000000"/>
            <rFont val="Tahoma"/>
            <family val="2"/>
          </rPr>
          <t xml:space="preserve">
N: owner per Forbes is Louisiana Superdome &amp; Expo Authority. No ownership change found for this season. Source: Forbes team page (Venue section, Oct 2025 list), https://www.forbes.com/teams/new-orleans-pelicans/</t>
        </r>
      </text>
    </comment>
    <comment ref="G89" authorId="0" shapeId="0" xr:uid="{7F17996B-56EE-DA4F-BD73-89990C306925}">
      <text>
        <r>
          <rPr>
            <b/>
            <sz val="10"/>
            <color rgb="FF000000"/>
            <rFont val="Tahoma"/>
            <family val="2"/>
          </rPr>
          <t>Keller, Zach:</t>
        </r>
        <r>
          <rPr>
            <sz val="10"/>
            <color rgb="FF000000"/>
            <rFont val="Tahoma"/>
            <family val="2"/>
          </rPr>
          <t xml:space="preserve">
N: owner per Forbes is Louisiana Superdome &amp; Expo Authority. No ownership change found for this season. Source: Forbes team page (Venue section, Oct 2025 list), https://www.forbes.com/teams/new-orleans-pelicans/</t>
        </r>
      </text>
    </comment>
    <comment ref="H89" authorId="0" shapeId="0" xr:uid="{349400D2-8308-D44A-9B27-2EBA1CC50AAB}">
      <text>
        <r>
          <rPr>
            <b/>
            <sz val="10"/>
            <color rgb="FF000000"/>
            <rFont val="Tahoma"/>
            <family val="2"/>
          </rPr>
          <t>Keller, Zach:</t>
        </r>
        <r>
          <rPr>
            <sz val="10"/>
            <color rgb="FF000000"/>
            <rFont val="Tahoma"/>
            <family val="2"/>
          </rPr>
          <t xml:space="preserve">
N: owner per Forbes is Louisiana Superdome &amp; Expo Authority. No ownership change found for this season. Source: Forbes team page (Venue section, Oct 2025 list), https://www.forbes.com/teams/new-orleans-pelicans/</t>
        </r>
      </text>
    </comment>
    <comment ref="I89" authorId="0" shapeId="0" xr:uid="{65953986-8555-B749-8C13-65BF402F1906}">
      <text>
        <r>
          <rPr>
            <b/>
            <sz val="10"/>
            <color rgb="FF000000"/>
            <rFont val="Tahoma"/>
            <family val="2"/>
          </rPr>
          <t>Keller, Zach:</t>
        </r>
        <r>
          <rPr>
            <sz val="10"/>
            <color rgb="FF000000"/>
            <rFont val="Tahoma"/>
            <family val="2"/>
          </rPr>
          <t xml:space="preserve">
N: owner per Forbes is Louisiana Superdome &amp; Expo Authority. No ownership change found for this season. Source: Forbes team page (Venue section, Oct 2025 list), https://www.forbes.com/teams/new-orleans-pelicans/</t>
        </r>
      </text>
    </comment>
    <comment ref="J89" authorId="0" shapeId="0" xr:uid="{7270828D-3814-C44F-AE6A-9ABB1FCDCC4B}">
      <text>
        <r>
          <rPr>
            <b/>
            <sz val="10"/>
            <color rgb="FF000000"/>
            <rFont val="Tahoma"/>
            <family val="2"/>
          </rPr>
          <t>Keller, Zach:</t>
        </r>
        <r>
          <rPr>
            <sz val="10"/>
            <color rgb="FF000000"/>
            <rFont val="Tahoma"/>
            <family val="2"/>
          </rPr>
          <t xml:space="preserve">
N: owner per Forbes is Louisiana Superdome &amp; Expo Authority. No ownership change found for this season. Source: Forbes team page (Venue section, Oct 2025 list), https://www.forbes.com/teams/new-orleans-pelicans/</t>
        </r>
      </text>
    </comment>
    <comment ref="K89" authorId="0" shapeId="0" xr:uid="{FA381CFC-1EAB-0947-9AC2-5C86EF710F46}">
      <text>
        <r>
          <rPr>
            <b/>
            <sz val="10"/>
            <color rgb="FF000000"/>
            <rFont val="Tahoma"/>
            <family val="2"/>
          </rPr>
          <t>Keller, Zach:</t>
        </r>
        <r>
          <rPr>
            <sz val="10"/>
            <color rgb="FF000000"/>
            <rFont val="Tahoma"/>
            <family val="2"/>
          </rPr>
          <t xml:space="preserve">
N: owner per Forbes is Louisiana Superdome &amp; Expo Authority. No ownership change found for this season. Source: Forbes team page (Venue section, Oct 2025 list), https://www.forbes.com/teams/new-orleans-pelicans/</t>
        </r>
      </text>
    </comment>
    <comment ref="B90" authorId="0" shapeId="0" xr:uid="{7AAF6DA8-53A4-B644-A200-4263105A6D71}">
      <text>
        <r>
          <rPr>
            <b/>
            <sz val="10"/>
            <color rgb="FF000000"/>
            <rFont val="Tahoma"/>
            <family val="2"/>
          </rPr>
          <t>Keller, Zach:</t>
        </r>
        <r>
          <rPr>
            <sz val="10"/>
            <color rgb="FF000000"/>
            <rFont val="Tahoma"/>
            <family val="2"/>
          </rPr>
          <t xml:space="preserve">
Y: owner per Forbes is Madison Square Garden Entertainment (Dolan-controlled affiliate of the Knicks' owner). No ownership change found for this season. Source: Forbes team page (Venue section, Oct 2025 list), https://www.forbes.com/teams/new-york-knicks/</t>
        </r>
      </text>
    </comment>
    <comment ref="C90" authorId="0" shapeId="0" xr:uid="{0E58310D-2B14-4C4B-AB64-BCAC20A69BEC}">
      <text>
        <r>
          <rPr>
            <b/>
            <sz val="10"/>
            <color rgb="FF000000"/>
            <rFont val="Tahoma"/>
            <family val="2"/>
          </rPr>
          <t>Keller, Zach:</t>
        </r>
        <r>
          <rPr>
            <sz val="10"/>
            <color rgb="FF000000"/>
            <rFont val="Tahoma"/>
            <family val="2"/>
          </rPr>
          <t xml:space="preserve">
Y: owner per Forbes is Madison Square Garden Entertainment (Dolan-controlled affiliate of the Knicks' owner). No ownership change found for this season. Source: Forbes team page (Venue section, Oct 2025 list), https://www.forbes.com/teams/new-york-knicks/</t>
        </r>
      </text>
    </comment>
    <comment ref="D90" authorId="0" shapeId="0" xr:uid="{578F519F-931A-B64F-AAAC-1E3797918FF1}">
      <text>
        <r>
          <rPr>
            <b/>
            <sz val="10"/>
            <color rgb="FF000000"/>
            <rFont val="Tahoma"/>
            <family val="2"/>
          </rPr>
          <t>Keller, Zach:</t>
        </r>
        <r>
          <rPr>
            <sz val="10"/>
            <color rgb="FF000000"/>
            <rFont val="Tahoma"/>
            <family val="2"/>
          </rPr>
          <t xml:space="preserve">
Y: owner per Forbes is Madison Square Garden Entertainment (Dolan-controlled affiliate of the Knicks' owner). No ownership change found for this season. Source: Forbes team page (Venue section, Oct 2025 list), https://www.forbes.com/teams/new-york-knicks/</t>
        </r>
      </text>
    </comment>
    <comment ref="E90" authorId="0" shapeId="0" xr:uid="{E74B5A35-E5D7-1F44-893E-47DCBD357BF4}">
      <text>
        <r>
          <rPr>
            <b/>
            <sz val="10"/>
            <color rgb="FF000000"/>
            <rFont val="Tahoma"/>
            <family val="2"/>
          </rPr>
          <t>Keller, Zach:</t>
        </r>
        <r>
          <rPr>
            <sz val="10"/>
            <color rgb="FF000000"/>
            <rFont val="Tahoma"/>
            <family val="2"/>
          </rPr>
          <t xml:space="preserve">
Y: owner per Forbes is Madison Square Garden Entertainment (Dolan-controlled affiliate of the Knicks' owner). No ownership change found for this season. Source: Forbes team page (Venue section, Oct 2025 list), https://www.forbes.com/teams/new-york-knicks/</t>
        </r>
      </text>
    </comment>
    <comment ref="F90" authorId="0" shapeId="0" xr:uid="{54F08ED0-EC4A-6640-A499-7F9EC25DEEAB}">
      <text>
        <r>
          <rPr>
            <b/>
            <sz val="10"/>
            <color rgb="FF000000"/>
            <rFont val="Tahoma"/>
            <family val="2"/>
          </rPr>
          <t>Keller, Zach:</t>
        </r>
        <r>
          <rPr>
            <sz val="10"/>
            <color rgb="FF000000"/>
            <rFont val="Tahoma"/>
            <family val="2"/>
          </rPr>
          <t xml:space="preserve">
Y: owner per Forbes is Madison Square Garden Entertainment (Dolan-controlled affiliate of the Knicks' owner). No ownership change found for this season. Source: Forbes team page (Venue section, Oct 2025 list), https://www.forbes.com/teams/new-york-knicks/</t>
        </r>
      </text>
    </comment>
    <comment ref="G90" authorId="0" shapeId="0" xr:uid="{3D228349-9486-1749-977B-B6B4C0BDBF1C}">
      <text>
        <r>
          <rPr>
            <b/>
            <sz val="10"/>
            <color rgb="FF000000"/>
            <rFont val="Tahoma"/>
            <family val="2"/>
          </rPr>
          <t>Keller, Zach:</t>
        </r>
        <r>
          <rPr>
            <sz val="10"/>
            <color rgb="FF000000"/>
            <rFont val="Tahoma"/>
            <family val="2"/>
          </rPr>
          <t xml:space="preserve">
Y: owner per Forbes is Madison Square Garden Entertainment (Dolan-controlled affiliate of the Knicks' owner). No ownership change found for this season. Source: Forbes team page (Venue section, Oct 2025 list), https://www.forbes.com/teams/new-york-knicks/</t>
        </r>
      </text>
    </comment>
    <comment ref="H90" authorId="0" shapeId="0" xr:uid="{69D653C7-841A-194F-BE23-BB7F13285B64}">
      <text>
        <r>
          <rPr>
            <b/>
            <sz val="10"/>
            <color rgb="FF000000"/>
            <rFont val="Tahoma"/>
            <family val="2"/>
          </rPr>
          <t>Keller, Zach:</t>
        </r>
        <r>
          <rPr>
            <sz val="10"/>
            <color rgb="FF000000"/>
            <rFont val="Tahoma"/>
            <family val="2"/>
          </rPr>
          <t xml:space="preserve">
Y: owner per Forbes is Madison Square Garden Entertainment (Dolan-controlled affiliate of the Knicks' owner). No ownership change found for this season. Source: Forbes team page (Venue section, Oct 2025 list), https://www.forbes.com/teams/new-york-knicks/</t>
        </r>
      </text>
    </comment>
    <comment ref="I90" authorId="0" shapeId="0" xr:uid="{6EFE3BCD-B385-844D-BDA7-6B7C69689409}">
      <text>
        <r>
          <rPr>
            <b/>
            <sz val="10"/>
            <color rgb="FF000000"/>
            <rFont val="Tahoma"/>
            <family val="2"/>
          </rPr>
          <t>Keller, Zach:</t>
        </r>
        <r>
          <rPr>
            <sz val="10"/>
            <color rgb="FF000000"/>
            <rFont val="Tahoma"/>
            <family val="2"/>
          </rPr>
          <t xml:space="preserve">
Y: owner per Forbes is Madison Square Garden Entertainment (Dolan-controlled affiliate of the Knicks' owner). No ownership change found for this season. Source: Forbes team page (Venue section, Oct 2025 list), https://www.forbes.com/teams/new-york-knicks/</t>
        </r>
      </text>
    </comment>
    <comment ref="J90" authorId="0" shapeId="0" xr:uid="{BE13C60B-72DC-C84F-A2C8-F2C2457BE525}">
      <text>
        <r>
          <rPr>
            <b/>
            <sz val="10"/>
            <color rgb="FF000000"/>
            <rFont val="Tahoma"/>
            <family val="2"/>
          </rPr>
          <t>Keller, Zach:</t>
        </r>
        <r>
          <rPr>
            <sz val="10"/>
            <color rgb="FF000000"/>
            <rFont val="Tahoma"/>
            <family val="2"/>
          </rPr>
          <t xml:space="preserve">
Y: owner per Forbes is Madison Square Garden Entertainment (Dolan-controlled affiliate of the Knicks' owner). No ownership change found for this season. Source: Forbes team page (Venue section, Oct 2025 list), https://www.forbes.com/teams/new-york-knicks/</t>
        </r>
      </text>
    </comment>
    <comment ref="K90" authorId="0" shapeId="0" xr:uid="{84DAF73B-67B9-4049-8B78-8E62CDFB9E88}">
      <text>
        <r>
          <rPr>
            <b/>
            <sz val="10"/>
            <color rgb="FF000000"/>
            <rFont val="Tahoma"/>
            <family val="2"/>
          </rPr>
          <t>Keller, Zach:</t>
        </r>
        <r>
          <rPr>
            <sz val="10"/>
            <color rgb="FF000000"/>
            <rFont val="Tahoma"/>
            <family val="2"/>
          </rPr>
          <t xml:space="preserve">
Y: owner per Forbes is Madison Square Garden Entertainment (Dolan-controlled affiliate of the Knicks' owner). No ownership change found for this season. Source: Forbes team page (Venue section, Oct 2025 list), https://www.forbes.com/teams/new-york-knicks/</t>
        </r>
      </text>
    </comment>
    <comment ref="B91" authorId="0" shapeId="0" xr:uid="{C91F1DB1-3028-2041-8B52-3698E7875863}">
      <text>
        <r>
          <rPr>
            <b/>
            <sz val="10"/>
            <color rgb="FF000000"/>
            <rFont val="Tahoma"/>
            <family val="2"/>
          </rPr>
          <t>Keller, Zach:</t>
        </r>
        <r>
          <rPr>
            <sz val="10"/>
            <color rgb="FF000000"/>
            <rFont val="Tahoma"/>
            <family val="2"/>
          </rPr>
          <t xml:space="preserve">
N: owner per Forbes is City of Oklahoma City. No ownership change found for this season. Source: Forbes team page (Venue section, Oct 2025 list), https://www.forbes.com/teams/oklahoma-city-thunder/</t>
        </r>
      </text>
    </comment>
    <comment ref="C91" authorId="0" shapeId="0" xr:uid="{E03818C7-B4BF-C64A-AE6E-5BC7ECCBBF86}">
      <text>
        <r>
          <rPr>
            <b/>
            <sz val="10"/>
            <color rgb="FF000000"/>
            <rFont val="Tahoma"/>
            <family val="2"/>
          </rPr>
          <t>Keller, Zach:</t>
        </r>
        <r>
          <rPr>
            <sz val="10"/>
            <color rgb="FF000000"/>
            <rFont val="Tahoma"/>
            <family val="2"/>
          </rPr>
          <t xml:space="preserve">
N: owner per Forbes is City of Oklahoma City. No ownership change found for this season. Source: Forbes team page (Venue section, Oct 2025 list), https://www.forbes.com/teams/oklahoma-city-thunder/</t>
        </r>
      </text>
    </comment>
    <comment ref="D91" authorId="0" shapeId="0" xr:uid="{4C1A41FB-5110-8D4F-9AEC-21173D516B92}">
      <text>
        <r>
          <rPr>
            <b/>
            <sz val="10"/>
            <color rgb="FF000000"/>
            <rFont val="Tahoma"/>
            <family val="2"/>
          </rPr>
          <t>Keller, Zach:</t>
        </r>
        <r>
          <rPr>
            <sz val="10"/>
            <color rgb="FF000000"/>
            <rFont val="Tahoma"/>
            <family val="2"/>
          </rPr>
          <t xml:space="preserve">
N: owner per Forbes is City of Oklahoma City. No ownership change found for this season. Source: Forbes team page (Venue section, Oct 2025 list), https://www.forbes.com/teams/oklahoma-city-thunder/</t>
        </r>
      </text>
    </comment>
    <comment ref="E91" authorId="0" shapeId="0" xr:uid="{3C1FE75F-1823-1049-9B8C-22A0AA05BAEB}">
      <text>
        <r>
          <rPr>
            <b/>
            <sz val="10"/>
            <color rgb="FF000000"/>
            <rFont val="Tahoma"/>
            <family val="2"/>
          </rPr>
          <t>Keller, Zach:</t>
        </r>
        <r>
          <rPr>
            <sz val="10"/>
            <color rgb="FF000000"/>
            <rFont val="Tahoma"/>
            <family val="2"/>
          </rPr>
          <t xml:space="preserve">
N: owner per Forbes is City of Oklahoma City. No ownership change found for this season. Source: Forbes team page (Venue section, Oct 2025 list), https://www.forbes.com/teams/oklahoma-city-thunder/</t>
        </r>
      </text>
    </comment>
    <comment ref="F91" authorId="0" shapeId="0" xr:uid="{A5E2656C-3FFD-2F46-8F0E-2E6103FF9842}">
      <text>
        <r>
          <rPr>
            <b/>
            <sz val="10"/>
            <color rgb="FF000000"/>
            <rFont val="Tahoma"/>
            <family val="2"/>
          </rPr>
          <t>Keller, Zach:</t>
        </r>
        <r>
          <rPr>
            <sz val="10"/>
            <color rgb="FF000000"/>
            <rFont val="Tahoma"/>
            <family val="2"/>
          </rPr>
          <t xml:space="preserve">
N: owner per Forbes is City of Oklahoma City. No ownership change found for this season. Source: Forbes team page (Venue section, Oct 2025 list), https://www.forbes.com/teams/oklahoma-city-thunder/</t>
        </r>
      </text>
    </comment>
    <comment ref="G91" authorId="0" shapeId="0" xr:uid="{58E8592C-6E4D-DC49-9D77-F8DC1CF49F93}">
      <text>
        <r>
          <rPr>
            <b/>
            <sz val="10"/>
            <color rgb="FF000000"/>
            <rFont val="Tahoma"/>
            <family val="2"/>
          </rPr>
          <t>Keller, Zach:</t>
        </r>
        <r>
          <rPr>
            <sz val="10"/>
            <color rgb="FF000000"/>
            <rFont val="Tahoma"/>
            <family val="2"/>
          </rPr>
          <t xml:space="preserve">
N: owner per Forbes is City of Oklahoma City. No ownership change found for this season. Source: Forbes team page (Venue section, Oct 2025 list), https://www.forbes.com/teams/oklahoma-city-thunder/</t>
        </r>
      </text>
    </comment>
    <comment ref="H91" authorId="0" shapeId="0" xr:uid="{24C9E306-FFC4-384A-B2B6-765CF40C17E4}">
      <text>
        <r>
          <rPr>
            <b/>
            <sz val="10"/>
            <color rgb="FF000000"/>
            <rFont val="Tahoma"/>
            <family val="2"/>
          </rPr>
          <t>Keller, Zach:</t>
        </r>
        <r>
          <rPr>
            <sz val="10"/>
            <color rgb="FF000000"/>
            <rFont val="Tahoma"/>
            <family val="2"/>
          </rPr>
          <t xml:space="preserve">
N: owner per Forbes is City of Oklahoma City. No ownership change found for this season. Source: Forbes team page (Venue section, Oct 2025 list), https://www.forbes.com/teams/oklahoma-city-thunder/</t>
        </r>
      </text>
    </comment>
    <comment ref="I91" authorId="0" shapeId="0" xr:uid="{D3482CFA-C415-1841-B56C-B09E7CF5C388}">
      <text>
        <r>
          <rPr>
            <b/>
            <sz val="10"/>
            <color rgb="FF000000"/>
            <rFont val="Tahoma"/>
            <family val="2"/>
          </rPr>
          <t>Keller, Zach:</t>
        </r>
        <r>
          <rPr>
            <sz val="10"/>
            <color rgb="FF000000"/>
            <rFont val="Tahoma"/>
            <family val="2"/>
          </rPr>
          <t xml:space="preserve">
N: owner per Forbes is City of Oklahoma City. No ownership change found for this season. Source: Forbes team page (Venue section, Oct 2025 list), https://www.forbes.com/teams/oklahoma-city-thunder/</t>
        </r>
      </text>
    </comment>
    <comment ref="J91" authorId="0" shapeId="0" xr:uid="{1D7E5920-563C-1A47-AE37-036517081091}">
      <text>
        <r>
          <rPr>
            <b/>
            <sz val="10"/>
            <color rgb="FF000000"/>
            <rFont val="Tahoma"/>
            <family val="2"/>
          </rPr>
          <t>Keller, Zach:</t>
        </r>
        <r>
          <rPr>
            <sz val="10"/>
            <color rgb="FF000000"/>
            <rFont val="Tahoma"/>
            <family val="2"/>
          </rPr>
          <t xml:space="preserve">
N: owner per Forbes is City of Oklahoma City. No ownership change found for this season. Source: Forbes team page (Venue section, Oct 2025 list), https://www.forbes.com/teams/oklahoma-city-thunder/</t>
        </r>
      </text>
    </comment>
    <comment ref="K91" authorId="0" shapeId="0" xr:uid="{1F676847-AF80-1D45-840A-C945840FB1C3}">
      <text>
        <r>
          <rPr>
            <b/>
            <sz val="10"/>
            <color rgb="FF000000"/>
            <rFont val="Tahoma"/>
            <family val="2"/>
          </rPr>
          <t>Keller, Zach:</t>
        </r>
        <r>
          <rPr>
            <sz val="10"/>
            <color rgb="FF000000"/>
            <rFont val="Tahoma"/>
            <family val="2"/>
          </rPr>
          <t xml:space="preserve">
N: owner per Forbes is City of Oklahoma City. No ownership change found for this season. Source: Forbes team page (Venue section, Oct 2025 list), https://www.forbes.com/teams/oklahoma-city-thunder/</t>
        </r>
      </text>
    </comment>
    <comment ref="B92" authorId="0" shapeId="0" xr:uid="{11F7BC76-EC01-3B46-A303-7AABD48C2E15}">
      <text>
        <r>
          <rPr>
            <b/>
            <sz val="10"/>
            <color rgb="FF000000"/>
            <rFont val="Tahoma"/>
            <family val="2"/>
          </rPr>
          <t>Keller, Zach:</t>
        </r>
        <r>
          <rPr>
            <sz val="10"/>
            <color rgb="FF000000"/>
            <rFont val="Tahoma"/>
            <family val="2"/>
          </rPr>
          <t xml:space="preserve">
N: owner per Forbes is City of Orlando. No ownership change found for this season. Source: Forbes team page (Venue section, Oct 2025 list), https://www.forbes.com/teams/orlando-magic/</t>
        </r>
      </text>
    </comment>
    <comment ref="C92" authorId="0" shapeId="0" xr:uid="{557FB629-CACE-DA4E-A301-DBDC5E9FD3FE}">
      <text>
        <r>
          <rPr>
            <b/>
            <sz val="10"/>
            <color rgb="FF000000"/>
            <rFont val="Tahoma"/>
            <family val="2"/>
          </rPr>
          <t>Keller, Zach:</t>
        </r>
        <r>
          <rPr>
            <sz val="10"/>
            <color rgb="FF000000"/>
            <rFont val="Tahoma"/>
            <family val="2"/>
          </rPr>
          <t xml:space="preserve">
N: owner per Forbes is City of Orlando. No ownership change found for this season. Source: Forbes team page (Venue section, Oct 2025 list), https://www.forbes.com/teams/orlando-magic/</t>
        </r>
      </text>
    </comment>
    <comment ref="D92" authorId="0" shapeId="0" xr:uid="{9E56810D-FFC1-BE44-B918-FD52EE9C4D94}">
      <text>
        <r>
          <rPr>
            <b/>
            <sz val="10"/>
            <color rgb="FF000000"/>
            <rFont val="Tahoma"/>
            <family val="2"/>
          </rPr>
          <t>Keller, Zach:</t>
        </r>
        <r>
          <rPr>
            <sz val="10"/>
            <color rgb="FF000000"/>
            <rFont val="Tahoma"/>
            <family val="2"/>
          </rPr>
          <t xml:space="preserve">
N: owner per Forbes is City of Orlando. No ownership change found for this season. Source: Forbes team page (Venue section, Oct 2025 list), https://www.forbes.com/teams/orlando-magic/</t>
        </r>
      </text>
    </comment>
    <comment ref="E92" authorId="0" shapeId="0" xr:uid="{31CE52DB-42F0-784C-A3E7-D806A6473EC8}">
      <text>
        <r>
          <rPr>
            <b/>
            <sz val="10"/>
            <color rgb="FF000000"/>
            <rFont val="Tahoma"/>
            <family val="2"/>
          </rPr>
          <t>Keller, Zach:</t>
        </r>
        <r>
          <rPr>
            <sz val="10"/>
            <color rgb="FF000000"/>
            <rFont val="Tahoma"/>
            <family val="2"/>
          </rPr>
          <t xml:space="preserve">
N: owner per Forbes is City of Orlando. No ownership change found for this season. Source: Forbes team page (Venue section, Oct 2025 list), https://www.forbes.com/teams/orlando-magic/</t>
        </r>
      </text>
    </comment>
    <comment ref="F92" authorId="0" shapeId="0" xr:uid="{D8873CF7-0515-D44F-A7A2-217203F4771F}">
      <text>
        <r>
          <rPr>
            <b/>
            <sz val="10"/>
            <color rgb="FF000000"/>
            <rFont val="Tahoma"/>
            <family val="2"/>
          </rPr>
          <t>Keller, Zach:</t>
        </r>
        <r>
          <rPr>
            <sz val="10"/>
            <color rgb="FF000000"/>
            <rFont val="Tahoma"/>
            <family val="2"/>
          </rPr>
          <t xml:space="preserve">
N: owner per Forbes is City of Orlando. No ownership change found for this season. Source: Forbes team page (Venue section, Oct 2025 list), https://www.forbes.com/teams/orlando-magic/</t>
        </r>
      </text>
    </comment>
    <comment ref="G92" authorId="0" shapeId="0" xr:uid="{2B506DF7-8D15-9443-8A20-BDC029B83838}">
      <text>
        <r>
          <rPr>
            <b/>
            <sz val="10"/>
            <color rgb="FF000000"/>
            <rFont val="Tahoma"/>
            <family val="2"/>
          </rPr>
          <t>Keller, Zach:</t>
        </r>
        <r>
          <rPr>
            <sz val="10"/>
            <color rgb="FF000000"/>
            <rFont val="Tahoma"/>
            <family val="2"/>
          </rPr>
          <t xml:space="preserve">
N: owner per Forbes is City of Orlando. No ownership change found for this season. Source: Forbes team page (Venue section, Oct 2025 list), https://www.forbes.com/teams/orlando-magic/</t>
        </r>
      </text>
    </comment>
    <comment ref="H92" authorId="0" shapeId="0" xr:uid="{FABFE7ED-45C3-2C4F-ACF8-9E92C95C7B10}">
      <text>
        <r>
          <rPr>
            <b/>
            <sz val="10"/>
            <color rgb="FF000000"/>
            <rFont val="Tahoma"/>
            <family val="2"/>
          </rPr>
          <t>Keller, Zach:</t>
        </r>
        <r>
          <rPr>
            <sz val="10"/>
            <color rgb="FF000000"/>
            <rFont val="Tahoma"/>
            <family val="2"/>
          </rPr>
          <t xml:space="preserve">
N: owner per Forbes is City of Orlando. No ownership change found for this season. Source: Forbes team page (Venue section, Oct 2025 list), https://www.forbes.com/teams/orlando-magic/</t>
        </r>
      </text>
    </comment>
    <comment ref="I92" authorId="0" shapeId="0" xr:uid="{979F5E23-EDA9-0842-8244-AB2A29457CC9}">
      <text>
        <r>
          <rPr>
            <b/>
            <sz val="10"/>
            <color rgb="FF000000"/>
            <rFont val="Tahoma"/>
            <family val="2"/>
          </rPr>
          <t>Keller, Zach:</t>
        </r>
        <r>
          <rPr>
            <sz val="10"/>
            <color rgb="FF000000"/>
            <rFont val="Tahoma"/>
            <family val="2"/>
          </rPr>
          <t xml:space="preserve">
N: owner per Forbes is City of Orlando. No ownership change found for this season. Source: Forbes team page (Venue section, Oct 2025 list), https://www.forbes.com/teams/orlando-magic/</t>
        </r>
      </text>
    </comment>
    <comment ref="J92" authorId="0" shapeId="0" xr:uid="{4A775CF2-7DF1-DB46-B933-254ABF9AB7B6}">
      <text>
        <r>
          <rPr>
            <b/>
            <sz val="10"/>
            <color rgb="FF000000"/>
            <rFont val="Tahoma"/>
            <family val="2"/>
          </rPr>
          <t>Keller, Zach:</t>
        </r>
        <r>
          <rPr>
            <sz val="10"/>
            <color rgb="FF000000"/>
            <rFont val="Tahoma"/>
            <family val="2"/>
          </rPr>
          <t xml:space="preserve">
N: owner per Forbes is City of Orlando. No ownership change found for this season. Source: Forbes team page (Venue section, Oct 2025 list), https://www.forbes.com/teams/orlando-magic/</t>
        </r>
      </text>
    </comment>
    <comment ref="K92" authorId="0" shapeId="0" xr:uid="{734E83F8-ADEB-B247-8356-7E3D3EDE929A}">
      <text>
        <r>
          <rPr>
            <b/>
            <sz val="10"/>
            <color rgb="FF000000"/>
            <rFont val="Tahoma"/>
            <family val="2"/>
          </rPr>
          <t>Keller, Zach:</t>
        </r>
        <r>
          <rPr>
            <sz val="10"/>
            <color rgb="FF000000"/>
            <rFont val="Tahoma"/>
            <family val="2"/>
          </rPr>
          <t xml:space="preserve">
N: owner per Forbes is City of Orlando. No ownership change found for this season. Source: Forbes team page (Venue section, Oct 2025 list), https://www.forbes.com/teams/orlando-magic/</t>
        </r>
      </text>
    </comment>
    <comment ref="B93" authorId="0" shapeId="0" xr:uid="{8C6B3E24-5256-424B-8759-938C94C534A6}">
      <text>
        <r>
          <rPr>
            <b/>
            <sz val="10"/>
            <color rgb="FF000000"/>
            <rFont val="Tahoma"/>
            <family val="2"/>
          </rPr>
          <t>Keller, Zach:</t>
        </r>
        <r>
          <rPr>
            <sz val="10"/>
            <color rgb="FF000000"/>
            <rFont val="Tahoma"/>
            <family val="2"/>
          </rPr>
          <t xml:space="preserve">
N: owner per Forbes is Comcast Spectacor. No ownership change found for this season. Source: Forbes team page (Venue section, Oct 2025 list), https://www.forbes.com/teams/philadelphia-76ers/</t>
        </r>
      </text>
    </comment>
    <comment ref="C93" authorId="0" shapeId="0" xr:uid="{925ABFAE-1BFB-E74F-BFFF-0309472B2BDE}">
      <text>
        <r>
          <rPr>
            <b/>
            <sz val="10"/>
            <color rgb="FF000000"/>
            <rFont val="Tahoma"/>
            <family val="2"/>
          </rPr>
          <t>Keller, Zach:</t>
        </r>
        <r>
          <rPr>
            <sz val="10"/>
            <color rgb="FF000000"/>
            <rFont val="Tahoma"/>
            <family val="2"/>
          </rPr>
          <t xml:space="preserve">
N: owner per Forbes is Comcast Spectacor. No ownership change found for this season. Source: Forbes team page (Venue section, Oct 2025 list), https://www.forbes.com/teams/philadelphia-76ers/</t>
        </r>
      </text>
    </comment>
    <comment ref="D93" authorId="0" shapeId="0" xr:uid="{D781F4DE-4B8C-FA4F-BA50-4010C805C6A1}">
      <text>
        <r>
          <rPr>
            <b/>
            <sz val="10"/>
            <color rgb="FF000000"/>
            <rFont val="Tahoma"/>
            <family val="2"/>
          </rPr>
          <t>Keller, Zach:</t>
        </r>
        <r>
          <rPr>
            <sz val="10"/>
            <color rgb="FF000000"/>
            <rFont val="Tahoma"/>
            <family val="2"/>
          </rPr>
          <t xml:space="preserve">
N: owner per Forbes is Comcast Spectacor. No ownership change found for this season. Source: Forbes team page (Venue section, Oct 2025 list), https://www.forbes.com/teams/philadelphia-76ers/</t>
        </r>
      </text>
    </comment>
    <comment ref="E93" authorId="0" shapeId="0" xr:uid="{EEF5A314-A1E2-0144-AB56-B43B2542D7BE}">
      <text>
        <r>
          <rPr>
            <b/>
            <sz val="10"/>
            <color rgb="FF000000"/>
            <rFont val="Tahoma"/>
            <family val="2"/>
          </rPr>
          <t>Keller, Zach:</t>
        </r>
        <r>
          <rPr>
            <sz val="10"/>
            <color rgb="FF000000"/>
            <rFont val="Tahoma"/>
            <family val="2"/>
          </rPr>
          <t xml:space="preserve">
N: owner per Forbes is Comcast Spectacor. No ownership change found for this season. Source: Forbes team page (Venue section, Oct 2025 list), https://www.forbes.com/teams/philadelphia-76ers/</t>
        </r>
      </text>
    </comment>
    <comment ref="F93" authorId="0" shapeId="0" xr:uid="{73EE3633-5EB4-2E4B-B041-1BF3B3CBA53F}">
      <text>
        <r>
          <rPr>
            <b/>
            <sz val="10"/>
            <color rgb="FF000000"/>
            <rFont val="Tahoma"/>
            <family val="2"/>
          </rPr>
          <t>Keller, Zach:</t>
        </r>
        <r>
          <rPr>
            <sz val="10"/>
            <color rgb="FF000000"/>
            <rFont val="Tahoma"/>
            <family val="2"/>
          </rPr>
          <t xml:space="preserve">
N: owner per Forbes is Comcast Spectacor. No ownership change found for this season. Source: Forbes team page (Venue section, Oct 2025 list), https://www.forbes.com/teams/philadelphia-76ers/</t>
        </r>
      </text>
    </comment>
    <comment ref="G93" authorId="0" shapeId="0" xr:uid="{5FFBFFC2-AE37-BB43-8652-947ECE4786F5}">
      <text>
        <r>
          <rPr>
            <b/>
            <sz val="10"/>
            <color rgb="FF000000"/>
            <rFont val="Tahoma"/>
            <family val="2"/>
          </rPr>
          <t>Keller, Zach:</t>
        </r>
        <r>
          <rPr>
            <sz val="10"/>
            <color rgb="FF000000"/>
            <rFont val="Tahoma"/>
            <family val="2"/>
          </rPr>
          <t xml:space="preserve">
N: owner per Forbes is Comcast Spectacor. No ownership change found for this season. Source: Forbes team page (Venue section, Oct 2025 list), https://www.forbes.com/teams/philadelphia-76ers/</t>
        </r>
      </text>
    </comment>
    <comment ref="H93" authorId="0" shapeId="0" xr:uid="{F24F7900-4638-2C41-9859-2FAFFD577AD1}">
      <text>
        <r>
          <rPr>
            <b/>
            <sz val="10"/>
            <color rgb="FF000000"/>
            <rFont val="Tahoma"/>
            <family val="2"/>
          </rPr>
          <t>Keller, Zach:</t>
        </r>
        <r>
          <rPr>
            <sz val="10"/>
            <color rgb="FF000000"/>
            <rFont val="Tahoma"/>
            <family val="2"/>
          </rPr>
          <t xml:space="preserve">
N: owner per Forbes is Comcast Spectacor. No ownership change found for this season. Source: Forbes team page (Venue section, Oct 2025 list), https://www.forbes.com/teams/philadelphia-76ers/</t>
        </r>
      </text>
    </comment>
    <comment ref="I93" authorId="0" shapeId="0" xr:uid="{3D8E24BB-91B4-6F4D-A8CB-A69B79BDD084}">
      <text>
        <r>
          <rPr>
            <b/>
            <sz val="10"/>
            <color rgb="FF000000"/>
            <rFont val="Tahoma"/>
            <family val="2"/>
          </rPr>
          <t>Keller, Zach:</t>
        </r>
        <r>
          <rPr>
            <sz val="10"/>
            <color rgb="FF000000"/>
            <rFont val="Tahoma"/>
            <family val="2"/>
          </rPr>
          <t xml:space="preserve">
N: owner per Forbes is Comcast Spectacor. No ownership change found for this season. Source: Forbes team page (Venue section, Oct 2025 list), https://www.forbes.com/teams/philadelphia-76ers/</t>
        </r>
      </text>
    </comment>
    <comment ref="J93" authorId="0" shapeId="0" xr:uid="{8379F8A3-52CA-814F-A0D3-6D71C73253F6}">
      <text>
        <r>
          <rPr>
            <b/>
            <sz val="10"/>
            <color rgb="FF000000"/>
            <rFont val="Tahoma"/>
            <family val="2"/>
          </rPr>
          <t>Keller, Zach:</t>
        </r>
        <r>
          <rPr>
            <sz val="10"/>
            <color rgb="FF000000"/>
            <rFont val="Tahoma"/>
            <family val="2"/>
          </rPr>
          <t xml:space="preserve">
N: owner per Forbes is Comcast Spectacor. No ownership change found for this season. Source: Forbes team page (Venue section, Oct 2025 list), https://www.forbes.com/teams/philadelphia-76ers/</t>
        </r>
      </text>
    </comment>
    <comment ref="K93" authorId="0" shapeId="0" xr:uid="{20350C09-C601-A644-B9AA-3B60B1FEDC55}">
      <text>
        <r>
          <rPr>
            <b/>
            <sz val="10"/>
            <color rgb="FF000000"/>
            <rFont val="Tahoma"/>
            <family val="2"/>
          </rPr>
          <t>Keller, Zach:</t>
        </r>
        <r>
          <rPr>
            <sz val="10"/>
            <color rgb="FF000000"/>
            <rFont val="Tahoma"/>
            <family val="2"/>
          </rPr>
          <t xml:space="preserve">
N: owner per Forbes is Comcast Spectacor. No ownership change found for this season. Source: Forbes team page (Venue section, Oct 2025 list), https://www.forbes.com/teams/philadelphia-76ers/</t>
        </r>
      </text>
    </comment>
    <comment ref="B94" authorId="0" shapeId="0" xr:uid="{98AC383C-1788-0349-AB5B-9F5368C5182F}">
      <text>
        <r>
          <rPr>
            <b/>
            <sz val="10"/>
            <color rgb="FF000000"/>
            <rFont val="Tahoma"/>
            <family val="2"/>
          </rPr>
          <t>Keller, Zach:</t>
        </r>
        <r>
          <rPr>
            <sz val="10"/>
            <color rgb="FF000000"/>
            <rFont val="Tahoma"/>
            <family val="2"/>
          </rPr>
          <t xml:space="preserve">
N: owner per Forbes is City of Phoenix. No ownership change found for this season. Source: Forbes team page (Venue section, Oct 2025 list), https://www.forbes.com/teams/phoenix-suns/</t>
        </r>
      </text>
    </comment>
    <comment ref="C94" authorId="0" shapeId="0" xr:uid="{91FBB461-0E21-C343-8FF5-0EA153C35FC8}">
      <text>
        <r>
          <rPr>
            <b/>
            <sz val="10"/>
            <color rgb="FF000000"/>
            <rFont val="Tahoma"/>
            <family val="2"/>
          </rPr>
          <t>Keller, Zach:</t>
        </r>
        <r>
          <rPr>
            <sz val="10"/>
            <color rgb="FF000000"/>
            <rFont val="Tahoma"/>
            <family val="2"/>
          </rPr>
          <t xml:space="preserve">
N: owner per Forbes is City of Phoenix. No ownership change found for this season. Source: Forbes team page (Venue section, Oct 2025 list), https://www.forbes.com/teams/phoenix-suns/</t>
        </r>
      </text>
    </comment>
    <comment ref="D94" authorId="0" shapeId="0" xr:uid="{E0823D56-5308-E341-89D6-A0B881A48F0D}">
      <text>
        <r>
          <rPr>
            <b/>
            <sz val="10"/>
            <color rgb="FF000000"/>
            <rFont val="Tahoma"/>
            <family val="2"/>
          </rPr>
          <t>Keller, Zach:</t>
        </r>
        <r>
          <rPr>
            <sz val="10"/>
            <color rgb="FF000000"/>
            <rFont val="Tahoma"/>
            <family val="2"/>
          </rPr>
          <t xml:space="preserve">
N: owner per Forbes is City of Phoenix. No ownership change found for this season. Source: Forbes team page (Venue section, Oct 2025 list), https://www.forbes.com/teams/phoenix-suns/</t>
        </r>
      </text>
    </comment>
    <comment ref="E94" authorId="0" shapeId="0" xr:uid="{E94DB834-A8EB-1E44-8F04-917E3D6220E6}">
      <text>
        <r>
          <rPr>
            <b/>
            <sz val="10"/>
            <color rgb="FF000000"/>
            <rFont val="Tahoma"/>
            <family val="2"/>
          </rPr>
          <t>Keller, Zach:</t>
        </r>
        <r>
          <rPr>
            <sz val="10"/>
            <color rgb="FF000000"/>
            <rFont val="Tahoma"/>
            <family val="2"/>
          </rPr>
          <t xml:space="preserve">
N: owner per Forbes is City of Phoenix. No ownership change found for this season. Source: Forbes team page (Venue section, Oct 2025 list), https://www.forbes.com/teams/phoenix-suns/</t>
        </r>
      </text>
    </comment>
    <comment ref="F94" authorId="0" shapeId="0" xr:uid="{1D9FD602-5764-074A-A9ED-296FC1E99B91}">
      <text>
        <r>
          <rPr>
            <b/>
            <sz val="10"/>
            <color rgb="FF000000"/>
            <rFont val="Tahoma"/>
            <family val="2"/>
          </rPr>
          <t>Keller, Zach:</t>
        </r>
        <r>
          <rPr>
            <sz val="10"/>
            <color rgb="FF000000"/>
            <rFont val="Tahoma"/>
            <family val="2"/>
          </rPr>
          <t xml:space="preserve">
N: owner per Forbes is City of Phoenix. No ownership change found for this season. Source: Forbes team page (Venue section, Oct 2025 list), https://www.forbes.com/teams/phoenix-suns/</t>
        </r>
      </text>
    </comment>
    <comment ref="G94" authorId="0" shapeId="0" xr:uid="{F6789A7E-3223-D648-8B05-A3F2344B28A3}">
      <text>
        <r>
          <rPr>
            <b/>
            <sz val="10"/>
            <color rgb="FF000000"/>
            <rFont val="Tahoma"/>
            <family val="2"/>
          </rPr>
          <t>Keller, Zach:</t>
        </r>
        <r>
          <rPr>
            <sz val="10"/>
            <color rgb="FF000000"/>
            <rFont val="Tahoma"/>
            <family val="2"/>
          </rPr>
          <t xml:space="preserve">
N: owner per Forbes is City of Phoenix. No ownership change found for this season. Source: Forbes team page (Venue section, Oct 2025 list), https://www.forbes.com/teams/phoenix-suns/</t>
        </r>
      </text>
    </comment>
    <comment ref="H94" authorId="0" shapeId="0" xr:uid="{5A764756-2012-9741-B763-D2923E2BF40C}">
      <text>
        <r>
          <rPr>
            <b/>
            <sz val="10"/>
            <color rgb="FF000000"/>
            <rFont val="Tahoma"/>
            <family val="2"/>
          </rPr>
          <t>Keller, Zach:</t>
        </r>
        <r>
          <rPr>
            <sz val="10"/>
            <color rgb="FF000000"/>
            <rFont val="Tahoma"/>
            <family val="2"/>
          </rPr>
          <t xml:space="preserve">
N: owner per Forbes is City of Phoenix. No ownership change found for this season. Source: Forbes team page (Venue section, Oct 2025 list), https://www.forbes.com/teams/phoenix-suns/</t>
        </r>
      </text>
    </comment>
    <comment ref="I94" authorId="0" shapeId="0" xr:uid="{262A1942-305F-F849-9E4A-BB1B9AB03193}">
      <text>
        <r>
          <rPr>
            <b/>
            <sz val="10"/>
            <color rgb="FF000000"/>
            <rFont val="Tahoma"/>
            <family val="2"/>
          </rPr>
          <t>Keller, Zach:</t>
        </r>
        <r>
          <rPr>
            <sz val="10"/>
            <color rgb="FF000000"/>
            <rFont val="Tahoma"/>
            <family val="2"/>
          </rPr>
          <t xml:space="preserve">
N: owner per Forbes is City of Phoenix. No ownership change found for this season. Source: Forbes team page (Venue section, Oct 2025 list), https://www.forbes.com/teams/phoenix-suns/</t>
        </r>
      </text>
    </comment>
    <comment ref="J94" authorId="0" shapeId="0" xr:uid="{48EC5CC7-D045-3C4F-A080-AB3A05D64CD1}">
      <text>
        <r>
          <rPr>
            <b/>
            <sz val="10"/>
            <color rgb="FF000000"/>
            <rFont val="Tahoma"/>
            <family val="2"/>
          </rPr>
          <t>Keller, Zach:</t>
        </r>
        <r>
          <rPr>
            <sz val="10"/>
            <color rgb="FF000000"/>
            <rFont val="Tahoma"/>
            <family val="2"/>
          </rPr>
          <t xml:space="preserve">
N: owner per Forbes is City of Phoenix. No ownership change found for this season. Source: Forbes team page (Venue section, Oct 2025 list), https://www.forbes.com/teams/phoenix-suns/</t>
        </r>
      </text>
    </comment>
    <comment ref="K94" authorId="0" shapeId="0" xr:uid="{A42D0A01-9B03-9640-8087-A816269BEB5C}">
      <text>
        <r>
          <rPr>
            <b/>
            <sz val="10"/>
            <color rgb="FF000000"/>
            <rFont val="Tahoma"/>
            <family val="2"/>
          </rPr>
          <t>Keller, Zach:</t>
        </r>
        <r>
          <rPr>
            <sz val="10"/>
            <color rgb="FF000000"/>
            <rFont val="Tahoma"/>
            <family val="2"/>
          </rPr>
          <t xml:space="preserve">
N: owner per Forbes is City of Phoenix. No ownership change found for this season. Source: Forbes team page (Venue section, Oct 2025 list), https://www.forbes.com/teams/phoenix-suns/</t>
        </r>
      </text>
    </comment>
    <comment ref="B95" authorId="0" shapeId="0" xr:uid="{4918B945-800E-A241-BBF9-EFCF704BF347}">
      <text>
        <r>
          <rPr>
            <b/>
            <sz val="10"/>
            <color rgb="FF000000"/>
            <rFont val="Tahoma"/>
            <family val="2"/>
          </rPr>
          <t>Keller, Zach:</t>
        </r>
        <r>
          <rPr>
            <sz val="10"/>
            <color rgb="FF000000"/>
            <rFont val="Tahoma"/>
            <family val="2"/>
          </rPr>
          <t xml:space="preserve">
Y: building owned by Vulcan / Rip City Management (Paul Allen-controlled sister company of the Blazers) until the City of Portland bought it in Aug 2024. Source: Rose Garden Report, https://www.rosegardenreport.com/portland-city-council-approves-trail/ ; KGW, https://www.kgw.com/article/money/business/portland-moda-center-portland-trail-blazer/283-22103ef2-7ccc-4760-9da6-834fa03e9770</t>
        </r>
      </text>
    </comment>
    <comment ref="C95" authorId="0" shapeId="0" xr:uid="{F92C874B-758F-D44B-999E-F411381197E5}">
      <text>
        <r>
          <rPr>
            <b/>
            <sz val="10"/>
            <color rgb="FF000000"/>
            <rFont val="Tahoma"/>
            <family val="2"/>
          </rPr>
          <t>Keller, Zach:</t>
        </r>
        <r>
          <rPr>
            <sz val="10"/>
            <color rgb="FF000000"/>
            <rFont val="Tahoma"/>
            <family val="2"/>
          </rPr>
          <t xml:space="preserve">
Y: building owned by Vulcan / Rip City Management (Paul Allen-controlled sister company of the Blazers) until the City of Portland bought it in Aug 2024. Source: Rose Garden Report, https://www.rosegardenreport.com/portland-city-council-approves-trail/ ; KGW, https://www.kgw.com/article/money/business/portland-moda-center-portland-trail-blazer/283-22103ef2-7ccc-4760-9da6-834fa03e9770</t>
        </r>
      </text>
    </comment>
    <comment ref="D95" authorId="0" shapeId="0" xr:uid="{B1A93123-C358-914A-B6E7-6A3D1691CEB5}">
      <text>
        <r>
          <rPr>
            <b/>
            <sz val="10"/>
            <color rgb="FF000000"/>
            <rFont val="Tahoma"/>
            <family val="2"/>
          </rPr>
          <t>Keller, Zach:</t>
        </r>
        <r>
          <rPr>
            <sz val="10"/>
            <color rgb="FF000000"/>
            <rFont val="Tahoma"/>
            <family val="2"/>
          </rPr>
          <t xml:space="preserve">
Y: building owned by Vulcan / Rip City Management (Paul Allen-controlled sister company of the Blazers) until the City of Portland bought it in Aug 2024. Source: Rose Garden Report, https://www.rosegardenreport.com/portland-city-council-approves-trail/ ; KGW, https://www.kgw.com/article/money/business/portland-moda-center-portland-trail-blazer/283-22103ef2-7ccc-4760-9da6-834fa03e9770</t>
        </r>
      </text>
    </comment>
    <comment ref="E95" authorId="0" shapeId="0" xr:uid="{58AAA357-62AE-7245-ABC5-09E11EBC010B}">
      <text>
        <r>
          <rPr>
            <b/>
            <sz val="10"/>
            <color rgb="FF000000"/>
            <rFont val="Tahoma"/>
            <family val="2"/>
          </rPr>
          <t>Keller, Zach:</t>
        </r>
        <r>
          <rPr>
            <sz val="10"/>
            <color rgb="FF000000"/>
            <rFont val="Tahoma"/>
            <family val="2"/>
          </rPr>
          <t xml:space="preserve">
Y: building owned by Vulcan / Rip City Management (Paul Allen-controlled sister company of the Blazers) until the City of Portland bought it in Aug 2024. Source: Rose Garden Report, https://www.rosegardenreport.com/portland-city-council-approves-trail/ ; KGW, https://www.kgw.com/article/money/business/portland-moda-center-portland-trail-blazer/283-22103ef2-7ccc-4760-9da6-834fa03e9770</t>
        </r>
      </text>
    </comment>
    <comment ref="F95" authorId="0" shapeId="0" xr:uid="{ABD48206-9AA0-B544-ACAB-56369163EEA6}">
      <text>
        <r>
          <rPr>
            <b/>
            <sz val="10"/>
            <color rgb="FF000000"/>
            <rFont val="Tahoma"/>
            <family val="2"/>
          </rPr>
          <t>Keller, Zach:</t>
        </r>
        <r>
          <rPr>
            <sz val="10"/>
            <color rgb="FF000000"/>
            <rFont val="Tahoma"/>
            <family val="2"/>
          </rPr>
          <t xml:space="preserve">
Y: building owned by Vulcan / Rip City Management (Paul Allen-controlled sister company of the Blazers) until the City of Portland bought it in Aug 2024. Source: Rose Garden Report, https://www.rosegardenreport.com/portland-city-council-approves-trail/ ; KGW, https://www.kgw.com/article/money/business/portland-moda-center-portland-trail-blazer/283-22103ef2-7ccc-4760-9da6-834fa03e9770</t>
        </r>
      </text>
    </comment>
    <comment ref="G95" authorId="0" shapeId="0" xr:uid="{24B89FEB-DB00-454B-B892-574547748B90}">
      <text>
        <r>
          <rPr>
            <b/>
            <sz val="10"/>
            <color rgb="FF000000"/>
            <rFont val="Tahoma"/>
            <family val="2"/>
          </rPr>
          <t>Keller, Zach:</t>
        </r>
        <r>
          <rPr>
            <sz val="10"/>
            <color rgb="FF000000"/>
            <rFont val="Tahoma"/>
            <family val="2"/>
          </rPr>
          <t xml:space="preserve">
Y: building owned by Vulcan / Rip City Management (Paul Allen-controlled sister company of the Blazers) until the City of Portland bought it in Aug 2024. Source: Rose Garden Report, https://www.rosegardenreport.com/portland-city-council-approves-trail/ ; KGW, https://www.kgw.com/article/money/business/portland-moda-center-portland-trail-blazer/283-22103ef2-7ccc-4760-9da6-834fa03e9770</t>
        </r>
      </text>
    </comment>
    <comment ref="H95" authorId="0" shapeId="0" xr:uid="{293AD723-BF2F-8E4B-91DE-9191C9111659}">
      <text>
        <r>
          <rPr>
            <b/>
            <sz val="10"/>
            <color rgb="FF000000"/>
            <rFont val="Tahoma"/>
            <family val="2"/>
          </rPr>
          <t>Keller, Zach:</t>
        </r>
        <r>
          <rPr>
            <sz val="10"/>
            <color rgb="FF000000"/>
            <rFont val="Tahoma"/>
            <family val="2"/>
          </rPr>
          <t xml:space="preserve">
Y: building owned by Vulcan / Rip City Management (Paul Allen-controlled sister company of the Blazers) until the City of Portland bought it in Aug 2024. Source: Rose Garden Report, https://www.rosegardenreport.com/portland-city-council-approves-trail/ ; KGW, https://www.kgw.com/article/money/business/portland-moda-center-portland-trail-blazer/283-22103ef2-7ccc-4760-9da6-834fa03e9770</t>
        </r>
      </text>
    </comment>
    <comment ref="I95" authorId="0" shapeId="0" xr:uid="{07B99452-53EC-B346-AAC6-CA3B98B65B36}">
      <text>
        <r>
          <rPr>
            <b/>
            <sz val="10"/>
            <color rgb="FF000000"/>
            <rFont val="Tahoma"/>
            <family val="2"/>
          </rPr>
          <t>Keller, Zach:</t>
        </r>
        <r>
          <rPr>
            <sz val="10"/>
            <color rgb="FF000000"/>
            <rFont val="Tahoma"/>
            <family val="2"/>
          </rPr>
          <t xml:space="preserve">
Y: building owned by Vulcan / Rip City Management (Paul Allen-controlled sister company of the Blazers) until the City of Portland bought it in Aug 2024. Source: Rose Garden Report, https://www.rosegardenreport.com/portland-city-council-approves-trail/ ; KGW, https://www.kgw.com/article/money/business/portland-moda-center-portland-trail-blazer/283-22103ef2-7ccc-4760-9da6-834fa03e9770</t>
        </r>
      </text>
    </comment>
    <comment ref="J95" authorId="0" shapeId="0" xr:uid="{897FABCE-FF6C-6A42-A156-6BD5B96E46C8}">
      <text>
        <r>
          <rPr>
            <b/>
            <sz val="10"/>
            <color rgb="FF000000"/>
            <rFont val="Tahoma"/>
            <family val="2"/>
          </rPr>
          <t>Keller, Zach:</t>
        </r>
        <r>
          <rPr>
            <sz val="10"/>
            <color rgb="FF000000"/>
            <rFont val="Tahoma"/>
            <family val="2"/>
          </rPr>
          <t xml:space="preserve">
Y: building owned by Vulcan / Rip City Management (Paul Allen-controlled sister company of the Blazers) until the City of Portland bought it in Aug 2024. Source: Rose Garden Report, https://www.rosegardenreport.com/portland-city-council-approves-trail/ ; KGW, https://www.kgw.com/article/money/business/portland-moda-center-portland-trail-blazer/283-22103ef2-7ccc-4760-9da6-834fa03e9770</t>
        </r>
      </text>
    </comment>
    <comment ref="K95" authorId="0" shapeId="0" xr:uid="{911A519C-21A0-A348-A391-EA0E633B2706}">
      <text>
        <r>
          <rPr>
            <b/>
            <sz val="10"/>
            <color rgb="FF000000"/>
            <rFont val="Tahoma"/>
            <family val="2"/>
          </rPr>
          <t>Keller, Zach:</t>
        </r>
        <r>
          <rPr>
            <sz val="10"/>
            <color rgb="FF000000"/>
            <rFont val="Tahoma"/>
            <family val="2"/>
          </rPr>
          <t xml:space="preserve">
N: Portland City Council approved buying the Moda Center on Aug 7 2024, before the 2024–25 season. Source: KOIN, https://www.koin.com/news/politics/city-moda-center-plan-major-renovation/</t>
        </r>
      </text>
    </comment>
    <comment ref="B96" authorId="0" shapeId="0" xr:uid="{9B6A03C3-7857-7847-8F04-004F03DEACAE}">
      <text>
        <r>
          <rPr>
            <b/>
            <sz val="10"/>
            <color rgb="FF000000"/>
            <rFont val="Tahoma"/>
            <family val="2"/>
          </rPr>
          <t>Keller, Zach:</t>
        </r>
        <r>
          <rPr>
            <sz val="10"/>
            <color rgb="FF000000"/>
            <rFont val="Tahoma"/>
            <family val="2"/>
          </rPr>
          <t xml:space="preserve">
Y: the Kings controlled the arena site. Source: RetroSeasons (secondary), https://www.retroseasons.com/stadiums/sleep-train-arena/</t>
        </r>
      </text>
    </comment>
    <comment ref="C96" authorId="0" shapeId="0" xr:uid="{DBBEE687-EFD4-2E42-819A-D316FBDCC4BD}">
      <text>
        <r>
          <rPr>
            <b/>
            <sz val="10"/>
            <color rgb="FF000000"/>
            <rFont val="Tahoma"/>
            <family val="2"/>
          </rPr>
          <t>Keller, Zach:</t>
        </r>
        <r>
          <rPr>
            <sz val="10"/>
            <color rgb="FF000000"/>
            <rFont val="Tahoma"/>
            <family val="2"/>
          </rPr>
          <t xml:space="preserve">
N: owner per Forbes is City of Sacramento. No ownership change found for this season. Source: Forbes team page (Venue section, Oct 2025 list), https://www.forbes.com/teams/sacramento-kings/</t>
        </r>
      </text>
    </comment>
    <comment ref="D96" authorId="0" shapeId="0" xr:uid="{C6F93A12-A2B6-094C-B7DD-5FF20DA35931}">
      <text>
        <r>
          <rPr>
            <b/>
            <sz val="10"/>
            <color rgb="FF000000"/>
            <rFont val="Tahoma"/>
            <family val="2"/>
          </rPr>
          <t>Keller, Zach:</t>
        </r>
        <r>
          <rPr>
            <sz val="10"/>
            <color rgb="FF000000"/>
            <rFont val="Tahoma"/>
            <family val="2"/>
          </rPr>
          <t xml:space="preserve">
N: owner per Forbes is City of Sacramento. No ownership change found for this season. Source: Forbes team page (Venue section, Oct 2025 list), https://www.forbes.com/teams/sacramento-kings/</t>
        </r>
      </text>
    </comment>
    <comment ref="E96" authorId="0" shapeId="0" xr:uid="{F40A4A13-D4BA-C94C-84B5-33224F697C24}">
      <text>
        <r>
          <rPr>
            <b/>
            <sz val="10"/>
            <color rgb="FF000000"/>
            <rFont val="Tahoma"/>
            <family val="2"/>
          </rPr>
          <t>Keller, Zach:</t>
        </r>
        <r>
          <rPr>
            <sz val="10"/>
            <color rgb="FF000000"/>
            <rFont val="Tahoma"/>
            <family val="2"/>
          </rPr>
          <t xml:space="preserve">
N: owner per Forbes is City of Sacramento. No ownership change found for this season. Source: Forbes team page (Venue section, Oct 2025 list), https://www.forbes.com/teams/sacramento-kings/</t>
        </r>
      </text>
    </comment>
    <comment ref="F96" authorId="0" shapeId="0" xr:uid="{2FD886B1-74F3-2743-BAD5-CAB8D17FB364}">
      <text>
        <r>
          <rPr>
            <b/>
            <sz val="10"/>
            <color rgb="FF000000"/>
            <rFont val="Tahoma"/>
            <family val="2"/>
          </rPr>
          <t>Keller, Zach:</t>
        </r>
        <r>
          <rPr>
            <sz val="10"/>
            <color rgb="FF000000"/>
            <rFont val="Tahoma"/>
            <family val="2"/>
          </rPr>
          <t xml:space="preserve">
N: owner per Forbes is City of Sacramento. No ownership change found for this season. Source: Forbes team page (Venue section, Oct 2025 list), https://www.forbes.com/teams/sacramento-kings/</t>
        </r>
      </text>
    </comment>
    <comment ref="G96" authorId="0" shapeId="0" xr:uid="{36D9E562-C8CA-AA4B-91F0-ED785198AF5E}">
      <text>
        <r>
          <rPr>
            <b/>
            <sz val="10"/>
            <color rgb="FF000000"/>
            <rFont val="Tahoma"/>
            <family val="2"/>
          </rPr>
          <t>Keller, Zach:</t>
        </r>
        <r>
          <rPr>
            <sz val="10"/>
            <color rgb="FF000000"/>
            <rFont val="Tahoma"/>
            <family val="2"/>
          </rPr>
          <t xml:space="preserve">
N: owner per Forbes is City of Sacramento. No ownership change found for this season. Source: Forbes team page (Venue section, Oct 2025 list), https://www.forbes.com/teams/sacramento-kings/</t>
        </r>
      </text>
    </comment>
    <comment ref="H96" authorId="0" shapeId="0" xr:uid="{7E727DA0-CD08-3A40-A1B8-56AFD04D4C74}">
      <text>
        <r>
          <rPr>
            <b/>
            <sz val="10"/>
            <color rgb="FF000000"/>
            <rFont val="Tahoma"/>
            <family val="2"/>
          </rPr>
          <t>Keller, Zach:</t>
        </r>
        <r>
          <rPr>
            <sz val="10"/>
            <color rgb="FF000000"/>
            <rFont val="Tahoma"/>
            <family val="2"/>
          </rPr>
          <t xml:space="preserve">
N: owner per Forbes is City of Sacramento. No ownership change found for this season. Source: Forbes team page (Venue section, Oct 2025 list), https://www.forbes.com/teams/sacramento-kings/</t>
        </r>
      </text>
    </comment>
    <comment ref="I96" authorId="0" shapeId="0" xr:uid="{B1B525D8-F402-9F41-AD1A-C7077FF52332}">
      <text>
        <r>
          <rPr>
            <b/>
            <sz val="10"/>
            <color rgb="FF000000"/>
            <rFont val="Tahoma"/>
            <family val="2"/>
          </rPr>
          <t>Keller, Zach:</t>
        </r>
        <r>
          <rPr>
            <sz val="10"/>
            <color rgb="FF000000"/>
            <rFont val="Tahoma"/>
            <family val="2"/>
          </rPr>
          <t xml:space="preserve">
N: owner per Forbes is City of Sacramento. No ownership change found for this season. Source: Forbes team page (Venue section, Oct 2025 list), https://www.forbes.com/teams/sacramento-kings/</t>
        </r>
      </text>
    </comment>
    <comment ref="J96" authorId="0" shapeId="0" xr:uid="{476E7ACA-7366-1D44-9EC7-C539B17DBD2E}">
      <text>
        <r>
          <rPr>
            <b/>
            <sz val="10"/>
            <color rgb="FF000000"/>
            <rFont val="Tahoma"/>
            <family val="2"/>
          </rPr>
          <t>Keller, Zach:</t>
        </r>
        <r>
          <rPr>
            <sz val="10"/>
            <color rgb="FF000000"/>
            <rFont val="Tahoma"/>
            <family val="2"/>
          </rPr>
          <t xml:space="preserve">
N: owner per Forbes is City of Sacramento. No ownership change found for this season. Source: Forbes team page (Venue section, Oct 2025 list), https://www.forbes.com/teams/sacramento-kings/</t>
        </r>
      </text>
    </comment>
    <comment ref="K96" authorId="0" shapeId="0" xr:uid="{F07CC0A8-22F2-594C-8B08-A2910DEAFCAF}">
      <text>
        <r>
          <rPr>
            <b/>
            <sz val="10"/>
            <color rgb="FF000000"/>
            <rFont val="Tahoma"/>
            <family val="2"/>
          </rPr>
          <t>Keller, Zach:</t>
        </r>
        <r>
          <rPr>
            <sz val="10"/>
            <color rgb="FF000000"/>
            <rFont val="Tahoma"/>
            <family val="2"/>
          </rPr>
          <t xml:space="preserve">
N: owner per Forbes is City of Sacramento. No ownership change found for this season. Source: Forbes team page (Venue section, Oct 2025 list), https://www.forbes.com/teams/sacramento-kings/</t>
        </r>
      </text>
    </comment>
    <comment ref="B97" authorId="0" shapeId="0" xr:uid="{D556FF91-4438-364A-963D-A7708C224457}">
      <text>
        <r>
          <rPr>
            <b/>
            <sz val="10"/>
            <color rgb="FF000000"/>
            <rFont val="Tahoma"/>
            <family val="2"/>
          </rPr>
          <t>Keller, Zach:</t>
        </r>
        <r>
          <rPr>
            <sz val="10"/>
            <color rgb="FF000000"/>
            <rFont val="Tahoma"/>
            <family val="2"/>
          </rPr>
          <t xml:space="preserve">
N: owner per Forbes is Bexar County. No ownership change found for this season. Source: Forbes team page (Venue section, Oct 2025 list), https://www.forbes.com/teams/san-antonio-spurs/</t>
        </r>
      </text>
    </comment>
    <comment ref="C97" authorId="0" shapeId="0" xr:uid="{437339D2-BD82-104C-86E0-3E9D7C7EEBA4}">
      <text>
        <r>
          <rPr>
            <b/>
            <sz val="10"/>
            <color rgb="FF000000"/>
            <rFont val="Tahoma"/>
            <family val="2"/>
          </rPr>
          <t>Keller, Zach:</t>
        </r>
        <r>
          <rPr>
            <sz val="10"/>
            <color rgb="FF000000"/>
            <rFont val="Tahoma"/>
            <family val="2"/>
          </rPr>
          <t xml:space="preserve">
N: owner per Forbes is Bexar County. No ownership change found for this season. Source: Forbes team page (Venue section, Oct 2025 list), https://www.forbes.com/teams/san-antonio-spurs/</t>
        </r>
      </text>
    </comment>
    <comment ref="D97" authorId="0" shapeId="0" xr:uid="{5ABA9D05-FDC5-8044-8D32-C2F3831C9BD4}">
      <text>
        <r>
          <rPr>
            <b/>
            <sz val="10"/>
            <color rgb="FF000000"/>
            <rFont val="Tahoma"/>
            <family val="2"/>
          </rPr>
          <t>Keller, Zach:</t>
        </r>
        <r>
          <rPr>
            <sz val="10"/>
            <color rgb="FF000000"/>
            <rFont val="Tahoma"/>
            <family val="2"/>
          </rPr>
          <t xml:space="preserve">
N: owner per Forbes is Bexar County. No ownership change found for this season. Source: Forbes team page (Venue section, Oct 2025 list), https://www.forbes.com/teams/san-antonio-spurs/</t>
        </r>
      </text>
    </comment>
    <comment ref="E97" authorId="0" shapeId="0" xr:uid="{27A3C9F9-334E-D046-BF17-AA5E7B14D48C}">
      <text>
        <r>
          <rPr>
            <b/>
            <sz val="10"/>
            <color rgb="FF000000"/>
            <rFont val="Tahoma"/>
            <family val="2"/>
          </rPr>
          <t>Keller, Zach:</t>
        </r>
        <r>
          <rPr>
            <sz val="10"/>
            <color rgb="FF000000"/>
            <rFont val="Tahoma"/>
            <family val="2"/>
          </rPr>
          <t xml:space="preserve">
N: owner per Forbes is Bexar County. No ownership change found for this season. Source: Forbes team page (Venue section, Oct 2025 list), https://www.forbes.com/teams/san-antonio-spurs/</t>
        </r>
      </text>
    </comment>
    <comment ref="F97" authorId="0" shapeId="0" xr:uid="{FA565808-7705-A946-BD64-2E8233523C86}">
      <text>
        <r>
          <rPr>
            <b/>
            <sz val="10"/>
            <color rgb="FF000000"/>
            <rFont val="Tahoma"/>
            <family val="2"/>
          </rPr>
          <t>Keller, Zach:</t>
        </r>
        <r>
          <rPr>
            <sz val="10"/>
            <color rgb="FF000000"/>
            <rFont val="Tahoma"/>
            <family val="2"/>
          </rPr>
          <t xml:space="preserve">
N: owner per Forbes is Bexar County. No ownership change found for this season. Source: Forbes team page (Venue section, Oct 2025 list), https://www.forbes.com/teams/san-antonio-spurs/</t>
        </r>
      </text>
    </comment>
    <comment ref="G97" authorId="0" shapeId="0" xr:uid="{C7FEBED9-24D6-6543-9E26-BF4F80230D7F}">
      <text>
        <r>
          <rPr>
            <b/>
            <sz val="10"/>
            <color rgb="FF000000"/>
            <rFont val="Tahoma"/>
            <family val="2"/>
          </rPr>
          <t>Keller, Zach:</t>
        </r>
        <r>
          <rPr>
            <sz val="10"/>
            <color rgb="FF000000"/>
            <rFont val="Tahoma"/>
            <family val="2"/>
          </rPr>
          <t xml:space="preserve">
N: owner per Forbes is Bexar County. No ownership change found for this season. Source: Forbes team page (Venue section, Oct 2025 list), https://www.forbes.com/teams/san-antonio-spurs/</t>
        </r>
      </text>
    </comment>
    <comment ref="H97" authorId="0" shapeId="0" xr:uid="{FD2027A5-A37D-E944-B488-5A42B5892AB7}">
      <text>
        <r>
          <rPr>
            <b/>
            <sz val="10"/>
            <color rgb="FF000000"/>
            <rFont val="Tahoma"/>
            <family val="2"/>
          </rPr>
          <t>Keller, Zach:</t>
        </r>
        <r>
          <rPr>
            <sz val="10"/>
            <color rgb="FF000000"/>
            <rFont val="Tahoma"/>
            <family val="2"/>
          </rPr>
          <t xml:space="preserve">
N: owner per Forbes is Bexar County. No ownership change found for this season. Source: Forbes team page (Venue section, Oct 2025 list), https://www.forbes.com/teams/san-antonio-spurs/</t>
        </r>
      </text>
    </comment>
    <comment ref="I97" authorId="0" shapeId="0" xr:uid="{A20824D9-0BC4-F746-8946-611EA83A66A1}">
      <text>
        <r>
          <rPr>
            <b/>
            <sz val="10"/>
            <color rgb="FF000000"/>
            <rFont val="Tahoma"/>
            <family val="2"/>
          </rPr>
          <t>Keller, Zach:</t>
        </r>
        <r>
          <rPr>
            <sz val="10"/>
            <color rgb="FF000000"/>
            <rFont val="Tahoma"/>
            <family val="2"/>
          </rPr>
          <t xml:space="preserve">
N: owner per Forbes is Bexar County. No ownership change found for this season. Source: Forbes team page (Venue section, Oct 2025 list), https://www.forbes.com/teams/san-antonio-spurs/</t>
        </r>
      </text>
    </comment>
    <comment ref="J97" authorId="0" shapeId="0" xr:uid="{1D254B6B-FFBA-0041-8863-4614E8D0C237}">
      <text>
        <r>
          <rPr>
            <b/>
            <sz val="10"/>
            <color rgb="FF000000"/>
            <rFont val="Tahoma"/>
            <family val="2"/>
          </rPr>
          <t>Keller, Zach:</t>
        </r>
        <r>
          <rPr>
            <sz val="10"/>
            <color rgb="FF000000"/>
            <rFont val="Tahoma"/>
            <family val="2"/>
          </rPr>
          <t xml:space="preserve">
N: owner per Forbes is Bexar County. No ownership change found for this season. Source: Forbes team page (Venue section, Oct 2025 list), https://www.forbes.com/teams/san-antonio-spurs/</t>
        </r>
      </text>
    </comment>
    <comment ref="K97" authorId="0" shapeId="0" xr:uid="{D44572F9-3F06-8D4D-AE3D-01E9E2FD24E5}">
      <text>
        <r>
          <rPr>
            <b/>
            <sz val="10"/>
            <color rgb="FF000000"/>
            <rFont val="Tahoma"/>
            <family val="2"/>
          </rPr>
          <t>Keller, Zach:</t>
        </r>
        <r>
          <rPr>
            <sz val="10"/>
            <color rgb="FF000000"/>
            <rFont val="Tahoma"/>
            <family val="2"/>
          </rPr>
          <t xml:space="preserve">
N: owner per Forbes is Bexar County. No ownership change found for this season. Source: Forbes team page (Venue section, Oct 2025 list), https://www.forbes.com/teams/san-antonio-spurs/</t>
        </r>
      </text>
    </comment>
    <comment ref="B98" authorId="0" shapeId="0" xr:uid="{568CA924-C21E-0641-AA4B-AA0355070E70}">
      <text>
        <r>
          <rPr>
            <b/>
            <sz val="10"/>
            <color rgb="FF000000"/>
            <rFont val="Tahoma"/>
            <family val="2"/>
          </rPr>
          <t>Keller, Zach:</t>
        </r>
        <r>
          <rPr>
            <sz val="10"/>
            <color rgb="FF000000"/>
            <rFont val="Tahoma"/>
            <family val="2"/>
          </rPr>
          <t xml:space="preserve">
Y: owner per Forbes is Maple Leaf Sports &amp; Entertainment (also owns the Raptors). No ownership change found for this season. Source: Forbes team page (Venue section, Oct 2025 list), https://www.forbes.com/teams/toronto-raptors/</t>
        </r>
      </text>
    </comment>
    <comment ref="C98" authorId="0" shapeId="0" xr:uid="{1CDEAF46-269B-B545-BE21-657CE59C3864}">
      <text>
        <r>
          <rPr>
            <b/>
            <sz val="10"/>
            <color rgb="FF000000"/>
            <rFont val="Tahoma"/>
            <family val="2"/>
          </rPr>
          <t>Keller, Zach:</t>
        </r>
        <r>
          <rPr>
            <sz val="10"/>
            <color rgb="FF000000"/>
            <rFont val="Tahoma"/>
            <family val="2"/>
          </rPr>
          <t xml:space="preserve">
Y: owner per Forbes is Maple Leaf Sports &amp; Entertainment (also owns the Raptors). No ownership change found for this season. Source: Forbes team page (Venue section, Oct 2025 list), https://www.forbes.com/teams/toronto-raptors/</t>
        </r>
      </text>
    </comment>
    <comment ref="D98" authorId="0" shapeId="0" xr:uid="{F3F853B2-8678-0449-95AC-78B1BD1E3090}">
      <text>
        <r>
          <rPr>
            <b/>
            <sz val="10"/>
            <color rgb="FF000000"/>
            <rFont val="Tahoma"/>
            <family val="2"/>
          </rPr>
          <t>Keller, Zach:</t>
        </r>
        <r>
          <rPr>
            <sz val="10"/>
            <color rgb="FF000000"/>
            <rFont val="Tahoma"/>
            <family val="2"/>
          </rPr>
          <t xml:space="preserve">
Y: owner per Forbes is Maple Leaf Sports &amp; Entertainment (also owns the Raptors). No ownership change found for this season. Source: Forbes team page (Venue section, Oct 2025 list), https://www.forbes.com/teams/toronto-raptors/</t>
        </r>
      </text>
    </comment>
    <comment ref="E98" authorId="0" shapeId="0" xr:uid="{27D50FD4-96B7-C44F-B0E9-83C134BDF394}">
      <text>
        <r>
          <rPr>
            <b/>
            <sz val="10"/>
            <color rgb="FF000000"/>
            <rFont val="Tahoma"/>
            <family val="2"/>
          </rPr>
          <t>Keller, Zach:</t>
        </r>
        <r>
          <rPr>
            <sz val="10"/>
            <color rgb="FF000000"/>
            <rFont val="Tahoma"/>
            <family val="2"/>
          </rPr>
          <t xml:space="preserve">
Y: owner per Forbes is Maple Leaf Sports &amp; Entertainment (also owns the Raptors). No ownership change found for this season. Source: Forbes team page (Venue section, Oct 2025 list), https://www.forbes.com/teams/toronto-raptors/</t>
        </r>
      </text>
    </comment>
    <comment ref="F98" authorId="0" shapeId="0" xr:uid="{63CD052E-5EA3-7B42-82EF-071F54668FCA}">
      <text>
        <r>
          <rPr>
            <b/>
            <sz val="10"/>
            <color rgb="FF000000"/>
            <rFont val="Tahoma"/>
            <family val="2"/>
          </rPr>
          <t>Keller, Zach:</t>
        </r>
        <r>
          <rPr>
            <sz val="10"/>
            <color rgb="FF000000"/>
            <rFont val="Tahoma"/>
            <family val="2"/>
          </rPr>
          <t xml:space="preserve">
Y: owner per Forbes is Maple Leaf Sports &amp; Entertainment (also owns the Raptors). No ownership change found for this season. Source: Forbes team page (Venue section, Oct 2025 list), https://www.forbes.com/teams/toronto-raptors/</t>
        </r>
      </text>
    </comment>
    <comment ref="G98" authorId="0" shapeId="0" xr:uid="{8366994E-CE79-1E44-A024-17229ADB040A}">
      <text>
        <r>
          <rPr>
            <b/>
            <sz val="10"/>
            <color rgb="FF000000"/>
            <rFont val="Tahoma"/>
            <family val="2"/>
          </rPr>
          <t>Keller, Zach:</t>
        </r>
        <r>
          <rPr>
            <sz val="10"/>
            <color rgb="FF000000"/>
            <rFont val="Tahoma"/>
            <family val="2"/>
          </rPr>
          <t xml:space="preserve">
Y: owner per Forbes is Maple Leaf Sports &amp; Entertainment (also owns the Raptors). No ownership change found for this season. Source: Forbes team page (Venue section, Oct 2025 list), https://www.forbes.com/teams/toronto-raptors/</t>
        </r>
      </text>
    </comment>
    <comment ref="H98" authorId="0" shapeId="0" xr:uid="{15F6760D-9725-1F43-9C3F-ECF09A6F175B}">
      <text>
        <r>
          <rPr>
            <b/>
            <sz val="10"/>
            <color rgb="FF000000"/>
            <rFont val="Tahoma"/>
            <family val="2"/>
          </rPr>
          <t>Keller, Zach:</t>
        </r>
        <r>
          <rPr>
            <sz val="10"/>
            <color rgb="FF000000"/>
            <rFont val="Tahoma"/>
            <family val="2"/>
          </rPr>
          <t xml:space="preserve">
Y: owner per Forbes is Maple Leaf Sports &amp; Entertainment (also owns the Raptors). No ownership change found for this season. Source: Forbes team page (Venue section, Oct 2025 list), https://www.forbes.com/teams/toronto-raptors/</t>
        </r>
      </text>
    </comment>
    <comment ref="I98" authorId="0" shapeId="0" xr:uid="{98D37042-BAEC-5A4D-8778-EB6E3B7ECBBA}">
      <text>
        <r>
          <rPr>
            <b/>
            <sz val="10"/>
            <color rgb="FF000000"/>
            <rFont val="Tahoma"/>
            <family val="2"/>
          </rPr>
          <t>Keller, Zach:</t>
        </r>
        <r>
          <rPr>
            <sz val="10"/>
            <color rgb="FF000000"/>
            <rFont val="Tahoma"/>
            <family val="2"/>
          </rPr>
          <t xml:space="preserve">
Y: owner per Forbes is Maple Leaf Sports &amp; Entertainment (also owns the Raptors). No ownership change found for this season. Source: Forbes team page (Venue section, Oct 2025 list), https://www.forbes.com/teams/toronto-raptors/</t>
        </r>
      </text>
    </comment>
    <comment ref="J98" authorId="0" shapeId="0" xr:uid="{5DD92A73-4A24-FC48-9DCD-5A8C9FFCAC21}">
      <text>
        <r>
          <rPr>
            <b/>
            <sz val="10"/>
            <color rgb="FF000000"/>
            <rFont val="Tahoma"/>
            <family val="2"/>
          </rPr>
          <t>Keller, Zach:</t>
        </r>
        <r>
          <rPr>
            <sz val="10"/>
            <color rgb="FF000000"/>
            <rFont val="Tahoma"/>
            <family val="2"/>
          </rPr>
          <t xml:space="preserve">
Y: owner per Forbes is Maple Leaf Sports &amp; Entertainment (also owns the Raptors). No ownership change found for this season. Source: Forbes team page (Venue section, Oct 2025 list), https://www.forbes.com/teams/toronto-raptors/</t>
        </r>
      </text>
    </comment>
    <comment ref="K98" authorId="0" shapeId="0" xr:uid="{06F7CD77-BD21-394C-B967-ACB1C8CFA96A}">
      <text>
        <r>
          <rPr>
            <b/>
            <sz val="10"/>
            <color rgb="FF000000"/>
            <rFont val="Tahoma"/>
            <family val="2"/>
          </rPr>
          <t>Keller, Zach:</t>
        </r>
        <r>
          <rPr>
            <sz val="10"/>
            <color rgb="FF000000"/>
            <rFont val="Tahoma"/>
            <family val="2"/>
          </rPr>
          <t xml:space="preserve">
Y: owner per Forbes is Maple Leaf Sports &amp; Entertainment (also owns the Raptors). No ownership change found for this season. Source: Forbes team page (Venue section, Oct 2025 list), https://www.forbes.com/teams/toronto-raptors/</t>
        </r>
      </text>
    </comment>
    <comment ref="B99" authorId="0" shapeId="0" xr:uid="{8F41F3AC-4C26-4A49-A7FE-8F6EAF6E10B0}">
      <text>
        <r>
          <rPr>
            <b/>
            <sz val="10"/>
            <color rgb="FF000000"/>
            <rFont val="Tahoma"/>
            <family val="2"/>
          </rPr>
          <t>Keller, Zach:</t>
        </r>
        <r>
          <rPr>
            <sz val="10"/>
            <color rgb="FF000000"/>
            <rFont val="Tahoma"/>
            <family val="2"/>
          </rPr>
          <t xml:space="preserve">
Y: the Miller family owned both the Jazz and the arena; both were sold together to Ryan Smith in Oct 2020. Source: NBC Sports, https://www.nbcsports.com/nba/news/after-35-years-under-miller-family-utah-jazz-sold-to-billionaire-ryan-smith</t>
        </r>
      </text>
    </comment>
    <comment ref="C99" authorId="0" shapeId="0" xr:uid="{15647EFA-3BD7-054D-9B00-544BF6DEAB69}">
      <text>
        <r>
          <rPr>
            <b/>
            <sz val="10"/>
            <color rgb="FF000000"/>
            <rFont val="Tahoma"/>
            <family val="2"/>
          </rPr>
          <t>Keller, Zach:</t>
        </r>
        <r>
          <rPr>
            <sz val="10"/>
            <color rgb="FF000000"/>
            <rFont val="Tahoma"/>
            <family val="2"/>
          </rPr>
          <t xml:space="preserve">
Y: the Miller family owned both the Jazz and the arena; both were sold together to Ryan Smith in Oct 2020. Source: NBC Sports, https://www.nbcsports.com/nba/news/after-35-years-under-miller-family-utah-jazz-sold-to-billionaire-ryan-smith</t>
        </r>
      </text>
    </comment>
    <comment ref="D99" authorId="0" shapeId="0" xr:uid="{5B4360E8-B245-0841-ABE6-E0BC25C13213}">
      <text>
        <r>
          <rPr>
            <b/>
            <sz val="10"/>
            <color rgb="FF000000"/>
            <rFont val="Tahoma"/>
            <family val="2"/>
          </rPr>
          <t>Keller, Zach:</t>
        </r>
        <r>
          <rPr>
            <sz val="10"/>
            <color rgb="FF000000"/>
            <rFont val="Tahoma"/>
            <family val="2"/>
          </rPr>
          <t xml:space="preserve">
Y: the Miller family owned both the Jazz and the arena; both were sold together to Ryan Smith in Oct 2020. Source: NBC Sports, https://www.nbcsports.com/nba/news/after-35-years-under-miller-family-utah-jazz-sold-to-billionaire-ryan-smith</t>
        </r>
      </text>
    </comment>
    <comment ref="E99" authorId="0" shapeId="0" xr:uid="{C0B28E1E-1845-7C41-9A73-65776B8547A8}">
      <text>
        <r>
          <rPr>
            <b/>
            <sz val="10"/>
            <color rgb="FF000000"/>
            <rFont val="Tahoma"/>
            <family val="2"/>
          </rPr>
          <t>Keller, Zach:</t>
        </r>
        <r>
          <rPr>
            <sz val="10"/>
            <color rgb="FF000000"/>
            <rFont val="Tahoma"/>
            <family val="2"/>
          </rPr>
          <t xml:space="preserve">
Y: the Miller family owned both the Jazz and the arena; both were sold together to Ryan Smith in Oct 2020. Source: NBC Sports, https://www.nbcsports.com/nba/news/after-35-years-under-miller-family-utah-jazz-sold-to-billionaire-ryan-smith</t>
        </r>
      </text>
    </comment>
    <comment ref="F99" authorId="0" shapeId="0" xr:uid="{8212AA02-C8D6-AD42-86FF-34166EEA8784}">
      <text>
        <r>
          <rPr>
            <b/>
            <sz val="10"/>
            <color rgb="FF000000"/>
            <rFont val="Tahoma"/>
            <family val="2"/>
          </rPr>
          <t>Keller, Zach:</t>
        </r>
        <r>
          <rPr>
            <sz val="10"/>
            <color rgb="FF000000"/>
            <rFont val="Tahoma"/>
            <family val="2"/>
          </rPr>
          <t xml:space="preserve">
Y: the Miller family owned both the Jazz and the arena; both were sold together to Ryan Smith in Oct 2020. Source: NBC Sports, https://www.nbcsports.com/nba/news/after-35-years-under-miller-family-utah-jazz-sold-to-billionaire-ryan-smith</t>
        </r>
      </text>
    </comment>
    <comment ref="G99" authorId="0" shapeId="0" xr:uid="{826B0E92-CE38-1142-B03C-C0E84649BFF3}">
      <text>
        <r>
          <rPr>
            <b/>
            <sz val="10"/>
            <color rgb="FF000000"/>
            <rFont val="Tahoma"/>
            <family val="2"/>
          </rPr>
          <t>Keller, Zach:</t>
        </r>
        <r>
          <rPr>
            <sz val="10"/>
            <color rgb="FF000000"/>
            <rFont val="Tahoma"/>
            <family val="2"/>
          </rPr>
          <t xml:space="preserve">
Y: owner per Forbes is Team (Smith Entertainment Group). No ownership change found for this season. Source: Forbes team page (Venue section, Oct 2025 list), https://www.forbes.com/teams/utah-jazz/</t>
        </r>
      </text>
    </comment>
    <comment ref="H99" authorId="0" shapeId="0" xr:uid="{26A4C505-2B47-0540-A6C5-5AE5092EECC7}">
      <text>
        <r>
          <rPr>
            <b/>
            <sz val="10"/>
            <color rgb="FF000000"/>
            <rFont val="Tahoma"/>
            <family val="2"/>
          </rPr>
          <t>Keller, Zach:</t>
        </r>
        <r>
          <rPr>
            <sz val="10"/>
            <color rgb="FF000000"/>
            <rFont val="Tahoma"/>
            <family val="2"/>
          </rPr>
          <t xml:space="preserve">
Y: owner per Forbes is Team (Smith Entertainment Group). No ownership change found for this season. Source: Forbes team page (Venue section, Oct 2025 list), https://www.forbes.com/teams/utah-jazz/</t>
        </r>
      </text>
    </comment>
    <comment ref="I99" authorId="0" shapeId="0" xr:uid="{45F13C46-16E8-3C4A-949D-2571BC0EA237}">
      <text>
        <r>
          <rPr>
            <b/>
            <sz val="10"/>
            <color rgb="FF000000"/>
            <rFont val="Tahoma"/>
            <family val="2"/>
          </rPr>
          <t>Keller, Zach:</t>
        </r>
        <r>
          <rPr>
            <sz val="10"/>
            <color rgb="FF000000"/>
            <rFont val="Tahoma"/>
            <family val="2"/>
          </rPr>
          <t xml:space="preserve">
Y: owner per Forbes is Team (Smith Entertainment Group). No ownership change found for this season. Source: Forbes team page (Venue section, Oct 2025 list), https://www.forbes.com/teams/utah-jazz/</t>
        </r>
      </text>
    </comment>
    <comment ref="J99" authorId="0" shapeId="0" xr:uid="{E6C7E684-9919-4044-8D03-DF5738207A73}">
      <text>
        <r>
          <rPr>
            <b/>
            <sz val="10"/>
            <color rgb="FF000000"/>
            <rFont val="Tahoma"/>
            <family val="2"/>
          </rPr>
          <t>Keller, Zach:</t>
        </r>
        <r>
          <rPr>
            <sz val="10"/>
            <color rgb="FF000000"/>
            <rFont val="Tahoma"/>
            <family val="2"/>
          </rPr>
          <t xml:space="preserve">
Y: owner per Forbes is Team (Smith Entertainment Group). No ownership change found for this season. Source: Forbes team page (Venue section, Oct 2025 list), https://www.forbes.com/teams/utah-jazz/</t>
        </r>
      </text>
    </comment>
    <comment ref="K99" authorId="0" shapeId="0" xr:uid="{85D667C5-ADA8-D549-A6E5-E89BFF3235AB}">
      <text>
        <r>
          <rPr>
            <b/>
            <sz val="10"/>
            <color rgb="FF000000"/>
            <rFont val="Tahoma"/>
            <family val="2"/>
          </rPr>
          <t>Keller, Zach:</t>
        </r>
        <r>
          <rPr>
            <sz val="10"/>
            <color rgb="FF000000"/>
            <rFont val="Tahoma"/>
            <family val="2"/>
          </rPr>
          <t xml:space="preserve">
Y: owner per Forbes is Team (Smith Entertainment Group). No ownership change found for this season. Source: Forbes team page (Venue section, Oct 2025 list), https://www.forbes.com/teams/utah-jazz/</t>
        </r>
      </text>
    </comment>
    <comment ref="B100" authorId="0" shapeId="0" xr:uid="{F2F69119-FDE6-0B41-8C76-BEEF75D94FF5}">
      <text>
        <r>
          <rPr>
            <b/>
            <sz val="10"/>
            <color rgb="FF000000"/>
            <rFont val="Tahoma"/>
            <family val="2"/>
          </rPr>
          <t>Keller, Zach:</t>
        </r>
        <r>
          <rPr>
            <sz val="10"/>
            <color rgb="FF000000"/>
            <rFont val="Tahoma"/>
            <family val="2"/>
          </rPr>
          <t xml:space="preserve">
Y: owner per Forbes is Monumental Sports &amp; Entertainment (also owns the Wizards). No ownership change found for this season. Source: Forbes team page (Venue section, Oct 2025 list), https://www.forbes.com/teams/washington-wizards/</t>
        </r>
      </text>
    </comment>
    <comment ref="C100" authorId="0" shapeId="0" xr:uid="{0A7BE7DC-EC7D-CA42-A015-BC47BF18E535}">
      <text>
        <r>
          <rPr>
            <b/>
            <sz val="10"/>
            <color rgb="FF000000"/>
            <rFont val="Tahoma"/>
            <family val="2"/>
          </rPr>
          <t>Keller, Zach:</t>
        </r>
        <r>
          <rPr>
            <sz val="10"/>
            <color rgb="FF000000"/>
            <rFont val="Tahoma"/>
            <family val="2"/>
          </rPr>
          <t xml:space="preserve">
Y: owner per Forbes is Monumental Sports &amp; Entertainment (also owns the Wizards). No ownership change found for this season. Source: Forbes team page (Venue section, Oct 2025 list), https://www.forbes.com/teams/washington-wizards/</t>
        </r>
      </text>
    </comment>
    <comment ref="D100" authorId="0" shapeId="0" xr:uid="{7B678903-4D14-6640-A4B4-DA44B55C2B07}">
      <text>
        <r>
          <rPr>
            <b/>
            <sz val="10"/>
            <color rgb="FF000000"/>
            <rFont val="Tahoma"/>
            <family val="2"/>
          </rPr>
          <t>Keller, Zach:</t>
        </r>
        <r>
          <rPr>
            <sz val="10"/>
            <color rgb="FF000000"/>
            <rFont val="Tahoma"/>
            <family val="2"/>
          </rPr>
          <t xml:space="preserve">
Y: owner per Forbes is Monumental Sports &amp; Entertainment (also owns the Wizards). No ownership change found for this season. Source: Forbes team page (Venue section, Oct 2025 list), https://www.forbes.com/teams/washington-wizards/</t>
        </r>
      </text>
    </comment>
    <comment ref="E100" authorId="0" shapeId="0" xr:uid="{E7DED78F-051F-394C-A955-F06A4673EE1E}">
      <text>
        <r>
          <rPr>
            <b/>
            <sz val="10"/>
            <color rgb="FF000000"/>
            <rFont val="Tahoma"/>
            <family val="2"/>
          </rPr>
          <t>Keller, Zach:</t>
        </r>
        <r>
          <rPr>
            <sz val="10"/>
            <color rgb="FF000000"/>
            <rFont val="Tahoma"/>
            <family val="2"/>
          </rPr>
          <t xml:space="preserve">
Y: owner per Forbes is Monumental Sports &amp; Entertainment (also owns the Wizards). No ownership change found for this season. Source: Forbes team page (Venue section, Oct 2025 list), https://www.forbes.com/teams/washington-wizards/</t>
        </r>
      </text>
    </comment>
    <comment ref="F100" authorId="0" shapeId="0" xr:uid="{76EF431A-56A0-964B-8C87-49DB449B80CE}">
      <text>
        <r>
          <rPr>
            <b/>
            <sz val="10"/>
            <color rgb="FF000000"/>
            <rFont val="Tahoma"/>
            <family val="2"/>
          </rPr>
          <t>Keller, Zach:</t>
        </r>
        <r>
          <rPr>
            <sz val="10"/>
            <color rgb="FF000000"/>
            <rFont val="Tahoma"/>
            <family val="2"/>
          </rPr>
          <t xml:space="preserve">
Y: owner per Forbes is Monumental Sports &amp; Entertainment (also owns the Wizards). No ownership change found for this season. Source: Forbes team page (Venue section, Oct 2025 list), https://www.forbes.com/teams/washington-wizards/</t>
        </r>
      </text>
    </comment>
    <comment ref="G100" authorId="0" shapeId="0" xr:uid="{A39CE2A3-140B-6242-83C9-7E01FBDC7794}">
      <text>
        <r>
          <rPr>
            <b/>
            <sz val="10"/>
            <color rgb="FF000000"/>
            <rFont val="Tahoma"/>
            <family val="2"/>
          </rPr>
          <t>Keller, Zach:</t>
        </r>
        <r>
          <rPr>
            <sz val="10"/>
            <color rgb="FF000000"/>
            <rFont val="Tahoma"/>
            <family val="2"/>
          </rPr>
          <t xml:space="preserve">
Y: owner per Forbes is Monumental Sports &amp; Entertainment (also owns the Wizards). No ownership change found for this season. Source: Forbes team page (Venue section, Oct 2025 list), https://www.forbes.com/teams/washington-wizards/</t>
        </r>
      </text>
    </comment>
    <comment ref="H100" authorId="0" shapeId="0" xr:uid="{C3A63850-3188-C04B-8539-1B313847EC6D}">
      <text>
        <r>
          <rPr>
            <b/>
            <sz val="10"/>
            <color rgb="FF000000"/>
            <rFont val="Tahoma"/>
            <family val="2"/>
          </rPr>
          <t>Keller, Zach:</t>
        </r>
        <r>
          <rPr>
            <sz val="10"/>
            <color rgb="FF000000"/>
            <rFont val="Tahoma"/>
            <family val="2"/>
          </rPr>
          <t xml:space="preserve">
Y: owner per Forbes is Monumental Sports &amp; Entertainment (also owns the Wizards). No ownership change found for this season. Source: Forbes team page (Venue section, Oct 2025 list), https://www.forbes.com/teams/washington-wizards/</t>
        </r>
      </text>
    </comment>
    <comment ref="I100" authorId="0" shapeId="0" xr:uid="{40B55617-5584-EB46-AD75-D2AF8CBDEBA6}">
      <text>
        <r>
          <rPr>
            <b/>
            <sz val="10"/>
            <color rgb="FF000000"/>
            <rFont val="Tahoma"/>
            <family val="2"/>
          </rPr>
          <t>Keller, Zach:</t>
        </r>
        <r>
          <rPr>
            <sz val="10"/>
            <color rgb="FF000000"/>
            <rFont val="Tahoma"/>
            <family val="2"/>
          </rPr>
          <t xml:space="preserve">
Y: owner per Forbes is Monumental Sports &amp; Entertainment (also owns the Wizards). No ownership change found for this season. Source: Forbes team page (Venue section, Oct 2025 list), https://www.forbes.com/teams/washington-wizards/</t>
        </r>
      </text>
    </comment>
    <comment ref="J100" authorId="0" shapeId="0" xr:uid="{67D02276-7CEA-DA47-A2A5-6A8D04D08C1A}">
      <text>
        <r>
          <rPr>
            <b/>
            <sz val="10"/>
            <color rgb="FF000000"/>
            <rFont val="Tahoma"/>
            <family val="2"/>
          </rPr>
          <t>Keller, Zach:</t>
        </r>
        <r>
          <rPr>
            <sz val="10"/>
            <color rgb="FF000000"/>
            <rFont val="Tahoma"/>
            <family val="2"/>
          </rPr>
          <t xml:space="preserve">
Y: owner per Forbes is Monumental Sports &amp; Entertainment (also owns the Wizards). No ownership change found for this season. Source: Forbes team page (Venue section, Oct 2025 list), https://www.forbes.com/teams/washington-wizards/</t>
        </r>
      </text>
    </comment>
    <comment ref="K100" authorId="0" shapeId="0" xr:uid="{8427E654-34C3-C847-85B0-FBBD4D565DB8}">
      <text>
        <r>
          <rPr>
            <b/>
            <sz val="10"/>
            <color rgb="FF000000"/>
            <rFont val="Tahoma"/>
            <family val="2"/>
          </rPr>
          <t>Keller, Zach:</t>
        </r>
        <r>
          <rPr>
            <sz val="10"/>
            <color rgb="FF000000"/>
            <rFont val="Tahoma"/>
            <family val="2"/>
          </rPr>
          <t xml:space="preserve">
Y: owner per Forbes is Monumental Sports &amp; Entertainment (also owns the Wizards). No ownership change found for this season. Source: Forbes team page (Venue section, Oct 2025 list), https://www.forbes.com/teams/washington-wizards/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Keller, Zach</author>
  </authors>
  <commentList>
    <comment ref="C4" authorId="0" shapeId="0" xr:uid="{05679C87-4CAF-1D40-94BF-90687FF37742}">
      <text>
        <r>
          <rPr>
            <b/>
            <sz val="10"/>
            <color rgb="FF000000"/>
            <rFont val="Tahoma"/>
            <family val="2"/>
          </rPr>
          <t>Keller, Zach:</t>
        </r>
        <r>
          <rPr>
            <sz val="10"/>
            <color rgb="FF000000"/>
            <rFont val="Tahoma"/>
            <family val="2"/>
          </rPr>
          <t xml:space="preserve">
Source: Sportico NBA Team Values 2025 (Oct 2025), via HoopsRumors (secondary source – repeats Sportico's list), https://www.hoopsrumors.com/2025/10/warriors-lakers-top-2025-nba-franchise-valuations.html</t>
        </r>
      </text>
    </comment>
    <comment ref="D4" authorId="0" shapeId="0" xr:uid="{C338383B-6766-6E4A-830B-C9C4B6C2AC92}">
      <text>
        <r>
          <rPr>
            <b/>
            <sz val="10"/>
            <color rgb="FF000000"/>
            <rFont val="Tahoma"/>
            <family val="2"/>
          </rPr>
          <t>Keller, Zach:</t>
        </r>
        <r>
          <rPr>
            <sz val="10"/>
            <color rgb="FF000000"/>
            <rFont val="Tahoma"/>
            <family val="2"/>
          </rPr>
          <t xml:space="preserve">
Source: CNBC Official NBA Team Valuations 2026 (Feb 2026), https://www.cnbc.com/2026/02/13/nba-valuations-2026-atlanta-hawks.html</t>
        </r>
      </text>
    </comment>
    <comment ref="C5" authorId="0" shapeId="0" xr:uid="{155759D4-CD2E-8547-B2ED-9D492401C14B}">
      <text>
        <r>
          <rPr>
            <b/>
            <sz val="10"/>
            <color rgb="FF000000"/>
            <rFont val="Tahoma"/>
            <family val="2"/>
          </rPr>
          <t>Keller, Zach:</t>
        </r>
        <r>
          <rPr>
            <sz val="10"/>
            <color rgb="FF000000"/>
            <rFont val="Tahoma"/>
            <family val="2"/>
          </rPr>
          <t xml:space="preserve">
Source: Sportico NBA Team Values 2025 (Oct 2025), via HoopsRumors (secondary source – repeats Sportico's list), https://www.hoopsrumors.com/2025/10/warriors-lakers-top-2025-nba-franchise-valuations.html</t>
        </r>
      </text>
    </comment>
    <comment ref="D5" authorId="0" shapeId="0" xr:uid="{27F18BC7-5600-A647-A71A-D3BF933DDBBB}">
      <text>
        <r>
          <rPr>
            <b/>
            <sz val="10"/>
            <color rgb="FF000000"/>
            <rFont val="Tahoma"/>
            <family val="2"/>
          </rPr>
          <t>Keller, Zach:</t>
        </r>
        <r>
          <rPr>
            <sz val="10"/>
            <color rgb="FF000000"/>
            <rFont val="Tahoma"/>
            <family val="2"/>
          </rPr>
          <t xml:space="preserve">
Source: CNBC Official NBA Team Valuations 2026 (Feb 2026), via NBC Sports Bay Area (secondary source), https://www.nbcsportsbayarea.com/nba/2026-nba-franchise-valuations/1911711/</t>
        </r>
      </text>
    </comment>
    <comment ref="C6" authorId="0" shapeId="0" xr:uid="{130339B6-56AE-D146-9609-6D51B9CFED0B}">
      <text>
        <r>
          <rPr>
            <b/>
            <sz val="10"/>
            <color rgb="FF000000"/>
            <rFont val="Tahoma"/>
            <family val="2"/>
          </rPr>
          <t>Keller, Zach:</t>
        </r>
        <r>
          <rPr>
            <sz val="10"/>
            <color rgb="FF000000"/>
            <rFont val="Tahoma"/>
            <family val="2"/>
          </rPr>
          <t xml:space="preserve">
Source: Sportico NBA Team Values 2025 (Oct 2025), via HoopsRumors (secondary source – repeats Sportico's list), https://www.hoopsrumors.com/2025/10/warriors-lakers-top-2025-nba-franchise-valuations.html</t>
        </r>
      </text>
    </comment>
    <comment ref="D6" authorId="0" shapeId="0" xr:uid="{EE6A8CBE-18B1-7A41-B187-D5146E0B5F3F}">
      <text>
        <r>
          <rPr>
            <b/>
            <sz val="10"/>
            <color rgb="FF000000"/>
            <rFont val="Tahoma"/>
            <family val="2"/>
          </rPr>
          <t>Keller, Zach:</t>
        </r>
        <r>
          <rPr>
            <sz val="10"/>
            <color rgb="FF000000"/>
            <rFont val="Tahoma"/>
            <family val="2"/>
          </rPr>
          <t xml:space="preserve">
Source: CNBC Official NBA Team Valuations 2026 (Feb 2026), https://www.cnbc.com/2026/02/13/nba-valuations-2026-brooklyn-nets.html</t>
        </r>
      </text>
    </comment>
    <comment ref="C7" authorId="0" shapeId="0" xr:uid="{A8FFCC04-ECB3-2646-83C8-CF95733D4CC4}">
      <text>
        <r>
          <rPr>
            <b/>
            <sz val="10"/>
            <color rgb="FF000000"/>
            <rFont val="Tahoma"/>
            <family val="2"/>
          </rPr>
          <t>Keller, Zach:</t>
        </r>
        <r>
          <rPr>
            <sz val="10"/>
            <color rgb="FF000000"/>
            <rFont val="Tahoma"/>
            <family val="2"/>
          </rPr>
          <t xml:space="preserve">
Source: Sportico NBA Team Values 2025 (Oct 2025), via HoopsRumors (secondary source – repeats Sportico's list), https://www.hoopsrumors.com/2025/10/warriors-lakers-top-2025-nba-franchise-valuations.html</t>
        </r>
      </text>
    </comment>
    <comment ref="D7" authorId="0" shapeId="0" xr:uid="{15726DD0-0EFC-BE4A-824F-38A36AFA7866}">
      <text>
        <r>
          <rPr>
            <b/>
            <sz val="10"/>
            <color rgb="FF000000"/>
            <rFont val="Tahoma"/>
            <family val="2"/>
          </rPr>
          <t>Keller, Zach:</t>
        </r>
        <r>
          <rPr>
            <sz val="10"/>
            <color rgb="FF000000"/>
            <rFont val="Tahoma"/>
            <family val="2"/>
          </rPr>
          <t xml:space="preserve">
Source: CNBC Official NBA Team Valuations 2026 (Feb 2026), via NBC Sports Bay Area (secondary source), https://www.nbcsportsbayarea.com/nba/2026-nba-franchise-valuations/1911711/</t>
        </r>
      </text>
    </comment>
    <comment ref="C8" authorId="0" shapeId="0" xr:uid="{35445AFA-E5DF-534E-B960-45B20C9CCC80}">
      <text>
        <r>
          <rPr>
            <b/>
            <sz val="10"/>
            <color rgb="FF000000"/>
            <rFont val="Tahoma"/>
            <family val="2"/>
          </rPr>
          <t>Keller, Zach:</t>
        </r>
        <r>
          <rPr>
            <sz val="10"/>
            <color rgb="FF000000"/>
            <rFont val="Tahoma"/>
            <family val="2"/>
          </rPr>
          <t xml:space="preserve">
Source: Sportico NBA Team Values 2025 (Oct 2025), via HoopsRumors (secondary source – repeats Sportico's list), https://www.hoopsrumors.com/2025/10/warriors-lakers-top-2025-nba-franchise-valuations.html</t>
        </r>
      </text>
    </comment>
    <comment ref="D8" authorId="0" shapeId="0" xr:uid="{486FF112-FFDB-984A-A069-A08D4F24B5B5}">
      <text>
        <r>
          <rPr>
            <b/>
            <sz val="10"/>
            <color rgb="FF000000"/>
            <rFont val="Tahoma"/>
            <family val="2"/>
          </rPr>
          <t>Keller, Zach:</t>
        </r>
        <r>
          <rPr>
            <sz val="10"/>
            <color rgb="FF000000"/>
            <rFont val="Tahoma"/>
            <family val="2"/>
          </rPr>
          <t xml:space="preserve">
Source: CNBC Official NBA Team Valuations 2026 (Feb 2026), https://www.cnbc.com/2026/02/13/nba-valuations-2026-chicago-bulls.html</t>
        </r>
      </text>
    </comment>
    <comment ref="C9" authorId="0" shapeId="0" xr:uid="{F291EC1E-1DFD-B545-A9E2-F829138FB6F7}">
      <text>
        <r>
          <rPr>
            <b/>
            <sz val="10"/>
            <color rgb="FF000000"/>
            <rFont val="Tahoma"/>
            <family val="2"/>
          </rPr>
          <t>Keller, Zach:</t>
        </r>
        <r>
          <rPr>
            <sz val="10"/>
            <color rgb="FF000000"/>
            <rFont val="Tahoma"/>
            <family val="2"/>
          </rPr>
          <t xml:space="preserve">
Source: Sportico NBA Team Values 2025 (Oct 2025), via HoopsRumors (secondary source – repeats Sportico's list), https://www.hoopsrumors.com/2025/10/warriors-lakers-top-2025-nba-franchise-valuations.html</t>
        </r>
      </text>
    </comment>
    <comment ref="C10" authorId="0" shapeId="0" xr:uid="{AFE33B3D-B953-9F47-B527-E802A6E8084C}">
      <text>
        <r>
          <rPr>
            <b/>
            <sz val="10"/>
            <color rgb="FF000000"/>
            <rFont val="Tahoma"/>
            <family val="2"/>
          </rPr>
          <t>Keller, Zach:</t>
        </r>
        <r>
          <rPr>
            <sz val="10"/>
            <color rgb="FF000000"/>
            <rFont val="Tahoma"/>
            <family val="2"/>
          </rPr>
          <t xml:space="preserve">
Source: Sportico NBA Team Values 2025 (Oct 2025), via HoopsRumors (secondary source – repeats Sportico's list), https://www.hoopsrumors.com/2025/10/warriors-lakers-top-2025-nba-franchise-valuations.html</t>
        </r>
      </text>
    </comment>
    <comment ref="C11" authorId="0" shapeId="0" xr:uid="{F08FF508-9E49-774A-95F4-8F78C6037B58}">
      <text>
        <r>
          <rPr>
            <b/>
            <sz val="10"/>
            <color rgb="FF000000"/>
            <rFont val="Tahoma"/>
            <family val="2"/>
          </rPr>
          <t>Keller, Zach:</t>
        </r>
        <r>
          <rPr>
            <sz val="10"/>
            <color rgb="FF000000"/>
            <rFont val="Tahoma"/>
            <family val="2"/>
          </rPr>
          <t xml:space="preserve">
Source: Sportico NBA Team Values 2025 (Oct 2025), via HoopsRumors (secondary source – repeats Sportico's list), https://www.hoopsrumors.com/2025/10/warriors-lakers-top-2025-nba-franchise-valuations.html</t>
        </r>
      </text>
    </comment>
    <comment ref="C12" authorId="0" shapeId="0" xr:uid="{4ED9AD94-A731-0A41-A466-5CAFA53FEDC8}">
      <text>
        <r>
          <rPr>
            <b/>
            <sz val="10"/>
            <color rgb="FF000000"/>
            <rFont val="Tahoma"/>
            <family val="2"/>
          </rPr>
          <t>Keller, Zach:</t>
        </r>
        <r>
          <rPr>
            <sz val="10"/>
            <color rgb="FF000000"/>
            <rFont val="Tahoma"/>
            <family val="2"/>
          </rPr>
          <t xml:space="preserve">
Source: Sportico NBA Team Values 2025 (Oct 2025), via HoopsRumors (secondary source – repeats Sportico's list), https://www.hoopsrumors.com/2025/10/warriors-lakers-top-2025-nba-franchise-valuations.html</t>
        </r>
      </text>
    </comment>
    <comment ref="D12" authorId="0" shapeId="0" xr:uid="{2F3771EF-979D-5B46-B420-186712128B83}">
      <text>
        <r>
          <rPr>
            <b/>
            <sz val="10"/>
            <color rgb="FF000000"/>
            <rFont val="Tahoma"/>
            <family val="2"/>
          </rPr>
          <t>Keller, Zach:</t>
        </r>
        <r>
          <rPr>
            <sz val="10"/>
            <color rgb="FF000000"/>
            <rFont val="Tahoma"/>
            <family val="2"/>
          </rPr>
          <t xml:space="preserve">
Source: CNBC Official NBA Team Valuations 2026 (Feb 2026), via NBC Sports Bay Area (secondary source), https://www.nbcsportsbayarea.com/nba/2026-nba-franchise-valuations/1911711/</t>
        </r>
      </text>
    </comment>
    <comment ref="C13" authorId="0" shapeId="0" xr:uid="{1C89680B-D639-4346-92CA-A3C8ECA83119}">
      <text>
        <r>
          <rPr>
            <b/>
            <sz val="10"/>
            <color rgb="FF000000"/>
            <rFont val="Tahoma"/>
            <family val="2"/>
          </rPr>
          <t>Keller, Zach:</t>
        </r>
        <r>
          <rPr>
            <sz val="10"/>
            <color rgb="FF000000"/>
            <rFont val="Tahoma"/>
            <family val="2"/>
          </rPr>
          <t xml:space="preserve">
Source: Sportico NBA Team Values 2025 (Oct 2025), via HoopsRumors (secondary source – repeats Sportico's list), https://www.hoopsrumors.com/2025/10/warriors-lakers-top-2025-nba-franchise-valuations.html</t>
        </r>
      </text>
    </comment>
    <comment ref="D13" authorId="0" shapeId="0" xr:uid="{87D29D9E-8E1C-8B42-984B-AFA1ED151F70}">
      <text>
        <r>
          <rPr>
            <b/>
            <sz val="10"/>
            <color rgb="FF000000"/>
            <rFont val="Tahoma"/>
            <family val="2"/>
          </rPr>
          <t>Keller, Zach:</t>
        </r>
        <r>
          <rPr>
            <sz val="10"/>
            <color rgb="FF000000"/>
            <rFont val="Tahoma"/>
            <family val="2"/>
          </rPr>
          <t xml:space="preserve">
Source: CNBC Official NBA Team Valuations 2026 (Feb 2026), https://www.cnbc.com/2026/02/13/nba-valuations-2026-golden-state-warriors.html</t>
        </r>
      </text>
    </comment>
    <comment ref="C14" authorId="0" shapeId="0" xr:uid="{6AD1142B-76E0-1C4A-86AC-0ED4E65A29AF}">
      <text>
        <r>
          <rPr>
            <b/>
            <sz val="10"/>
            <color rgb="FF000000"/>
            <rFont val="Tahoma"/>
            <family val="2"/>
          </rPr>
          <t>Keller, Zach:</t>
        </r>
        <r>
          <rPr>
            <sz val="10"/>
            <color rgb="FF000000"/>
            <rFont val="Tahoma"/>
            <family val="2"/>
          </rPr>
          <t xml:space="preserve">
Source: Sportico NBA Team Values 2025 (Oct 2025), via HoopsRumors (secondary source – repeats Sportico's list), https://www.hoopsrumors.com/2025/10/warriors-lakers-top-2025-nba-franchise-valuations.html</t>
        </r>
      </text>
    </comment>
    <comment ref="D14" authorId="0" shapeId="0" xr:uid="{13AEF098-B606-1942-A7C7-EACD1FA315A7}">
      <text>
        <r>
          <rPr>
            <b/>
            <sz val="10"/>
            <color rgb="FF000000"/>
            <rFont val="Tahoma"/>
            <family val="2"/>
          </rPr>
          <t>Keller, Zach:</t>
        </r>
        <r>
          <rPr>
            <sz val="10"/>
            <color rgb="FF000000"/>
            <rFont val="Tahoma"/>
            <family val="2"/>
          </rPr>
          <t xml:space="preserve">
Source: CNBC Official NBA Team Valuations 2026 (Feb 2026), via NBC Sports Bay Area (secondary source), https://www.nbcsportsbayarea.com/nba/2026-nba-franchise-valuations/1911711/</t>
        </r>
      </text>
    </comment>
    <comment ref="C15" authorId="0" shapeId="0" xr:uid="{3EBAFD70-D31A-424E-AFA1-2497BE920A34}">
      <text>
        <r>
          <rPr>
            <b/>
            <sz val="10"/>
            <color rgb="FF000000"/>
            <rFont val="Tahoma"/>
            <family val="2"/>
          </rPr>
          <t>Keller, Zach:</t>
        </r>
        <r>
          <rPr>
            <sz val="10"/>
            <color rgb="FF000000"/>
            <rFont val="Tahoma"/>
            <family val="2"/>
          </rPr>
          <t xml:space="preserve">
Source: Sportico NBA Team Values 2025 (Oct 2025), via HoopsRumors (secondary source – repeats Sportico's list), https://www.hoopsrumors.com/2025/10/warriors-lakers-top-2025-nba-franchise-valuations.html</t>
        </r>
      </text>
    </comment>
    <comment ref="C16" authorId="0" shapeId="0" xr:uid="{4DC918F2-697F-5D48-8DED-22D0DBE7B4EC}">
      <text>
        <r>
          <rPr>
            <b/>
            <sz val="10"/>
            <color rgb="FF000000"/>
            <rFont val="Tahoma"/>
            <family val="2"/>
          </rPr>
          <t>Keller, Zach:</t>
        </r>
        <r>
          <rPr>
            <sz val="10"/>
            <color rgb="FF000000"/>
            <rFont val="Tahoma"/>
            <family val="2"/>
          </rPr>
          <t xml:space="preserve">
Source: Sportico NBA Team Values 2025 (Oct 2025), via HoopsRumors (secondary source – repeats Sportico's list), https://www.hoopsrumors.com/2025/10/warriors-lakers-top-2025-nba-franchise-valuations.html</t>
        </r>
      </text>
    </comment>
    <comment ref="D16" authorId="0" shapeId="0" xr:uid="{7E6F31CA-A266-4748-87DF-82BCDF1FDE1A}">
      <text>
        <r>
          <rPr>
            <b/>
            <sz val="10"/>
            <color rgb="FF000000"/>
            <rFont val="Tahoma"/>
            <family val="2"/>
          </rPr>
          <t>Keller, Zach:</t>
        </r>
        <r>
          <rPr>
            <sz val="10"/>
            <color rgb="FF000000"/>
            <rFont val="Tahoma"/>
            <family val="2"/>
          </rPr>
          <t xml:space="preserve">
Source: CNBC Official NBA Team Valuations 2026 (Feb 2026), https://www.cnbc.com/2026/02/13/nba-valuations-2026-los-angeles-clippers.html</t>
        </r>
      </text>
    </comment>
    <comment ref="C17" authorId="0" shapeId="0" xr:uid="{D8D9C12B-DE64-364A-B581-8493B734159A}">
      <text>
        <r>
          <rPr>
            <b/>
            <sz val="10"/>
            <color rgb="FF000000"/>
            <rFont val="Tahoma"/>
            <family val="2"/>
          </rPr>
          <t>Keller, Zach:</t>
        </r>
        <r>
          <rPr>
            <sz val="10"/>
            <color rgb="FF000000"/>
            <rFont val="Tahoma"/>
            <family val="2"/>
          </rPr>
          <t xml:space="preserve">
Source: Sportico NBA Team Values 2025 (Oct 2025), via HoopsRumors (secondary source – repeats Sportico's list), https://www.hoopsrumors.com/2025/10/warriors-lakers-top-2025-nba-franchise-valuations.html</t>
        </r>
      </text>
    </comment>
    <comment ref="D17" authorId="0" shapeId="0" xr:uid="{D0C369DA-1EA0-E24E-80AB-D1C8591D31CA}">
      <text>
        <r>
          <rPr>
            <b/>
            <sz val="10"/>
            <color rgb="FF000000"/>
            <rFont val="Tahoma"/>
            <family val="2"/>
          </rPr>
          <t>Keller, Zach:</t>
        </r>
        <r>
          <rPr>
            <sz val="10"/>
            <color rgb="FF000000"/>
            <rFont val="Tahoma"/>
            <family val="2"/>
          </rPr>
          <t xml:space="preserve">
Source: CNBC Official NBA Team Valuations 2026 (Feb 2026), https://www.cnbc.com/2026/02/13/nba-valuations-2026-los-angeles-lakers.html</t>
        </r>
      </text>
    </comment>
    <comment ref="C18" authorId="0" shapeId="0" xr:uid="{02436915-1A8C-AD4C-B4FA-7CAD2CD02EED}">
      <text>
        <r>
          <rPr>
            <b/>
            <sz val="10"/>
            <color rgb="FF000000"/>
            <rFont val="Tahoma"/>
            <family val="2"/>
          </rPr>
          <t>Keller, Zach:</t>
        </r>
        <r>
          <rPr>
            <sz val="10"/>
            <color rgb="FF000000"/>
            <rFont val="Tahoma"/>
            <family val="2"/>
          </rPr>
          <t xml:space="preserve">
Source: Sportico NBA Team Values 2025 (Oct 2025), via HoopsRumors (secondary source – repeats Sportico's list), https://www.hoopsrumors.com/2025/10/warriors-lakers-top-2025-nba-franchise-valuations.html</t>
        </r>
      </text>
    </comment>
    <comment ref="D18" authorId="0" shapeId="0" xr:uid="{0A9C0C1A-FEA8-1547-843F-88E054480202}">
      <text>
        <r>
          <rPr>
            <b/>
            <sz val="10"/>
            <color rgb="FF000000"/>
            <rFont val="Tahoma"/>
            <family val="2"/>
          </rPr>
          <t>Keller, Zach:</t>
        </r>
        <r>
          <rPr>
            <sz val="10"/>
            <color rgb="FF000000"/>
            <rFont val="Tahoma"/>
            <family val="2"/>
          </rPr>
          <t xml:space="preserve">
Source: CNBC Official NBA Team Valuations 2026 (Feb 2026), via NBC Sports Bay Area (secondary source), https://www.nbcsportsbayarea.com/nba/2026-nba-franchise-valuations/1911711/</t>
        </r>
      </text>
    </comment>
    <comment ref="C19" authorId="0" shapeId="0" xr:uid="{8BF4FF51-CBDF-614B-AA85-681097E83750}">
      <text>
        <r>
          <rPr>
            <b/>
            <sz val="10"/>
            <color rgb="FF000000"/>
            <rFont val="Tahoma"/>
            <family val="2"/>
          </rPr>
          <t>Keller, Zach:</t>
        </r>
        <r>
          <rPr>
            <sz val="10"/>
            <color rgb="FF000000"/>
            <rFont val="Tahoma"/>
            <family val="2"/>
          </rPr>
          <t xml:space="preserve">
Source: Sportico NBA Team Values 2025 (Oct 2025), via HoopsRumors (secondary source – repeats Sportico's list), https://www.hoopsrumors.com/2025/10/warriors-lakers-top-2025-nba-franchise-valuations.html</t>
        </r>
      </text>
    </comment>
    <comment ref="D19" authorId="0" shapeId="0" xr:uid="{FADEF75E-8DA6-294E-861F-6AE5693A16CA}">
      <text>
        <r>
          <rPr>
            <b/>
            <sz val="10"/>
            <color rgb="FF000000"/>
            <rFont val="Tahoma"/>
            <family val="2"/>
          </rPr>
          <t>Keller, Zach:</t>
        </r>
        <r>
          <rPr>
            <sz val="10"/>
            <color rgb="FF000000"/>
            <rFont val="Tahoma"/>
            <family val="2"/>
          </rPr>
          <t xml:space="preserve">
Source: CNBC Official NBA Team Valuations 2026 (Feb 2026), via NBC Sports Bay Area (secondary source), https://www.nbcsportsbayarea.com/nba/2026-nba-franchise-valuations/1911711/</t>
        </r>
      </text>
    </comment>
    <comment ref="C20" authorId="0" shapeId="0" xr:uid="{C8393940-2D69-394B-BBE6-91F42E0C110F}">
      <text>
        <r>
          <rPr>
            <b/>
            <sz val="10"/>
            <color rgb="FF000000"/>
            <rFont val="Tahoma"/>
            <family val="2"/>
          </rPr>
          <t>Keller, Zach:</t>
        </r>
        <r>
          <rPr>
            <sz val="10"/>
            <color rgb="FF000000"/>
            <rFont val="Tahoma"/>
            <family val="2"/>
          </rPr>
          <t xml:space="preserve">
Source: Sportico NBA Team Values 2025 (Oct 2025), via HoopsRumors (secondary source – repeats Sportico's list), https://www.hoopsrumors.com/2025/10/warriors-lakers-top-2025-nba-franchise-valuations.html</t>
        </r>
      </text>
    </comment>
    <comment ref="C21" authorId="0" shapeId="0" xr:uid="{464B96A3-F977-8A4A-9484-8C1DB9D3FF6C}">
      <text>
        <r>
          <rPr>
            <b/>
            <sz val="10"/>
            <color rgb="FF000000"/>
            <rFont val="Tahoma"/>
            <family val="2"/>
          </rPr>
          <t>Keller, Zach:</t>
        </r>
        <r>
          <rPr>
            <sz val="10"/>
            <color rgb="FF000000"/>
            <rFont val="Tahoma"/>
            <family val="2"/>
          </rPr>
          <t xml:space="preserve">
Source: Sportico NBA Team Values 2025 (Oct 2025), via HoopsRumors (secondary source – repeats Sportico's list), https://www.hoopsrumors.com/2025/10/warriors-lakers-top-2025-nba-franchise-valuations.html</t>
        </r>
      </text>
    </comment>
    <comment ref="D21" authorId="0" shapeId="0" xr:uid="{08D64419-A2AD-314A-A92C-1689137700B3}">
      <text>
        <r>
          <rPr>
            <b/>
            <sz val="10"/>
            <color rgb="FF000000"/>
            <rFont val="Tahoma"/>
            <family val="2"/>
          </rPr>
          <t>Keller, Zach:</t>
        </r>
        <r>
          <rPr>
            <sz val="10"/>
            <color rgb="FF000000"/>
            <rFont val="Tahoma"/>
            <family val="2"/>
          </rPr>
          <t xml:space="preserve">
Source: CNBC Official NBA Team Valuations 2026 (Feb 2026), via NBC Sports Bay Area (secondary source), https://www.nbcsportsbayarea.com/nba/2026-nba-franchise-valuations/1911711/</t>
        </r>
      </text>
    </comment>
    <comment ref="C22" authorId="0" shapeId="0" xr:uid="{72DA77DE-651C-2440-93F3-572FD5003618}">
      <text>
        <r>
          <rPr>
            <b/>
            <sz val="10"/>
            <color rgb="FF000000"/>
            <rFont val="Tahoma"/>
            <family val="2"/>
          </rPr>
          <t>Keller, Zach:</t>
        </r>
        <r>
          <rPr>
            <sz val="10"/>
            <color rgb="FF000000"/>
            <rFont val="Tahoma"/>
            <family val="2"/>
          </rPr>
          <t xml:space="preserve">
Source: Sportico NBA Team Values 2025 (Oct 2025), via HoopsRumors (secondary source – repeats Sportico's list), https://www.hoopsrumors.com/2025/10/warriors-lakers-top-2025-nba-franchise-valuations.html</t>
        </r>
      </text>
    </comment>
    <comment ref="D22" authorId="0" shapeId="0" xr:uid="{E72F9EC0-E50C-0848-B933-C24614E909F5}">
      <text>
        <r>
          <rPr>
            <b/>
            <sz val="10"/>
            <color rgb="FF000000"/>
            <rFont val="Tahoma"/>
            <family val="2"/>
          </rPr>
          <t>Keller, Zach:</t>
        </r>
        <r>
          <rPr>
            <sz val="10"/>
            <color rgb="FF000000"/>
            <rFont val="Tahoma"/>
            <family val="2"/>
          </rPr>
          <t xml:space="preserve">
Source: CNBC Official NBA Team Valuations 2026 (Feb 2026), via NBC Sports Bay Area (secondary source), https://www.nbcsportsbayarea.com/nba/2026-nba-franchise-valuations/1911711/</t>
        </r>
      </text>
    </comment>
    <comment ref="C23" authorId="0" shapeId="0" xr:uid="{F529E121-FCA8-714E-82B1-4D2593C68CF2}">
      <text>
        <r>
          <rPr>
            <b/>
            <sz val="10"/>
            <color rgb="FF000000"/>
            <rFont val="Tahoma"/>
            <family val="2"/>
          </rPr>
          <t>Keller, Zach:</t>
        </r>
        <r>
          <rPr>
            <sz val="10"/>
            <color rgb="FF000000"/>
            <rFont val="Tahoma"/>
            <family val="2"/>
          </rPr>
          <t xml:space="preserve">
Source: Sportico NBA Team Values 2025 (Oct 2025), via HoopsRumors (secondary source – repeats Sportico's list), https://www.hoopsrumors.com/2025/10/warriors-lakers-top-2025-nba-franchise-valuations.html</t>
        </r>
      </text>
    </comment>
    <comment ref="D23" authorId="0" shapeId="0" xr:uid="{DA1E6B1B-4D5F-C241-8D6D-9F3773BF0645}">
      <text>
        <r>
          <rPr>
            <b/>
            <sz val="10"/>
            <color rgb="FF000000"/>
            <rFont val="Tahoma"/>
            <family val="2"/>
          </rPr>
          <t>Keller, Zach:</t>
        </r>
        <r>
          <rPr>
            <sz val="10"/>
            <color rgb="FF000000"/>
            <rFont val="Tahoma"/>
            <family val="2"/>
          </rPr>
          <t xml:space="preserve">
</t>
        </r>
        <r>
          <rPr>
            <sz val="10"/>
            <color rgb="FF000000"/>
            <rFont val="Tahoma"/>
            <family val="2"/>
          </rPr>
          <t>Source: CNBC Official NBA Team Valuations 2026 (Feb 2026), https://www.cnbc.com/2026/02/13/nba-valuations-2026-new-york-knicks.html</t>
        </r>
      </text>
    </comment>
    <comment ref="C24" authorId="0" shapeId="0" xr:uid="{CAD752C4-C9D8-2243-86C6-24C95A5F669D}">
      <text>
        <r>
          <rPr>
            <b/>
            <sz val="10"/>
            <color rgb="FF000000"/>
            <rFont val="Tahoma"/>
            <family val="2"/>
          </rPr>
          <t>Keller, Zach:</t>
        </r>
        <r>
          <rPr>
            <sz val="10"/>
            <color rgb="FF000000"/>
            <rFont val="Tahoma"/>
            <family val="2"/>
          </rPr>
          <t xml:space="preserve">
</t>
        </r>
        <r>
          <rPr>
            <sz val="10"/>
            <color rgb="FF000000"/>
            <rFont val="Tahoma"/>
            <family val="2"/>
          </rPr>
          <t>Source: Sportico NBA Team Values 2025 (Oct 2025), via HoopsRumors (secondary source – repeats Sportico's list), https://www.hoopsrumors.com/2025/10/warriors-lakers-top-2025-nba-franchise-valuations.html</t>
        </r>
      </text>
    </comment>
    <comment ref="C25" authorId="0" shapeId="0" xr:uid="{FA1547A9-1FC3-A849-B229-61B2B8948DA7}">
      <text>
        <r>
          <rPr>
            <b/>
            <sz val="10"/>
            <color rgb="FF000000"/>
            <rFont val="Tahoma"/>
            <family val="2"/>
          </rPr>
          <t>Keller, Zach:</t>
        </r>
        <r>
          <rPr>
            <sz val="10"/>
            <color rgb="FF000000"/>
            <rFont val="Tahoma"/>
            <family val="2"/>
          </rPr>
          <t xml:space="preserve">
Source: Sportico NBA Team Values 2025 (Oct 2025), via HoopsRumors (secondary source – repeats Sportico's list), https://www.hoopsrumors.com/2025/10/warriors-lakers-top-2025-nba-franchise-valuations.html</t>
        </r>
      </text>
    </comment>
    <comment ref="C26" authorId="0" shapeId="0" xr:uid="{FDA1C68F-1C0E-7342-A22C-ACCD47DAB6F6}">
      <text>
        <r>
          <rPr>
            <b/>
            <sz val="10"/>
            <color rgb="FF000000"/>
            <rFont val="Tahoma"/>
            <family val="2"/>
          </rPr>
          <t>Keller, Zach:</t>
        </r>
        <r>
          <rPr>
            <sz val="10"/>
            <color rgb="FF000000"/>
            <rFont val="Tahoma"/>
            <family val="2"/>
          </rPr>
          <t xml:space="preserve">
Source: Sportico NBA Team Values 2025 (Oct 2025), via HoopsRumors (secondary source – repeats Sportico's list), https://www.hoopsrumors.com/2025/10/warriors-lakers-top-2025-nba-franchise-valuations.html</t>
        </r>
      </text>
    </comment>
    <comment ref="D26" authorId="0" shapeId="0" xr:uid="{22529A19-8939-7F4C-BD89-4EE7166715F4}">
      <text>
        <r>
          <rPr>
            <b/>
            <sz val="10"/>
            <color rgb="FF000000"/>
            <rFont val="Tahoma"/>
            <family val="2"/>
          </rPr>
          <t>Keller, Zach:</t>
        </r>
        <r>
          <rPr>
            <sz val="10"/>
            <color rgb="FF000000"/>
            <rFont val="Tahoma"/>
            <family val="2"/>
          </rPr>
          <t xml:space="preserve">
Source: CNBC Official NBA Team Valuations 2026 (Feb 2026), via NBC Sports Bay Area (secondary source), https://www.nbcsportsbayarea.com/nba/2026-nba-franchise-valuations/1911711/</t>
        </r>
      </text>
    </comment>
    <comment ref="C27" authorId="0" shapeId="0" xr:uid="{8B040ADD-AC10-2544-AD74-1448FEB85BD4}">
      <text>
        <r>
          <rPr>
            <b/>
            <sz val="10"/>
            <color rgb="FF000000"/>
            <rFont val="Tahoma"/>
            <family val="2"/>
          </rPr>
          <t>Keller, Zach:</t>
        </r>
        <r>
          <rPr>
            <sz val="10"/>
            <color rgb="FF000000"/>
            <rFont val="Tahoma"/>
            <family val="2"/>
          </rPr>
          <t xml:space="preserve">
Source: Sportico NBA Team Values 2025 (Oct 2025), via HoopsRumors (secondary source – repeats Sportico's list), https://www.hoopsrumors.com/2025/10/warriors-lakers-top-2025-nba-franchise-valuations.html</t>
        </r>
      </text>
    </comment>
    <comment ref="C28" authorId="0" shapeId="0" xr:uid="{FE265414-0CAE-B84C-A8B8-F0EE5F16047B}">
      <text>
        <r>
          <rPr>
            <b/>
            <sz val="10"/>
            <color rgb="FF000000"/>
            <rFont val="Tahoma"/>
            <family val="2"/>
          </rPr>
          <t>Keller, Zach:</t>
        </r>
        <r>
          <rPr>
            <sz val="10"/>
            <color rgb="FF000000"/>
            <rFont val="Tahoma"/>
            <family val="2"/>
          </rPr>
          <t xml:space="preserve">
Source: Sportico NBA Team Values 2025 (Oct 2025), via HoopsRumors (secondary source – repeats Sportico's list), https://www.hoopsrumors.com/2025/10/warriors-lakers-top-2025-nba-franchise-valuations.html</t>
        </r>
      </text>
    </comment>
    <comment ref="C29" authorId="0" shapeId="0" xr:uid="{6FEF4E3A-CEB6-D747-99E7-FA37799379CA}">
      <text>
        <r>
          <rPr>
            <b/>
            <sz val="10"/>
            <color rgb="FF000000"/>
            <rFont val="Tahoma"/>
            <family val="2"/>
          </rPr>
          <t>Keller, Zach:</t>
        </r>
        <r>
          <rPr>
            <sz val="10"/>
            <color rgb="FF000000"/>
            <rFont val="Tahoma"/>
            <family val="2"/>
          </rPr>
          <t xml:space="preserve">
Source: Sportico NBA Team Values 2025 (Oct 2025), via HoopsRumors (secondary source – repeats Sportico's list), https://www.hoopsrumors.com/2025/10/warriors-lakers-top-2025-nba-franchise-valuations.html</t>
        </r>
      </text>
    </comment>
    <comment ref="C30" authorId="0" shapeId="0" xr:uid="{4F41C764-5651-5E42-8BC9-4A9760B8D809}">
      <text>
        <r>
          <rPr>
            <b/>
            <sz val="10"/>
            <color rgb="FF000000"/>
            <rFont val="Tahoma"/>
            <family val="2"/>
          </rPr>
          <t>Keller, Zach:</t>
        </r>
        <r>
          <rPr>
            <sz val="10"/>
            <color rgb="FF000000"/>
            <rFont val="Tahoma"/>
            <family val="2"/>
          </rPr>
          <t xml:space="preserve">
</t>
        </r>
        <r>
          <rPr>
            <sz val="10"/>
            <color rgb="FF000000"/>
            <rFont val="Tahoma"/>
            <family val="2"/>
          </rPr>
          <t>Source: Sportico NBA Team Values 2025 (Oct 2025), via HoopsRumors (secondary source – repeats Sportico's list), https://www.hoopsrumors.com/2025/10/warriors-lakers-top-2025-nba-franchise-valuations.html</t>
        </r>
      </text>
    </comment>
    <comment ref="C31" authorId="0" shapeId="0" xr:uid="{643284AA-4063-DC4A-A7AF-3FFC9EF7D11D}">
      <text>
        <r>
          <rPr>
            <b/>
            <sz val="10"/>
            <color rgb="FF000000"/>
            <rFont val="Tahoma"/>
            <family val="2"/>
          </rPr>
          <t>Keller, Zach:</t>
        </r>
        <r>
          <rPr>
            <sz val="10"/>
            <color rgb="FF000000"/>
            <rFont val="Tahoma"/>
            <family val="2"/>
          </rPr>
          <t xml:space="preserve">
Source: Sportico NBA Team Values 2025 (Oct 2025), via HoopsRumors (secondary source – repeats Sportico's list), https://www.hoopsrumors.com/2025/10/warriors-lakers-top-2025-nba-franchise-valuations.html</t>
        </r>
      </text>
    </comment>
    <comment ref="C32" authorId="0" shapeId="0" xr:uid="{4C51B8D3-F842-BD47-84F7-5DCBA33541CB}">
      <text>
        <r>
          <rPr>
            <b/>
            <sz val="10"/>
            <color rgb="FF000000"/>
            <rFont val="Tahoma"/>
            <family val="2"/>
          </rPr>
          <t>Keller, Zach:</t>
        </r>
        <r>
          <rPr>
            <sz val="10"/>
            <color rgb="FF000000"/>
            <rFont val="Tahoma"/>
            <family val="2"/>
          </rPr>
          <t xml:space="preserve">
Source: Sportico NBA Team Values 2025 (Oct 2025), via HoopsRumors (secondary source – repeats Sportico's list), https://www.hoopsrumors.com/2025/10/warriors-lakers-top-2025-nba-franchise-valuations.html</t>
        </r>
      </text>
    </comment>
    <comment ref="C33" authorId="0" shapeId="0" xr:uid="{ED986C6A-4321-F74C-B8B5-1210B26F2B50}">
      <text>
        <r>
          <rPr>
            <b/>
            <sz val="10"/>
            <color rgb="FF000000"/>
            <rFont val="Tahoma"/>
            <family val="2"/>
          </rPr>
          <t>Keller, Zach:</t>
        </r>
        <r>
          <rPr>
            <sz val="10"/>
            <color rgb="FF000000"/>
            <rFont val="Tahoma"/>
            <family val="2"/>
          </rPr>
          <t xml:space="preserve">
Source: Sportico NBA Team Values 2025 (Oct 2025), via HoopsRumors (secondary source – repeats Sportico's list), https://www.hoopsrumors.com/2025/10/warriors-lakers-top-2025-nba-franchise-valuations.html</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Keller, Zach</author>
  </authors>
  <commentList>
    <comment ref="B5" authorId="0" shapeId="0" xr:uid="{EF9CB648-6F0D-9742-87A1-2E13606CC5F5}">
      <text>
        <r>
          <rPr>
            <b/>
            <sz val="10"/>
            <color rgb="FF000000"/>
            <rFont val="Tahoma"/>
            <family val="2"/>
          </rPr>
          <t>Keller, Zach:</t>
        </r>
        <r>
          <rPr>
            <sz val="10"/>
            <color rgb="FF000000"/>
            <rFont val="Tahoma"/>
            <family val="2"/>
          </rPr>
          <t xml:space="preserve">
Source: NBA, 2016-17 cap/tax announcement (via Spotrac CBA history, https://www.spotrac.com/nba/cba/tax)</t>
        </r>
      </text>
    </comment>
    <comment ref="C5" authorId="0" shapeId="0" xr:uid="{2D0D67F3-4B9F-9B4B-B32F-FAF6E4EB8B3D}">
      <text>
        <r>
          <rPr>
            <b/>
            <sz val="10"/>
            <color rgb="FF000000"/>
            <rFont val="Tahoma"/>
            <family val="2"/>
          </rPr>
          <t>Keller, Zach:</t>
        </r>
        <r>
          <rPr>
            <sz val="10"/>
            <color rgb="FF000000"/>
            <rFont val="Tahoma"/>
            <family val="2"/>
          </rPr>
          <t xml:space="preserve">
Source: NBA, https://pr.nba.com/nba-salary-cap-2017-18-season</t>
        </r>
      </text>
    </comment>
    <comment ref="D5" authorId="0" shapeId="0" xr:uid="{BB45CD85-5FF0-F54E-AE8B-046EFF86FFAC}">
      <text>
        <r>
          <rPr>
            <b/>
            <sz val="10"/>
            <color rgb="FF000000"/>
            <rFont val="Tahoma"/>
            <family val="2"/>
          </rPr>
          <t>Keller, Zach:</t>
        </r>
        <r>
          <rPr>
            <sz val="10"/>
            <color rgb="FF000000"/>
            <rFont val="Tahoma"/>
            <family val="2"/>
          </rPr>
          <t xml:space="preserve">
Source: NBA announcement via Sports Illustrated, https://www.si.com/nba/2018/09/17/nba-109-million-salary-cap-2019-20-season-118-million-cap-2020-21</t>
        </r>
      </text>
    </comment>
    <comment ref="E5" authorId="0" shapeId="0" xr:uid="{1E5F9E58-2238-6446-B033-F6A46E507871}">
      <text>
        <r>
          <rPr>
            <b/>
            <sz val="10"/>
            <color rgb="FF000000"/>
            <rFont val="Tahoma"/>
            <family val="2"/>
          </rPr>
          <t>Keller, Zach:</t>
        </r>
        <r>
          <rPr>
            <sz val="10"/>
            <color rgb="FF000000"/>
            <rFont val="Tahoma"/>
            <family val="2"/>
          </rPr>
          <t xml:space="preserve">
Source: NBA, https://pr.nba.com/nba-salary-cap-for-2019-20-season-set-at-109-140-million</t>
        </r>
      </text>
    </comment>
    <comment ref="F5" authorId="0" shapeId="0" xr:uid="{D6BF29C6-477D-A74D-A05F-80FC772DF368}">
      <text>
        <r>
          <rPr>
            <b/>
            <sz val="10"/>
            <color rgb="FF000000"/>
            <rFont val="Tahoma"/>
            <family val="2"/>
          </rPr>
          <t>Keller, Zach:</t>
        </r>
        <r>
          <rPr>
            <sz val="10"/>
            <color rgb="FF000000"/>
            <rFont val="Tahoma"/>
            <family val="2"/>
          </rPr>
          <t xml:space="preserve">
Source: NBA (unchanged from 2019-20) via HoopsRumors, https://www.hoopsrumors.com/2020/11/nba-teams-with-hard-caps-for-202021.html</t>
        </r>
      </text>
    </comment>
    <comment ref="G5" authorId="0" shapeId="0" xr:uid="{6686FDFE-EEDE-F147-A27E-29835A131917}">
      <text>
        <r>
          <rPr>
            <b/>
            <sz val="10"/>
            <color rgb="FF000000"/>
            <rFont val="Tahoma"/>
            <family val="2"/>
          </rPr>
          <t>Keller, Zach:</t>
        </r>
        <r>
          <rPr>
            <sz val="10"/>
            <color rgb="FF000000"/>
            <rFont val="Tahoma"/>
            <family val="2"/>
          </rPr>
          <t xml:space="preserve">
Source: NBA via Yardbarker, https://www.yardbarker.com/nba/articles/how_projected_nba_luxury_tax_payer_teams_look_in_2021_22/s1_16793_35777867</t>
        </r>
      </text>
    </comment>
    <comment ref="H5" authorId="0" shapeId="0" xr:uid="{F7D4ED58-08A7-404B-BC7B-C3163401ABAF}">
      <text>
        <r>
          <rPr>
            <b/>
            <sz val="10"/>
            <color rgb="FF000000"/>
            <rFont val="Tahoma"/>
            <family val="2"/>
          </rPr>
          <t>Keller, Zach:</t>
        </r>
        <r>
          <rPr>
            <sz val="10"/>
            <color rgb="FF000000"/>
            <rFont val="Tahoma"/>
            <family val="2"/>
          </rPr>
          <t xml:space="preserve">
Source: Sports Business Classroom, https://sportsbusinessclassroom.com/nba-2022-23-luxury-tax-tracker/</t>
        </r>
      </text>
    </comment>
    <comment ref="I5" authorId="0" shapeId="0" xr:uid="{90624062-A4D4-FF4A-9E0B-C2F5A20194F3}">
      <text>
        <r>
          <rPr>
            <b/>
            <sz val="10"/>
            <color rgb="FF000000"/>
            <rFont val="Tahoma"/>
            <family val="2"/>
          </rPr>
          <t>Keller, Zach:</t>
        </r>
        <r>
          <rPr>
            <sz val="10"/>
            <color rgb="FF000000"/>
            <rFont val="Tahoma"/>
            <family val="2"/>
          </rPr>
          <t xml:space="preserve">
Source: Sports Business Classroom, https://sportsbusinessclassroom.com/nba-2023-24-luxury-tax-tracker/</t>
        </r>
      </text>
    </comment>
    <comment ref="J5" authorId="0" shapeId="0" xr:uid="{BE842F2C-2F9F-9C44-8446-FFD4088250DA}">
      <text>
        <r>
          <rPr>
            <b/>
            <sz val="10"/>
            <color rgb="FF000000"/>
            <rFont val="Tahoma"/>
            <family val="2"/>
          </rPr>
          <t>Keller, Zach:</t>
        </r>
        <r>
          <rPr>
            <sz val="10"/>
            <color rgb="FF000000"/>
            <rFont val="Tahoma"/>
            <family val="2"/>
          </rPr>
          <t xml:space="preserve">
Source: NBA, https://pr.nba.com/2024-25-nba-season-salary-cap</t>
        </r>
      </text>
    </comment>
    <comment ref="K5" authorId="0" shapeId="0" xr:uid="{E748E9F6-D658-1945-A622-0FCEAD0347C1}">
      <text>
        <r>
          <rPr>
            <b/>
            <sz val="10"/>
            <color rgb="FF000000"/>
            <rFont val="Tahoma"/>
            <family val="2"/>
          </rPr>
          <t>Keller, Zach:</t>
        </r>
        <r>
          <rPr>
            <sz val="10"/>
            <color rgb="FF000000"/>
            <rFont val="Tahoma"/>
            <family val="2"/>
          </rPr>
          <t xml:space="preserve">
Source: Spotrac CBA history, https://www.spotrac.com/nba/cba ; Sports Business Classroom 2025-26 tracker</t>
        </r>
      </text>
    </comment>
    <comment ref="B6" authorId="0" shapeId="0" xr:uid="{275178FD-93EF-3549-8FAB-AB4205F7ED97}">
      <text>
        <r>
          <rPr>
            <b/>
            <sz val="10"/>
            <color rgb="FF000000"/>
            <rFont val="Tahoma"/>
            <family val="2"/>
          </rPr>
          <t>Keller, Zach:</t>
        </r>
        <r>
          <rPr>
            <sz val="10"/>
            <color rgb="FF000000"/>
            <rFont val="Tahoma"/>
            <family val="2"/>
          </rPr>
          <t xml:space="preserve">
Source: NBA, 2016-17 cap/tax announcement (via Spotrac CBA history, https://www.spotrac.com/nba/cba/tax)</t>
        </r>
      </text>
    </comment>
    <comment ref="C6" authorId="0" shapeId="0" xr:uid="{447519DB-5B5D-7B48-8A69-6EBF2267E427}">
      <text>
        <r>
          <rPr>
            <b/>
            <sz val="10"/>
            <color rgb="FF000000"/>
            <rFont val="Tahoma"/>
            <family val="2"/>
          </rPr>
          <t>Keller, Zach:</t>
        </r>
        <r>
          <rPr>
            <sz val="10"/>
            <color rgb="FF000000"/>
            <rFont val="Tahoma"/>
            <family val="2"/>
          </rPr>
          <t xml:space="preserve">
Source: NBA, https://pr.nba.com/nba-salary-cap-2017-18-season</t>
        </r>
      </text>
    </comment>
    <comment ref="D6" authorId="0" shapeId="0" xr:uid="{CA2ED0C6-D569-5842-8B87-112D139F852E}">
      <text>
        <r>
          <rPr>
            <b/>
            <sz val="10"/>
            <color rgb="FF000000"/>
            <rFont val="Tahoma"/>
            <family val="2"/>
          </rPr>
          <t>Keller, Zach:</t>
        </r>
        <r>
          <rPr>
            <sz val="10"/>
            <color rgb="FF000000"/>
            <rFont val="Tahoma"/>
            <family val="2"/>
          </rPr>
          <t xml:space="preserve">
Source: NBA announcement via Sports Illustrated, https://www.si.com/nba/2018/09/17/nba-109-million-salary-cap-2019-20-season-118-million-cap-2020-21</t>
        </r>
      </text>
    </comment>
    <comment ref="E6" authorId="0" shapeId="0" xr:uid="{3FE9A951-3E88-9848-A91B-28F909C8CC20}">
      <text>
        <r>
          <rPr>
            <b/>
            <sz val="10"/>
            <color rgb="FF000000"/>
            <rFont val="Tahoma"/>
            <family val="2"/>
          </rPr>
          <t>Keller, Zach:</t>
        </r>
        <r>
          <rPr>
            <sz val="10"/>
            <color rgb="FF000000"/>
            <rFont val="Tahoma"/>
            <family val="2"/>
          </rPr>
          <t xml:space="preserve">
Source: NBA, https://pr.nba.com/nba-salary-cap-for-2019-20-season-set-at-109-140-million</t>
        </r>
      </text>
    </comment>
    <comment ref="F6" authorId="0" shapeId="0" xr:uid="{7952FAA6-801F-2E4E-9837-BC8BC7A625DD}">
      <text>
        <r>
          <rPr>
            <b/>
            <sz val="10"/>
            <color rgb="FF000000"/>
            <rFont val="Tahoma"/>
            <family val="2"/>
          </rPr>
          <t>Keller, Zach:</t>
        </r>
        <r>
          <rPr>
            <sz val="10"/>
            <color rgb="FF000000"/>
            <rFont val="Tahoma"/>
            <family val="2"/>
          </rPr>
          <t xml:space="preserve">
Source: NBA (unchanged from 2019-20) via HoopsRumors, https://www.hoopsrumors.com/2020/11/nba-teams-with-hard-caps-for-202021.html</t>
        </r>
      </text>
    </comment>
    <comment ref="G6" authorId="0" shapeId="0" xr:uid="{4DB613F1-34F2-BA4F-8B9A-1A262503BB6B}">
      <text>
        <r>
          <rPr>
            <b/>
            <sz val="10"/>
            <color rgb="FF000000"/>
            <rFont val="Tahoma"/>
            <family val="2"/>
          </rPr>
          <t>Keller, Zach:</t>
        </r>
        <r>
          <rPr>
            <sz val="10"/>
            <color rgb="FF000000"/>
            <rFont val="Tahoma"/>
            <family val="2"/>
          </rPr>
          <t xml:space="preserve">
Source: NBA via Yardbarker, https://www.yardbarker.com/nba/articles/how_projected_nba_luxury_tax_payer_teams_look_in_2021_22/s1_16793_35777867</t>
        </r>
      </text>
    </comment>
    <comment ref="H6" authorId="0" shapeId="0" xr:uid="{BA1CDC68-B126-2C46-85D3-29FBD348FFB2}">
      <text>
        <r>
          <rPr>
            <b/>
            <sz val="10"/>
            <color rgb="FF000000"/>
            <rFont val="Tahoma"/>
            <family val="2"/>
          </rPr>
          <t>Keller, Zach:</t>
        </r>
        <r>
          <rPr>
            <sz val="10"/>
            <color rgb="FF000000"/>
            <rFont val="Tahoma"/>
            <family val="2"/>
          </rPr>
          <t xml:space="preserve">
Source: Sports Business Classroom, https://sportsbusinessclassroom.com/nba-2022-23-luxury-tax-tracker/</t>
        </r>
      </text>
    </comment>
    <comment ref="I6" authorId="0" shapeId="0" xr:uid="{8B9DFF91-1525-8B44-ADEA-E42EF89AC3B6}">
      <text>
        <r>
          <rPr>
            <b/>
            <sz val="10"/>
            <color rgb="FF000000"/>
            <rFont val="Tahoma"/>
            <family val="2"/>
          </rPr>
          <t>Keller, Zach:</t>
        </r>
        <r>
          <rPr>
            <sz val="10"/>
            <color rgb="FF000000"/>
            <rFont val="Tahoma"/>
            <family val="2"/>
          </rPr>
          <t xml:space="preserve">
Source: Sports Business Classroom, https://sportsbusinessclassroom.com/nba-2023-24-luxury-tax-tracker/</t>
        </r>
      </text>
    </comment>
    <comment ref="J6" authorId="0" shapeId="0" xr:uid="{023E4A3B-3D1C-C44E-847B-0EF7742EA06E}">
      <text>
        <r>
          <rPr>
            <b/>
            <sz val="10"/>
            <color rgb="FF000000"/>
            <rFont val="Tahoma"/>
            <family val="2"/>
          </rPr>
          <t>Keller, Zach:</t>
        </r>
        <r>
          <rPr>
            <sz val="10"/>
            <color rgb="FF000000"/>
            <rFont val="Tahoma"/>
            <family val="2"/>
          </rPr>
          <t xml:space="preserve">
Source: NBA, https://pr.nba.com/2024-25-nba-season-salary-cap</t>
        </r>
      </text>
    </comment>
    <comment ref="K6" authorId="0" shapeId="0" xr:uid="{A2248567-DFB3-DB43-96BF-07339594181A}">
      <text>
        <r>
          <rPr>
            <b/>
            <sz val="10"/>
            <color rgb="FF000000"/>
            <rFont val="Tahoma"/>
            <family val="2"/>
          </rPr>
          <t>Keller, Zach:</t>
        </r>
        <r>
          <rPr>
            <sz val="10"/>
            <color rgb="FF000000"/>
            <rFont val="Tahoma"/>
            <family val="2"/>
          </rPr>
          <t xml:space="preserve">
Source: Spotrac CBA history, https://www.spotrac.com/nba/cba ; Sports Business Classroom 2025-26 tracker</t>
        </r>
      </text>
    </comment>
    <comment ref="B10" authorId="0" shapeId="0" xr:uid="{F983BAA6-5A28-9E40-9607-B3B20E7C0CE5}">
      <text>
        <r>
          <rPr>
            <b/>
            <sz val="10"/>
            <color rgb="FF000000"/>
            <rFont val="Tahoma"/>
            <family val="2"/>
          </rPr>
          <t>Keller, Zach:</t>
        </r>
        <r>
          <rPr>
            <sz val="10"/>
            <color rgb="FF000000"/>
            <rFont val="Tahoma"/>
            <family val="2"/>
          </rPr>
          <t xml:space="preserve">
Source: Spotrac NBA Team Tax Tracker, 2016-17 season, "Salaries" column (tax payroll), screenshots uploaded by user, https://www.spotrac.com/nba/tax/_/year/2016/ . Definition note: Spotrac tax payroll as currently shown (end-of-season); 2023–2026 values come from Sports Business Classroom, so small definitional differences are possible. Checked: Salaries + Space = 2016-17 tax line $113287000.</t>
        </r>
      </text>
    </comment>
    <comment ref="C10" authorId="0" shapeId="0" xr:uid="{122FBC13-8F18-294F-B9D1-EA1A767A7D0B}">
      <text>
        <r>
          <rPr>
            <b/>
            <sz val="10"/>
            <color rgb="FF000000"/>
            <rFont val="Tahoma"/>
            <family val="2"/>
          </rPr>
          <t>Keller, Zach:</t>
        </r>
        <r>
          <rPr>
            <sz val="10"/>
            <color rgb="FF000000"/>
            <rFont val="Tahoma"/>
            <family val="2"/>
          </rPr>
          <t xml:space="preserve">
Source: Spotrac NBA Team Tax Tracker, 2017-18 season, "Salaries" column (tax payroll), screenshots uploaded by user, https://www.spotrac.com/nba/tax/_/year/2017/ . Definition note: Spotrac tax payroll as currently shown (end-of-season); 2023–2026 values come from Sports Business Classroom, so small definitional differences are possible. Checked: Salaries + Space = 2017-18 tax line $119266000.</t>
        </r>
      </text>
    </comment>
    <comment ref="D10" authorId="0" shapeId="0" xr:uid="{695E4E9D-F42C-3142-A3D7-83CCAD885BEC}">
      <text>
        <r>
          <rPr>
            <b/>
            <sz val="10"/>
            <color rgb="FF000000"/>
            <rFont val="Tahoma"/>
            <family val="2"/>
          </rPr>
          <t>Keller, Zach:</t>
        </r>
        <r>
          <rPr>
            <sz val="10"/>
            <color rgb="FF000000"/>
            <rFont val="Tahoma"/>
            <family val="2"/>
          </rPr>
          <t xml:space="preserve">
Source: Spotrac NBA Team Tax Tracker, 2018-19 season, "Salaries" column (tax payroll), screenshots uploaded by user, https://www.spotrac.com/nba/tax/_/year/2018/ . Definition note: Spotrac tax payroll as currently shown (end-of-season); 2023–2026 values come from Sports Business Classroom, so small definitional differences are possible. Checked: Salaries + Space = 2018-19 tax line $123733000.</t>
        </r>
      </text>
    </comment>
    <comment ref="E10" authorId="0" shapeId="0" xr:uid="{12BE0054-21CB-7F49-9C2C-0A3B0231F0BF}">
      <text>
        <r>
          <rPr>
            <b/>
            <sz val="10"/>
            <color rgb="FF000000"/>
            <rFont val="Tahoma"/>
            <family val="2"/>
          </rPr>
          <t>Keller, Zach:</t>
        </r>
        <r>
          <rPr>
            <sz val="10"/>
            <color rgb="FF000000"/>
            <rFont val="Tahoma"/>
            <family val="2"/>
          </rPr>
          <t xml:space="preserve">
Source: Spotrac NBA Team Tax Tracker, 2019-20 season, "Salaries" column (tax payroll), screenshots uploaded by user, https://www.spotrac.com/nba/tax/_/year/2019/ . Definition note: Spotrac tax payroll as currently shown (end-of-season); 2023–2026 values come from Sports Business Classroom, so small definitional differences are possible. Checked: Salaries + Space = 2019-20 tax line $132627000.</t>
        </r>
      </text>
    </comment>
    <comment ref="F10" authorId="0" shapeId="0" xr:uid="{05978238-010B-E544-851D-07B60418D622}">
      <text>
        <r>
          <rPr>
            <b/>
            <sz val="10"/>
            <color rgb="FF000000"/>
            <rFont val="Tahoma"/>
            <family val="2"/>
          </rPr>
          <t>Keller, Zach:</t>
        </r>
        <r>
          <rPr>
            <sz val="10"/>
            <color rgb="FF000000"/>
            <rFont val="Tahoma"/>
            <family val="2"/>
          </rPr>
          <t xml:space="preserve">
Source: Spotrac NBA Team Tax Tracker, 2020-21 season, "Salaries" column (tax payroll), screenshots uploaded by user, https://www.spotrac.com/nba/tax/_/year/2020/ . Definition note: Spotrac tax payroll as currently shown (end-of-season); 2023–2026 values come from Sports Business Classroom, so small definitional differences are possible. Checked: Salaries + Space = 2020-21 tax line $132627000.</t>
        </r>
      </text>
    </comment>
    <comment ref="G10" authorId="0" shapeId="0" xr:uid="{71D0D02F-F4E7-BB48-B9A5-8C7785B97A8C}">
      <text>
        <r>
          <rPr>
            <b/>
            <sz val="10"/>
            <color rgb="FF000000"/>
            <rFont val="Tahoma"/>
            <family val="2"/>
          </rPr>
          <t>Keller, Zach:</t>
        </r>
        <r>
          <rPr>
            <sz val="10"/>
            <color rgb="FF000000"/>
            <rFont val="Tahoma"/>
            <family val="2"/>
          </rPr>
          <t xml:space="preserve">
Source: Spotrac NBA Team Tax Tracker, 2021-22 season, "Salaries" column (tax payroll), screenshots uploaded by user, https://www.spotrac.com/nba/tax/_/year/2021/ . Definition note: Spotrac tax payroll as currently shown (end-of-season); 2023–2026 values come from Sports Business Classroom, so small definitional differences are possible. Checked: Salaries + Space = 2021-22 tax line $136606000.</t>
        </r>
      </text>
    </comment>
    <comment ref="H10" authorId="0" shapeId="0" xr:uid="{5223FA8A-7809-754E-8671-7543C2D36719}">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https://sportsbusinessclassroom.com/nba-2022-23-luxury-tax-tracker/</t>
        </r>
      </text>
    </comment>
    <comment ref="I10" authorId="0" shapeId="0" xr:uid="{EC13D8A4-9769-4548-980B-5CFEEFAFD738}">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https://sportsbusinessclassroom.com/nba-2023-24-luxury-tax-tracker/</t>
        </r>
      </text>
    </comment>
    <comment ref="J10" authorId="0" shapeId="0" xr:uid="{997B271C-E7F3-8E41-AED4-8F7FF410CCDE}">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https://sportsbusinessclassroom.com/nba-2024-25-luxury-tax-tracker/</t>
        </r>
      </text>
    </comment>
    <comment ref="K10" authorId="0" shapeId="0" xr:uid="{FED0CA8C-461E-6F44-9919-35E110E59414}">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https://sportsbusinessclassroom.com/nba-2025-26-luxury-tax-tracker/</t>
        </r>
      </text>
    </comment>
    <comment ref="B11" authorId="0" shapeId="0" xr:uid="{1AB37838-0487-4C4A-ADC8-99B80FBF5F8F}">
      <text>
        <r>
          <rPr>
            <b/>
            <sz val="10"/>
            <color rgb="FF000000"/>
            <rFont val="Tahoma"/>
            <family val="2"/>
          </rPr>
          <t>Keller, Zach:</t>
        </r>
        <r>
          <rPr>
            <sz val="10"/>
            <color rgb="FF000000"/>
            <rFont val="Tahoma"/>
            <family val="2"/>
          </rPr>
          <t xml:space="preserve">
Source: Spotrac NBA Team Tax Tracker, 2016-17 season, "Salaries" column (tax payroll), screenshots uploaded by user, https://www.spotrac.com/nba/tax/_/year/2016/ . Definition note: Spotrac tax payroll as currently shown (end-of-season); 2023–2026 values come from Sports Business Classroom, so small definitional differences are possible. Checked: Salaries + Space = 2016-17 tax line $113287000.</t>
        </r>
      </text>
    </comment>
    <comment ref="C11" authorId="0" shapeId="0" xr:uid="{9C384ACC-70F8-7645-B902-7C3A07DA5302}">
      <text>
        <r>
          <rPr>
            <b/>
            <sz val="10"/>
            <color rgb="FF000000"/>
            <rFont val="Tahoma"/>
            <family val="2"/>
          </rPr>
          <t>Keller, Zach:</t>
        </r>
        <r>
          <rPr>
            <sz val="10"/>
            <color rgb="FF000000"/>
            <rFont val="Tahoma"/>
            <family val="2"/>
          </rPr>
          <t xml:space="preserve">
Source: Spotrac NBA Team Tax Tracker, 2017-18 season, "Salaries" column (tax payroll), screenshots uploaded by user, https://www.spotrac.com/nba/tax/_/year/2017/ . Definition note: Spotrac tax payroll as currently shown (end-of-season); 2023–2026 values come from Sports Business Classroom, so small definitional differences are possible. Checked: Salaries + Space = 2017-18 tax line $119266000.</t>
        </r>
      </text>
    </comment>
    <comment ref="D11" authorId="0" shapeId="0" xr:uid="{F9E6EFDA-18E3-244D-9630-5AC784FC07F2}">
      <text>
        <r>
          <rPr>
            <b/>
            <sz val="10"/>
            <color rgb="FF000000"/>
            <rFont val="Tahoma"/>
            <family val="2"/>
          </rPr>
          <t>Keller, Zach:</t>
        </r>
        <r>
          <rPr>
            <sz val="10"/>
            <color rgb="FF000000"/>
            <rFont val="Tahoma"/>
            <family val="2"/>
          </rPr>
          <t xml:space="preserve">
Source: Spotrac NBA Team Tax Tracker, 2018-19 season, "Salaries" column (tax payroll), screenshots uploaded by user, https://www.spotrac.com/nba/tax/_/year/2018/ . Definition note: Spotrac tax payroll as currently shown (end-of-season); 2023–2026 values come from Sports Business Classroom, so small definitional differences are possible. Checked: Salaries + Space = 2018-19 tax line $123733000.</t>
        </r>
      </text>
    </comment>
    <comment ref="E11" authorId="0" shapeId="0" xr:uid="{CC327736-50F9-A54B-829C-3BED7BA0A3C0}">
      <text>
        <r>
          <rPr>
            <b/>
            <sz val="10"/>
            <color rgb="FF000000"/>
            <rFont val="Tahoma"/>
            <family val="2"/>
          </rPr>
          <t>Keller, Zach:</t>
        </r>
        <r>
          <rPr>
            <sz val="10"/>
            <color rgb="FF000000"/>
            <rFont val="Tahoma"/>
            <family val="2"/>
          </rPr>
          <t xml:space="preserve">
Source: Spotrac NBA Team Tax Tracker, 2019-20 season, "Salaries" column (tax payroll), screenshots uploaded by user, https://www.spotrac.com/nba/tax/_/year/2019/ . Definition note: Spotrac tax payroll as currently shown (end-of-season); 2023–2026 values come from Sports Business Classroom, so small definitional differences are possible. Checked: Salaries + Space = 2019-20 tax line $132627000.</t>
        </r>
      </text>
    </comment>
    <comment ref="F11" authorId="0" shapeId="0" xr:uid="{89399330-91F2-BA40-95F8-05DB38D3F2AA}">
      <text>
        <r>
          <rPr>
            <b/>
            <sz val="10"/>
            <color rgb="FF000000"/>
            <rFont val="Tahoma"/>
            <family val="2"/>
          </rPr>
          <t>Keller, Zach:</t>
        </r>
        <r>
          <rPr>
            <sz val="10"/>
            <color rgb="FF000000"/>
            <rFont val="Tahoma"/>
            <family val="2"/>
          </rPr>
          <t xml:space="preserve">
Source: Spotrac NBA Team Tax Tracker, 2020-21 season, "Salaries" column (tax payroll), screenshots uploaded by user, https://www.spotrac.com/nba/tax/_/year/2020/ . Definition note: Spotrac tax payroll as currently shown (end-of-season); 2023–2026 values come from Sports Business Classroom, so small definitional differences are possible. Checked: Salaries + Space = 2020-21 tax line $132627000.</t>
        </r>
      </text>
    </comment>
    <comment ref="G11" authorId="0" shapeId="0" xr:uid="{D7063653-5872-0F46-956B-6F9D7026C767}">
      <text>
        <r>
          <rPr>
            <b/>
            <sz val="10"/>
            <color rgb="FF000000"/>
            <rFont val="Tahoma"/>
            <family val="2"/>
          </rPr>
          <t>Keller, Zach:</t>
        </r>
        <r>
          <rPr>
            <sz val="10"/>
            <color rgb="FF000000"/>
            <rFont val="Tahoma"/>
            <family val="2"/>
          </rPr>
          <t xml:space="preserve">
Source: Spotrac NBA Team Tax Tracker, 2021-22 season, "Salaries" column (tax payroll), screenshots uploaded by user, https://www.spotrac.com/nba/tax/_/year/2021/ . Definition note: Spotrac tax payroll as currently shown (end-of-season); 2023–2026 values come from Sports Business Classroom, so small definitional differences are possible. Checked: Salaries + Space = 2021-22 tax line $136606000.</t>
        </r>
      </text>
    </comment>
    <comment ref="H11" authorId="0" shapeId="0" xr:uid="{1E747BA0-850C-4146-BAD7-F18B76B64487}">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https://sportsbusinessclassroom.com/nba-2022-23-luxury-tax-tracker/</t>
        </r>
      </text>
    </comment>
    <comment ref="I11" authorId="0" shapeId="0" xr:uid="{7CB91DBD-BE05-F842-9F0D-DEA44A4FD501}">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https://sportsbusinessclassroom.com/nba-2023-24-luxury-tax-tracker/</t>
        </r>
      </text>
    </comment>
    <comment ref="J11" authorId="0" shapeId="0" xr:uid="{81EAD120-89EE-3641-A85D-E975E71221EB}">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https://sportsbusinessclassroom.com/nba-2024-25-luxury-tax-tracker/</t>
        </r>
      </text>
    </comment>
    <comment ref="K11" authorId="0" shapeId="0" xr:uid="{75EE17DB-D3E5-754D-8376-8C7779547DC5}">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https://sportsbusinessclassroom.com/nba-2025-26-luxury-tax-tracker/</t>
        </r>
      </text>
    </comment>
    <comment ref="B12" authorId="0" shapeId="0" xr:uid="{04A3FDD5-2C85-B449-AC7A-72E1A30CC4D7}">
      <text>
        <r>
          <rPr>
            <b/>
            <sz val="10"/>
            <color rgb="FF000000"/>
            <rFont val="Tahoma"/>
            <family val="2"/>
          </rPr>
          <t>Keller, Zach:</t>
        </r>
        <r>
          <rPr>
            <sz val="10"/>
            <color rgb="FF000000"/>
            <rFont val="Tahoma"/>
            <family val="2"/>
          </rPr>
          <t xml:space="preserve">
Source: Spotrac NBA Team Tax Tracker, 2016-17 season, "Salaries" column (tax payroll), screenshots uploaded by user, https://www.spotrac.com/nba/tax/_/year/2016/ . Definition note: Spotrac tax payroll as currently shown (end-of-season); 2023–2026 values come from Sports Business Classroom, so small definitional differences are possible. Checked: Salaries + Space = 2016-17 tax line $113287000.</t>
        </r>
      </text>
    </comment>
    <comment ref="C12" authorId="0" shapeId="0" xr:uid="{8BEBABD7-E09A-DD47-925F-14EC4EE32789}">
      <text>
        <r>
          <rPr>
            <b/>
            <sz val="10"/>
            <color rgb="FF000000"/>
            <rFont val="Tahoma"/>
            <family val="2"/>
          </rPr>
          <t>Keller, Zach:</t>
        </r>
        <r>
          <rPr>
            <sz val="10"/>
            <color rgb="FF000000"/>
            <rFont val="Tahoma"/>
            <family val="2"/>
          </rPr>
          <t xml:space="preserve">
Source: Spotrac NBA Team Tax Tracker, 2017-18 season, "Salaries" column (tax payroll), screenshots uploaded by user, https://www.spotrac.com/nba/tax/_/year/2017/ . Definition note: Spotrac tax payroll as currently shown (end-of-season); 2023–2026 values come from Sports Business Classroom, so small definitional differences are possible. Checked: Salaries + Space = 2017-18 tax line $119266000.</t>
        </r>
      </text>
    </comment>
    <comment ref="D12" authorId="0" shapeId="0" xr:uid="{ECBC2D8A-B876-5748-9784-FA4168A5BDE3}">
      <text>
        <r>
          <rPr>
            <b/>
            <sz val="10"/>
            <color rgb="FF000000"/>
            <rFont val="Tahoma"/>
            <family val="2"/>
          </rPr>
          <t>Keller, Zach:</t>
        </r>
        <r>
          <rPr>
            <sz val="10"/>
            <color rgb="FF000000"/>
            <rFont val="Tahoma"/>
            <family val="2"/>
          </rPr>
          <t xml:space="preserve">
Source: Spotrac NBA Team Tax Tracker, 2018-19 season, "Salaries" column (tax payroll), screenshots uploaded by user, https://www.spotrac.com/nba/tax/_/year/2018/ . Definition note: Spotrac tax payroll as currently shown (end-of-season); 2023–2026 values come from Sports Business Classroom, so small definitional differences are possible. Checked: Salaries + Space = 2018-19 tax line $123733000.</t>
        </r>
      </text>
    </comment>
    <comment ref="E12" authorId="0" shapeId="0" xr:uid="{FD324EDA-D73A-BD47-A944-49B0EC790A6E}">
      <text>
        <r>
          <rPr>
            <b/>
            <sz val="10"/>
            <color rgb="FF000000"/>
            <rFont val="Tahoma"/>
            <family val="2"/>
          </rPr>
          <t>Keller, Zach:</t>
        </r>
        <r>
          <rPr>
            <sz val="10"/>
            <color rgb="FF000000"/>
            <rFont val="Tahoma"/>
            <family val="2"/>
          </rPr>
          <t xml:space="preserve">
Source: Spotrac NBA Team Tax Tracker, 2019-20 season, "Salaries" column (tax payroll), screenshots uploaded by user, https://www.spotrac.com/nba/tax/_/year/2019/ . Definition note: Spotrac tax payroll as currently shown (end-of-season); 2023–2026 values come from Sports Business Classroom, so small definitional differences are possible. Checked: Salaries + Space = 2019-20 tax line $132627000.</t>
        </r>
      </text>
    </comment>
    <comment ref="F12" authorId="0" shapeId="0" xr:uid="{7AAE57B8-F610-7249-A66B-2C137F261AE2}">
      <text>
        <r>
          <rPr>
            <b/>
            <sz val="10"/>
            <color rgb="FF000000"/>
            <rFont val="Tahoma"/>
            <family val="2"/>
          </rPr>
          <t>Keller, Zach:</t>
        </r>
        <r>
          <rPr>
            <sz val="10"/>
            <color rgb="FF000000"/>
            <rFont val="Tahoma"/>
            <family val="2"/>
          </rPr>
          <t xml:space="preserve">
Source: Spotrac NBA Team Tax Tracker, 2020-21 season, "Salaries" column (tax payroll), screenshots uploaded by user, https://www.spotrac.com/nba/tax/_/year/2020/ . Definition note: Spotrac tax payroll as currently shown (end-of-season); 2023–2026 values come from Sports Business Classroom, so small definitional differences are possible. Checked: Salaries + Space = 2020-21 tax line $132627000.</t>
        </r>
      </text>
    </comment>
    <comment ref="G12" authorId="0" shapeId="0" xr:uid="{CF09B1DA-A544-C348-933C-6B65E9BB2C71}">
      <text>
        <r>
          <rPr>
            <b/>
            <sz val="10"/>
            <color rgb="FF000000"/>
            <rFont val="Tahoma"/>
            <family val="2"/>
          </rPr>
          <t>Keller, Zach:</t>
        </r>
        <r>
          <rPr>
            <sz val="10"/>
            <color rgb="FF000000"/>
            <rFont val="Tahoma"/>
            <family val="2"/>
          </rPr>
          <t xml:space="preserve">
Source: Spotrac NBA Team Tax Tracker, 2021-22 season, "Salaries" column (tax payroll), screenshots uploaded by user, https://www.spotrac.com/nba/tax/_/year/2021/ . Definition note: Spotrac tax payroll as currently shown (end-of-season); 2023–2026 values come from Sports Business Classroom, so small definitional differences are possible. Checked: Salaries + Space = 2021-22 tax line $136606000.</t>
        </r>
      </text>
    </comment>
    <comment ref="H12" authorId="0" shapeId="0" xr:uid="{AE07E1F9-EF9C-0843-A0C8-0D6D1D9373B6}">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https://sportsbusinessclassroom.com/nba-2022-23-luxury-tax-tracker/</t>
        </r>
      </text>
    </comment>
    <comment ref="I12" authorId="0" shapeId="0" xr:uid="{07E1E965-228F-194C-9BA7-0F6CC5986E72}">
      <text>
        <r>
          <rPr>
            <b/>
            <sz val="10"/>
            <color rgb="FF000000"/>
            <rFont val="Tahoma"/>
            <family val="2"/>
          </rPr>
          <t>Keller, Zach:</t>
        </r>
        <r>
          <rPr>
            <sz val="10"/>
            <color rgb="FF000000"/>
            <rFont val="Tahoma"/>
            <family val="2"/>
          </rPr>
          <t xml:space="preserve">
</t>
        </r>
        <r>
          <rPr>
            <sz val="10"/>
            <color rgb="FF000000"/>
            <rFont val="Tahoma"/>
            <family val="2"/>
          </rPr>
          <t>Source: Sports Business Classroom (Eric Pincus) luxury tax tracker – end-of-season taxable payroll (secondary source, not official NBA data), https://sportsbusinessclassroom.com/nba-2023-24-luxury-tax-tracker/</t>
        </r>
      </text>
    </comment>
    <comment ref="J12" authorId="0" shapeId="0" xr:uid="{F85C8C8E-E5E4-EE4B-A9B1-9B784B1F37AF}">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https://sportsbusinessclassroom.com/nba-2024-25-luxury-tax-tracker/</t>
        </r>
      </text>
    </comment>
    <comment ref="K12" authorId="0" shapeId="0" xr:uid="{9EB72F3F-F258-9C40-A105-10C8960238BB}">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https://sportsbusinessclassroom.com/nba-2025-26-luxury-tax-tracker/</t>
        </r>
      </text>
    </comment>
    <comment ref="B13" authorId="0" shapeId="0" xr:uid="{0FBE770F-134A-694D-8AB7-2D2D4B79C6D8}">
      <text>
        <r>
          <rPr>
            <b/>
            <sz val="10"/>
            <color rgb="FF000000"/>
            <rFont val="Tahoma"/>
            <family val="2"/>
          </rPr>
          <t>Keller, Zach:</t>
        </r>
        <r>
          <rPr>
            <sz val="10"/>
            <color rgb="FF000000"/>
            <rFont val="Tahoma"/>
            <family val="2"/>
          </rPr>
          <t xml:space="preserve">
Source: Spotrac NBA Team Tax Tracker, 2016-17 season, "Salaries" column (tax payroll), screenshots uploaded by user, https://www.spotrac.com/nba/tax/_/year/2016/ . Definition note: Spotrac tax payroll as currently shown (end-of-season); 2023–2026 values come from Sports Business Classroom, so small definitional differences are possible. Checked: Salaries + Space = 2016-17 tax line $113287000.</t>
        </r>
      </text>
    </comment>
    <comment ref="C13" authorId="0" shapeId="0" xr:uid="{5B497903-DCD9-9048-8337-7DA261728186}">
      <text>
        <r>
          <rPr>
            <b/>
            <sz val="10"/>
            <color rgb="FF000000"/>
            <rFont val="Tahoma"/>
            <family val="2"/>
          </rPr>
          <t>Keller, Zach:</t>
        </r>
        <r>
          <rPr>
            <sz val="10"/>
            <color rgb="FF000000"/>
            <rFont val="Tahoma"/>
            <family val="2"/>
          </rPr>
          <t xml:space="preserve">
Source: Spotrac NBA Team Tax Tracker, 2017-18 season, "Salaries" column (tax payroll), screenshots uploaded by user, https://www.spotrac.com/nba/tax/_/year/2017/ . Definition note: Spotrac tax payroll as currently shown (end-of-season); 2023–2026 values come from Sports Business Classroom, so small definitional differences are possible. Checked: Salaries + Space = 2017-18 tax line $119266000.</t>
        </r>
      </text>
    </comment>
    <comment ref="D13" authorId="0" shapeId="0" xr:uid="{03F3D714-FDB5-E041-932A-F3FCCAA5B744}">
      <text>
        <r>
          <rPr>
            <b/>
            <sz val="10"/>
            <color rgb="FF000000"/>
            <rFont val="Tahoma"/>
            <family val="2"/>
          </rPr>
          <t>Keller, Zach:</t>
        </r>
        <r>
          <rPr>
            <sz val="10"/>
            <color rgb="FF000000"/>
            <rFont val="Tahoma"/>
            <family val="2"/>
          </rPr>
          <t xml:space="preserve">
Source: Spotrac NBA Team Tax Tracker, 2018-19 season, "Salaries" column (tax payroll), screenshots uploaded by user, https://www.spotrac.com/nba/tax/_/year/2018/ . Definition note: Spotrac tax payroll as currently shown (end-of-season); 2023–2026 values come from Sports Business Classroom, so small definitional differences are possible. Checked: Salaries + Space = 2018-19 tax line $123733000.</t>
        </r>
      </text>
    </comment>
    <comment ref="E13" authorId="0" shapeId="0" xr:uid="{EA22FCBF-3D1B-494D-985E-18BC4085DD7F}">
      <text>
        <r>
          <rPr>
            <b/>
            <sz val="10"/>
            <color rgb="FF000000"/>
            <rFont val="Tahoma"/>
            <family val="2"/>
          </rPr>
          <t>Keller, Zach:</t>
        </r>
        <r>
          <rPr>
            <sz val="10"/>
            <color rgb="FF000000"/>
            <rFont val="Tahoma"/>
            <family val="2"/>
          </rPr>
          <t xml:space="preserve">
Source: Spotrac NBA Team Tax Tracker, 2019-20 season, "Salaries" column (tax payroll), screenshots uploaded by user, https://www.spotrac.com/nba/tax/_/year/2019/ . Definition note: Spotrac tax payroll as currently shown (end-of-season); 2023–2026 values come from Sports Business Classroom, so small definitional differences are possible. Checked: Salaries + Space = 2019-20 tax line $132627000.</t>
        </r>
      </text>
    </comment>
    <comment ref="F13" authorId="0" shapeId="0" xr:uid="{4DD422A1-C56F-CE4E-89F9-724E6F2CF906}">
      <text>
        <r>
          <rPr>
            <b/>
            <sz val="10"/>
            <color rgb="FF000000"/>
            <rFont val="Tahoma"/>
            <family val="2"/>
          </rPr>
          <t>Keller, Zach:</t>
        </r>
        <r>
          <rPr>
            <sz val="10"/>
            <color rgb="FF000000"/>
            <rFont val="Tahoma"/>
            <family val="2"/>
          </rPr>
          <t xml:space="preserve">
Source: Spotrac NBA Team Tax Tracker, 2020-21 season, "Salaries" column (tax payroll), screenshots uploaded by user, https://www.spotrac.com/nba/tax/_/year/2020/ . Definition note: Spotrac tax payroll as currently shown (end-of-season); 2023–2026 values come from Sports Business Classroom, so small definitional differences are possible. Checked: Salaries + Space = 2020-21 tax line $132627000.</t>
        </r>
      </text>
    </comment>
    <comment ref="G13" authorId="0" shapeId="0" xr:uid="{F71BB96D-8B78-AE41-A7E0-BBAEC7569160}">
      <text>
        <r>
          <rPr>
            <b/>
            <sz val="10"/>
            <color rgb="FF000000"/>
            <rFont val="Tahoma"/>
            <family val="2"/>
          </rPr>
          <t>Keller, Zach:</t>
        </r>
        <r>
          <rPr>
            <sz val="10"/>
            <color rgb="FF000000"/>
            <rFont val="Tahoma"/>
            <family val="2"/>
          </rPr>
          <t xml:space="preserve">
Source: Spotrac NBA Team Tax Tracker, 2021-22 season, "Salaries" column (tax payroll), screenshots uploaded by user, https://www.spotrac.com/nba/tax/_/year/2021/ . Definition note: Spotrac tax payroll as currently shown (end-of-season); 2023–2026 values come from Sports Business Classroom, so small definitional differences are possible. Checked: Salaries + Space = 2021-22 tax line $136606000.</t>
        </r>
      </text>
    </comment>
    <comment ref="H13" authorId="0" shapeId="0" xr:uid="{224BF033-01D7-EB49-B0C8-AF28B48FE6A1}">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https://sportsbusinessclassroom.com/nba-2022-23-luxury-tax-tracker/</t>
        </r>
      </text>
    </comment>
    <comment ref="I13" authorId="0" shapeId="0" xr:uid="{69CC907A-E699-2649-8725-4AF7F6B08B2D}">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https://sportsbusinessclassroom.com/nba-2023-24-luxury-tax-tracker/</t>
        </r>
      </text>
    </comment>
    <comment ref="J13" authorId="0" shapeId="0" xr:uid="{4991348A-8756-664B-9340-223B666C2985}">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https://sportsbusinessclassroom.com/nba-2024-25-luxury-tax-tracker/</t>
        </r>
      </text>
    </comment>
    <comment ref="K13" authorId="0" shapeId="0" xr:uid="{154B47DD-170C-A048-9666-FF30D698FD9C}">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https://sportsbusinessclassroom.com/nba-2025-26-luxury-tax-tracker/</t>
        </r>
      </text>
    </comment>
    <comment ref="B14" authorId="0" shapeId="0" xr:uid="{BB7F681A-A0F8-2149-A78F-450A4B7C32DC}">
      <text>
        <r>
          <rPr>
            <b/>
            <sz val="10"/>
            <color rgb="FF000000"/>
            <rFont val="Tahoma"/>
            <family val="2"/>
          </rPr>
          <t>Keller, Zach:</t>
        </r>
        <r>
          <rPr>
            <sz val="10"/>
            <color rgb="FF000000"/>
            <rFont val="Tahoma"/>
            <family val="2"/>
          </rPr>
          <t xml:space="preserve">
Source: Spotrac NBA Team Tax Tracker, 2016-17 season, "Salaries" column (tax payroll), screenshots uploaded by user, https://www.spotrac.com/nba/tax/_/year/2016/ . Definition note: Spotrac tax payroll as currently shown (end-of-season); 2023–2026 values come from Sports Business Classroom, so small definitional differences are possible. Checked: Salaries + Space = 2016-17 tax line $113287000.</t>
        </r>
      </text>
    </comment>
    <comment ref="C14" authorId="0" shapeId="0" xr:uid="{57D8F10A-CC43-7745-AE0A-6EF28519607C}">
      <text>
        <r>
          <rPr>
            <b/>
            <sz val="10"/>
            <color rgb="FF000000"/>
            <rFont val="Tahoma"/>
            <family val="2"/>
          </rPr>
          <t>Keller, Zach:</t>
        </r>
        <r>
          <rPr>
            <sz val="10"/>
            <color rgb="FF000000"/>
            <rFont val="Tahoma"/>
            <family val="2"/>
          </rPr>
          <t xml:space="preserve">
Source: Spotrac NBA Team Tax Tracker, 2017-18 season, "Salaries" column (tax payroll), screenshots uploaded by user, https://www.spotrac.com/nba/tax/_/year/2017/ . Definition note: Spotrac tax payroll as currently shown (end-of-season); 2023–2026 values come from Sports Business Classroom, so small definitional differences are possible. Checked: Salaries + Space = 2017-18 tax line $119266000.</t>
        </r>
      </text>
    </comment>
    <comment ref="D14" authorId="0" shapeId="0" xr:uid="{402B79D6-2D15-6F46-8349-3A6260361AAF}">
      <text>
        <r>
          <rPr>
            <b/>
            <sz val="10"/>
            <color rgb="FF000000"/>
            <rFont val="Tahoma"/>
            <family val="2"/>
          </rPr>
          <t>Keller, Zach:</t>
        </r>
        <r>
          <rPr>
            <sz val="10"/>
            <color rgb="FF000000"/>
            <rFont val="Tahoma"/>
            <family val="2"/>
          </rPr>
          <t xml:space="preserve">
</t>
        </r>
        <r>
          <rPr>
            <sz val="10"/>
            <color rgb="FF000000"/>
            <rFont val="Tahoma"/>
            <family val="2"/>
          </rPr>
          <t>Source: Spotrac NBA Team Tax Tracker, 2018-19 season, "Salaries" column (tax payroll), screenshots uploaded by user, https://www.spotrac.com/nba/tax/_/year/2018/ . Definition note: Spotrac tax payroll as currently shown (end-of-season); 2023–2026 values come from Sports Business Classroom, so small definitional differences are possible. Checked: Salaries + Space = 2018-19 tax line $123733000.</t>
        </r>
      </text>
    </comment>
    <comment ref="E14" authorId="0" shapeId="0" xr:uid="{00162C3E-BB04-7249-9891-A2AA55E20ED6}">
      <text>
        <r>
          <rPr>
            <b/>
            <sz val="10"/>
            <color rgb="FF000000"/>
            <rFont val="Tahoma"/>
            <family val="2"/>
          </rPr>
          <t>Keller, Zach:</t>
        </r>
        <r>
          <rPr>
            <sz val="10"/>
            <color rgb="FF000000"/>
            <rFont val="Tahoma"/>
            <family val="2"/>
          </rPr>
          <t xml:space="preserve">
Source: Spotrac NBA Team Tax Tracker, 2019-20 season, "Salaries" column (tax payroll), screenshots uploaded by user, https://www.spotrac.com/nba/tax/_/year/2019/ . Definition note: Spotrac tax payroll as currently shown (end-of-season); 2023–2026 values come from Sports Business Classroom, so small definitional differences are possible. Checked: Salaries + Space = 2019-20 tax line $132627000.</t>
        </r>
      </text>
    </comment>
    <comment ref="F14" authorId="0" shapeId="0" xr:uid="{B044976E-40CC-3D4D-AB5A-F89E396BD262}">
      <text>
        <r>
          <rPr>
            <b/>
            <sz val="10"/>
            <color rgb="FF000000"/>
            <rFont val="Tahoma"/>
            <family val="2"/>
          </rPr>
          <t>Keller, Zach:</t>
        </r>
        <r>
          <rPr>
            <sz val="10"/>
            <color rgb="FF000000"/>
            <rFont val="Tahoma"/>
            <family val="2"/>
          </rPr>
          <t xml:space="preserve">
Source: Spotrac NBA Team Tax Tracker, 2020-21 season, "Salaries" column (tax payroll), screenshots uploaded by user, https://www.spotrac.com/nba/tax/_/year/2020/ . Definition note: Spotrac tax payroll as currently shown (end-of-season); 2023–2026 values come from Sports Business Classroom, so small definitional differences are possible. Checked: Salaries + Space = 2020-21 tax line $132627000.</t>
        </r>
      </text>
    </comment>
    <comment ref="G14" authorId="0" shapeId="0" xr:uid="{BE15DEE1-F14A-7D48-9AC3-5F5508F2FCB0}">
      <text>
        <r>
          <rPr>
            <b/>
            <sz val="10"/>
            <color rgb="FF000000"/>
            <rFont val="Tahoma"/>
            <family val="2"/>
          </rPr>
          <t>Keller, Zach:</t>
        </r>
        <r>
          <rPr>
            <sz val="10"/>
            <color rgb="FF000000"/>
            <rFont val="Tahoma"/>
            <family val="2"/>
          </rPr>
          <t xml:space="preserve">
Source: Spotrac NBA Team Tax Tracker, 2021-22 season, "Salaries" column (tax payroll), screenshots uploaded by user, https://www.spotrac.com/nba/tax/_/year/2021/ . Definition note: Spotrac tax payroll as currently shown (end-of-season); 2023–2026 values come from Sports Business Classroom, so small definitional differences are possible. Checked: Salaries + Space = 2021-22 tax line $136606000.</t>
        </r>
      </text>
    </comment>
    <comment ref="H14" authorId="0" shapeId="0" xr:uid="{F27F7502-0296-CD4B-BA88-0BDB0EF4A43B}">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https://sportsbusinessclassroom.com/nba-2022-23-luxury-tax-tracker/</t>
        </r>
      </text>
    </comment>
    <comment ref="I14" authorId="0" shapeId="0" xr:uid="{F5C323FE-4EE0-F847-8027-1B00EEB836E6}">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https://sportsbusinessclassroom.com/nba-2023-24-luxury-tax-tracker/</t>
        </r>
      </text>
    </comment>
    <comment ref="J14" authorId="0" shapeId="0" xr:uid="{2C0C82E6-16D5-0E41-9FF6-DB2753D3FC7C}">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https://sportsbusinessclassroom.com/nba-2024-25-luxury-tax-tracker/</t>
        </r>
      </text>
    </comment>
    <comment ref="K14" authorId="0" shapeId="0" xr:uid="{6BC46DC1-4E57-FA46-A4FC-CD029C784FC5}">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https://sportsbusinessclassroom.com/nba-2025-26-luxury-tax-tracker/</t>
        </r>
      </text>
    </comment>
    <comment ref="B15" authorId="0" shapeId="0" xr:uid="{3629ED26-705B-3A4F-ACA1-FC6AA2467AC0}">
      <text>
        <r>
          <rPr>
            <b/>
            <sz val="10"/>
            <color rgb="FF000000"/>
            <rFont val="Tahoma"/>
            <family val="2"/>
          </rPr>
          <t>Keller, Zach:</t>
        </r>
        <r>
          <rPr>
            <sz val="10"/>
            <color rgb="FF000000"/>
            <rFont val="Tahoma"/>
            <family val="2"/>
          </rPr>
          <t xml:space="preserve">
Source: Spotrac NBA Team Tax Tracker, 2016-17 season, "Salaries" column (tax payroll), screenshots uploaded by user, https://www.spotrac.com/nba/tax/_/year/2016/ . Definition note: Spotrac tax payroll as currently shown (end-of-season); 2023–2026 values come from Sports Business Classroom, so small definitional differences are possible. Checked: Salaries + Space = 2016-17 tax line $113287000.</t>
        </r>
      </text>
    </comment>
    <comment ref="C15" authorId="0" shapeId="0" xr:uid="{D798DCA2-7595-1741-85DB-5C23A3120C74}">
      <text>
        <r>
          <rPr>
            <b/>
            <sz val="10"/>
            <color rgb="FF000000"/>
            <rFont val="Tahoma"/>
            <family val="2"/>
          </rPr>
          <t>Keller, Zach:</t>
        </r>
        <r>
          <rPr>
            <sz val="10"/>
            <color rgb="FF000000"/>
            <rFont val="Tahoma"/>
            <family val="2"/>
          </rPr>
          <t xml:space="preserve">
Source: Spotrac NBA Team Tax Tracker, 2017-18 season, "Salaries" column (tax payroll), screenshots uploaded by user, https://www.spotrac.com/nba/tax/_/year/2017/ . Definition note: Spotrac tax payroll as currently shown (end-of-season); 2023–2026 values come from Sports Business Classroom, so small definitional differences are possible. Checked: Salaries + Space = 2017-18 tax line $119266000.</t>
        </r>
      </text>
    </comment>
    <comment ref="D15" authorId="0" shapeId="0" xr:uid="{372C9C0C-3A3A-974B-94B7-A38D17EE0B38}">
      <text>
        <r>
          <rPr>
            <b/>
            <sz val="10"/>
            <color rgb="FF000000"/>
            <rFont val="Tahoma"/>
            <family val="2"/>
          </rPr>
          <t>Keller, Zach:</t>
        </r>
        <r>
          <rPr>
            <sz val="10"/>
            <color rgb="FF000000"/>
            <rFont val="Tahoma"/>
            <family val="2"/>
          </rPr>
          <t xml:space="preserve">
Source: Spotrac NBA Team Tax Tracker, 2018-19 season, "Salaries" column (tax payroll), screenshots uploaded by user, https://www.spotrac.com/nba/tax/_/year/2018/ . Definition note: Spotrac tax payroll as currently shown (end-of-season); 2023–2026 values come from Sports Business Classroom, so small definitional differences are possible. Checked: Salaries + Space = 2018-19 tax line $123733000.</t>
        </r>
      </text>
    </comment>
    <comment ref="E15" authorId="0" shapeId="0" xr:uid="{F0CAF606-32B8-3545-AE3D-15615BCC940D}">
      <text>
        <r>
          <rPr>
            <b/>
            <sz val="10"/>
            <color rgb="FF000000"/>
            <rFont val="Tahoma"/>
            <family val="2"/>
          </rPr>
          <t>Keller, Zach:</t>
        </r>
        <r>
          <rPr>
            <sz val="10"/>
            <color rgb="FF000000"/>
            <rFont val="Tahoma"/>
            <family val="2"/>
          </rPr>
          <t xml:space="preserve">
Source: Spotrac NBA Team Tax Tracker, 2019-20 season, "Salaries" column (tax payroll), screenshots uploaded by user, https://www.spotrac.com/nba/tax/_/year/2019/ . Definition note: Spotrac tax payroll as currently shown (end-of-season); 2023–2026 values come from Sports Business Classroom, so small definitional differences are possible. Checked: Salaries + Space = 2019-20 tax line $132627000.</t>
        </r>
      </text>
    </comment>
    <comment ref="F15" authorId="0" shapeId="0" xr:uid="{E6852A02-498C-8045-826D-14B184D611F2}">
      <text>
        <r>
          <rPr>
            <b/>
            <sz val="10"/>
            <color rgb="FF000000"/>
            <rFont val="Tahoma"/>
            <family val="2"/>
          </rPr>
          <t>Keller, Zach:</t>
        </r>
        <r>
          <rPr>
            <sz val="10"/>
            <color rgb="FF000000"/>
            <rFont val="Tahoma"/>
            <family val="2"/>
          </rPr>
          <t xml:space="preserve">
Source: Spotrac NBA Team Tax Tracker, 2020-21 season, "Salaries" column (tax payroll), screenshots uploaded by user, https://www.spotrac.com/nba/tax/_/year/2020/ . Definition note: Spotrac tax payroll as currently shown (end-of-season); 2023–2026 values come from Sports Business Classroom, so small definitional differences are possible. Checked: Salaries + Space = 2020-21 tax line $132627000.</t>
        </r>
      </text>
    </comment>
    <comment ref="G15" authorId="0" shapeId="0" xr:uid="{A518AA43-C067-CA40-88B8-1A9DBC45AB47}">
      <text>
        <r>
          <rPr>
            <b/>
            <sz val="10"/>
            <color rgb="FF000000"/>
            <rFont val="Tahoma"/>
            <family val="2"/>
          </rPr>
          <t>Keller, Zach:</t>
        </r>
        <r>
          <rPr>
            <sz val="10"/>
            <color rgb="FF000000"/>
            <rFont val="Tahoma"/>
            <family val="2"/>
          </rPr>
          <t xml:space="preserve">
Source: Spotrac NBA Team Tax Tracker, 2021-22 season, "Salaries" column (tax payroll), screenshots uploaded by user, https://www.spotrac.com/nba/tax/_/year/2021/ . Definition note: Spotrac tax payroll as currently shown (end-of-season); 2023–2026 values come from Sports Business Classroom, so small definitional differences are possible. Checked: Salaries + Space = 2021-22 tax line $136606000.</t>
        </r>
      </text>
    </comment>
    <comment ref="H15" authorId="0" shapeId="0" xr:uid="{C5954860-7F4E-4A48-B01B-282704371645}">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https://sportsbusinessclassroom.com/nba-2022-23-luxury-tax-tracker/</t>
        </r>
      </text>
    </comment>
    <comment ref="I15" authorId="0" shapeId="0" xr:uid="{D640D8FA-5644-5749-9E6F-A1CDE46E1FE4}">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https://sportsbusinessclassroom.com/nba-2023-24-luxury-tax-tracker/</t>
        </r>
      </text>
    </comment>
    <comment ref="J15" authorId="0" shapeId="0" xr:uid="{03B79E0A-B57B-144F-8590-CA2FAFEB4DC5}">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https://sportsbusinessclassroom.com/nba-2024-25-luxury-tax-tracker/</t>
        </r>
      </text>
    </comment>
    <comment ref="K15" authorId="0" shapeId="0" xr:uid="{BCDF8C3B-5EAE-354B-8719-D1022C4FED20}">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https://sportsbusinessclassroom.com/nba-2025-26-luxury-tax-tracker/</t>
        </r>
      </text>
    </comment>
    <comment ref="B16" authorId="0" shapeId="0" xr:uid="{C77747F1-DD3E-0548-BADA-345BDD90445D}">
      <text>
        <r>
          <rPr>
            <b/>
            <sz val="10"/>
            <color rgb="FF000000"/>
            <rFont val="Tahoma"/>
            <family val="2"/>
          </rPr>
          <t>Keller, Zach:</t>
        </r>
        <r>
          <rPr>
            <sz val="10"/>
            <color rgb="FF000000"/>
            <rFont val="Tahoma"/>
            <family val="2"/>
          </rPr>
          <t xml:space="preserve">
Source: Spotrac NBA Team Tax Tracker, 2016-17 season, "Salaries" column (tax payroll), screenshots uploaded by user, https://www.spotrac.com/nba/tax/_/year/2016/ . Definition note: Spotrac tax payroll as currently shown (end-of-season); 2023–2026 values come from Sports Business Classroom, so small definitional differences are possible. Checked: Salaries + Space = 2016-17 tax line $113287000.</t>
        </r>
      </text>
    </comment>
    <comment ref="C16" authorId="0" shapeId="0" xr:uid="{179B52A6-58E2-774E-8F8B-BA3AD57EA74D}">
      <text>
        <r>
          <rPr>
            <b/>
            <sz val="10"/>
            <color rgb="FF000000"/>
            <rFont val="Tahoma"/>
            <family val="2"/>
          </rPr>
          <t>Keller, Zach:</t>
        </r>
        <r>
          <rPr>
            <sz val="10"/>
            <color rgb="FF000000"/>
            <rFont val="Tahoma"/>
            <family val="2"/>
          </rPr>
          <t xml:space="preserve">
Source: Spotrac NBA Team Tax Tracker, 2017-18 season, "Salaries" column (tax payroll), screenshots uploaded by user, https://www.spotrac.com/nba/tax/_/year/2017/ . Definition note: Spotrac tax payroll as currently shown (end-of-season); 2023–2026 values come from Sports Business Classroom, so small definitional differences are possible. Checked: Salaries + Space = 2017-18 tax line $119266000.</t>
        </r>
      </text>
    </comment>
    <comment ref="D16" authorId="0" shapeId="0" xr:uid="{6C4E24AE-989F-1945-83E5-B3757762E2FF}">
      <text>
        <r>
          <rPr>
            <b/>
            <sz val="10"/>
            <color rgb="FF000000"/>
            <rFont val="Tahoma"/>
            <family val="2"/>
          </rPr>
          <t>Keller, Zach:</t>
        </r>
        <r>
          <rPr>
            <sz val="10"/>
            <color rgb="FF000000"/>
            <rFont val="Tahoma"/>
            <family val="2"/>
          </rPr>
          <t xml:space="preserve">
Source: Spotrac NBA Team Tax Tracker, 2018-19 season, "Salaries" column (tax payroll), screenshots uploaded by user, https://www.spotrac.com/nba/tax/_/year/2018/ . Definition note: Spotrac tax payroll as currently shown (end-of-season); 2023–2026 values come from Sports Business Classroom, so small definitional differences are possible. Checked: Salaries + Space = 2018-19 tax line $123733000.</t>
        </r>
      </text>
    </comment>
    <comment ref="E16" authorId="0" shapeId="0" xr:uid="{0E25DE4D-89CC-5641-8C45-B534B9494E02}">
      <text>
        <r>
          <rPr>
            <b/>
            <sz val="10"/>
            <color rgb="FF000000"/>
            <rFont val="Tahoma"/>
            <family val="2"/>
          </rPr>
          <t>Keller, Zach:</t>
        </r>
        <r>
          <rPr>
            <sz val="10"/>
            <color rgb="FF000000"/>
            <rFont val="Tahoma"/>
            <family val="2"/>
          </rPr>
          <t xml:space="preserve">
Source: Spotrac NBA Team Tax Tracker, 2019-20 season, "Salaries" column (tax payroll), screenshots uploaded by user, https://www.spotrac.com/nba/tax/_/year/2019/ . Definition note: Spotrac tax payroll as currently shown (end-of-season); 2023–2026 values come from Sports Business Classroom, so small definitional differences are possible. Checked: Salaries + Space = 2019-20 tax line $132627000.</t>
        </r>
      </text>
    </comment>
    <comment ref="F16" authorId="0" shapeId="0" xr:uid="{3C508E6E-9133-194A-8F6A-0384565A09E6}">
      <text>
        <r>
          <rPr>
            <b/>
            <sz val="10"/>
            <color rgb="FF000000"/>
            <rFont val="Tahoma"/>
            <family val="2"/>
          </rPr>
          <t>Keller, Zach:</t>
        </r>
        <r>
          <rPr>
            <sz val="10"/>
            <color rgb="FF000000"/>
            <rFont val="Tahoma"/>
            <family val="2"/>
          </rPr>
          <t xml:space="preserve">
Source: Spotrac NBA Team Tax Tracker, 2020-21 season, "Salaries" column (tax payroll), screenshots uploaded by user, https://www.spotrac.com/nba/tax/_/year/2020/ . Definition note: Spotrac tax payroll as currently shown (end-of-season); 2023–2026 values come from Sports Business Classroom, so small definitional differences are possible. Checked: Salaries + Space = 2020-21 tax line $132627000.</t>
        </r>
      </text>
    </comment>
    <comment ref="G16" authorId="0" shapeId="0" xr:uid="{A19C339B-C85A-5A49-AAAB-2120F51CA078}">
      <text>
        <r>
          <rPr>
            <b/>
            <sz val="10"/>
            <color rgb="FF000000"/>
            <rFont val="Tahoma"/>
            <family val="2"/>
          </rPr>
          <t>Keller, Zach:</t>
        </r>
        <r>
          <rPr>
            <sz val="10"/>
            <color rgb="FF000000"/>
            <rFont val="Tahoma"/>
            <family val="2"/>
          </rPr>
          <t xml:space="preserve">
Source: Spotrac NBA Team Tax Tracker, 2021-22 season, "Salaries" column (tax payroll), screenshots uploaded by user, https://www.spotrac.com/nba/tax/_/year/2021/ . Definition note: Spotrac tax payroll as currently shown (end-of-season); 2023–2026 values come from Sports Business Classroom, so small definitional differences are possible. Checked: Salaries + Space = 2021-22 tax line $136606000.</t>
        </r>
      </text>
    </comment>
    <comment ref="H16" authorId="0" shapeId="0" xr:uid="{3939E48B-25C3-1C46-85E4-987D8925C709}">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https://sportsbusinessclassroom.com/nba-2022-23-luxury-tax-tracker/</t>
        </r>
      </text>
    </comment>
    <comment ref="I16" authorId="0" shapeId="0" xr:uid="{BAEBBCE4-4F27-1346-A3CF-09708D68F585}">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https://sportsbusinessclassroom.com/nba-2023-24-luxury-tax-tracker/</t>
        </r>
      </text>
    </comment>
    <comment ref="J16" authorId="0" shapeId="0" xr:uid="{D92EA8A2-4820-714D-AF24-07E429E0BC83}">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https://sportsbusinessclassroom.com/nba-2024-25-luxury-tax-tracker/</t>
        </r>
      </text>
    </comment>
    <comment ref="K16" authorId="0" shapeId="0" xr:uid="{EF80AE36-65B7-FF45-867C-932DB1CB8881}">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https://sportsbusinessclassroom.com/nba-2025-26-luxury-tax-tracker/</t>
        </r>
      </text>
    </comment>
    <comment ref="B17" authorId="0" shapeId="0" xr:uid="{F6F7F784-2DF2-2548-AD0A-1341737B37C9}">
      <text>
        <r>
          <rPr>
            <b/>
            <sz val="10"/>
            <color rgb="FF000000"/>
            <rFont val="Tahoma"/>
            <family val="2"/>
          </rPr>
          <t>Keller, Zach:</t>
        </r>
        <r>
          <rPr>
            <sz val="10"/>
            <color rgb="FF000000"/>
            <rFont val="Tahoma"/>
            <family val="2"/>
          </rPr>
          <t xml:space="preserve">
Source: Spotrac NBA Team Tax Tracker, 2016-17 season, "Salaries" column (tax payroll), screenshots uploaded by user, https://www.spotrac.com/nba/tax/_/year/2016/ . Definition note: Spotrac tax payroll as currently shown (end-of-season); 2023–2026 values come from Sports Business Classroom, so small definitional differences are possible. Checked: Salaries + Space = 2016-17 tax line $113287000.</t>
        </r>
      </text>
    </comment>
    <comment ref="C17" authorId="0" shapeId="0" xr:uid="{2928B480-8A1A-3142-8930-C44C47BDC51A}">
      <text>
        <r>
          <rPr>
            <b/>
            <sz val="10"/>
            <color rgb="FF000000"/>
            <rFont val="Tahoma"/>
            <family val="2"/>
          </rPr>
          <t>Keller, Zach:</t>
        </r>
        <r>
          <rPr>
            <sz val="10"/>
            <color rgb="FF000000"/>
            <rFont val="Tahoma"/>
            <family val="2"/>
          </rPr>
          <t xml:space="preserve">
Source: Spotrac NBA Team Tax Tracker, 2017-18 season, "Salaries" column (tax payroll), screenshots uploaded by user, https://www.spotrac.com/nba/tax/_/year/2017/ . Definition note: Spotrac tax payroll as currently shown (end-of-season); 2023–2026 values come from Sports Business Classroom, so small definitional differences are possible. Checked: Salaries + Space = 2017-18 tax line $119266000.</t>
        </r>
      </text>
    </comment>
    <comment ref="D17" authorId="0" shapeId="0" xr:uid="{54C18A25-D289-7948-A2EF-C958979687AE}">
      <text>
        <r>
          <rPr>
            <b/>
            <sz val="10"/>
            <color rgb="FF000000"/>
            <rFont val="Tahoma"/>
            <family val="2"/>
          </rPr>
          <t>Keller, Zach:</t>
        </r>
        <r>
          <rPr>
            <sz val="10"/>
            <color rgb="FF000000"/>
            <rFont val="Tahoma"/>
            <family val="2"/>
          </rPr>
          <t xml:space="preserve">
Source: Spotrac NBA Team Tax Tracker, 2018-19 season, "Salaries" column (tax payroll), screenshots uploaded by user, https://www.spotrac.com/nba/tax/_/year/2018/ . Definition note: Spotrac tax payroll as currently shown (end-of-season); 2023–2026 values come from Sports Business Classroom, so small definitional differences are possible. Checked: Salaries + Space = 2018-19 tax line $123733000.</t>
        </r>
      </text>
    </comment>
    <comment ref="E17" authorId="0" shapeId="0" xr:uid="{7BEF8223-089E-5040-93C4-35F62272A272}">
      <text>
        <r>
          <rPr>
            <b/>
            <sz val="10"/>
            <color rgb="FF000000"/>
            <rFont val="Tahoma"/>
            <family val="2"/>
          </rPr>
          <t>Keller, Zach:</t>
        </r>
        <r>
          <rPr>
            <sz val="10"/>
            <color rgb="FF000000"/>
            <rFont val="Tahoma"/>
            <family val="2"/>
          </rPr>
          <t xml:space="preserve">
Source: Spotrac NBA Team Tax Tracker, 2019-20 season, "Salaries" column (tax payroll), screenshots uploaded by user, https://www.spotrac.com/nba/tax/_/year/2019/ . Definition note: Spotrac tax payroll as currently shown (end-of-season); 2023–2026 values come from Sports Business Classroom, so small definitional differences are possible. Checked: Salaries + Space = 2019-20 tax line $132627000.</t>
        </r>
      </text>
    </comment>
    <comment ref="F17" authorId="0" shapeId="0" xr:uid="{3DAED39B-BAF9-974B-A55A-B57582A1E0F1}">
      <text>
        <r>
          <rPr>
            <b/>
            <sz val="10"/>
            <color rgb="FF000000"/>
            <rFont val="Tahoma"/>
            <family val="2"/>
          </rPr>
          <t>Keller, Zach:</t>
        </r>
        <r>
          <rPr>
            <sz val="10"/>
            <color rgb="FF000000"/>
            <rFont val="Tahoma"/>
            <family val="2"/>
          </rPr>
          <t xml:space="preserve">
Source: Spotrac NBA Team Tax Tracker, 2020-21 season, "Salaries" column (tax payroll), screenshots uploaded by user, https://www.spotrac.com/nba/tax/_/year/2020/ . Definition note: Spotrac tax payroll as currently shown (end-of-season); 2023–2026 values come from Sports Business Classroom, so small definitional differences are possible. Checked: Salaries + Space = 2020-21 tax line $132627000.</t>
        </r>
      </text>
    </comment>
    <comment ref="G17" authorId="0" shapeId="0" xr:uid="{D7F40643-389C-D844-812E-9EC6AB7DC967}">
      <text>
        <r>
          <rPr>
            <b/>
            <sz val="10"/>
            <color rgb="FF000000"/>
            <rFont val="Tahoma"/>
            <family val="2"/>
          </rPr>
          <t>Keller, Zach:</t>
        </r>
        <r>
          <rPr>
            <sz val="10"/>
            <color rgb="FF000000"/>
            <rFont val="Tahoma"/>
            <family val="2"/>
          </rPr>
          <t xml:space="preserve">
Source: Spotrac NBA Team Tax Tracker, 2021-22 season, "Salaries" column (tax payroll), screenshots uploaded by user, https://www.spotrac.com/nba/tax/_/year/2021/ . Definition note: Spotrac tax payroll as currently shown (end-of-season); 2023–2026 values come from Sports Business Classroom, so small definitional differences are possible. Checked: Salaries + Space = 2021-22 tax line $136606000.</t>
        </r>
      </text>
    </comment>
    <comment ref="H17" authorId="0" shapeId="0" xr:uid="{88C19FB1-0C18-D340-9701-CC7DE4C1B6A3}">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https://sportsbusinessclassroom.com/nba-2022-23-luxury-tax-tracker/</t>
        </r>
      </text>
    </comment>
    <comment ref="I17" authorId="0" shapeId="0" xr:uid="{73200A1A-BD97-6145-B854-AAB05607A209}">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https://sportsbusinessclassroom.com/nba-2023-24-luxury-tax-tracker/</t>
        </r>
      </text>
    </comment>
    <comment ref="J17" authorId="0" shapeId="0" xr:uid="{18A704EE-2779-CF4D-B733-3FC1D0E1F751}">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https://sportsbusinessclassroom.com/nba-2024-25-luxury-tax-tracker/</t>
        </r>
      </text>
    </comment>
    <comment ref="K17" authorId="0" shapeId="0" xr:uid="{15A05A82-2D73-B545-B8C7-B2EF3BD1DBDE}">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https://sportsbusinessclassroom.com/nba-2025-26-luxury-tax-tracker/</t>
        </r>
      </text>
    </comment>
    <comment ref="B18" authorId="0" shapeId="0" xr:uid="{1B6D05DB-9C01-8245-91DD-97FE5B0C75E7}">
      <text>
        <r>
          <rPr>
            <b/>
            <sz val="10"/>
            <color rgb="FF000000"/>
            <rFont val="Tahoma"/>
            <family val="2"/>
          </rPr>
          <t>Keller, Zach:</t>
        </r>
        <r>
          <rPr>
            <sz val="10"/>
            <color rgb="FF000000"/>
            <rFont val="Tahoma"/>
            <family val="2"/>
          </rPr>
          <t xml:space="preserve">
Source: Spotrac NBA Team Tax Tracker, 2016-17 season, "Salaries" column (tax payroll), screenshots uploaded by user, https://www.spotrac.com/nba/tax/_/year/2016/ . Definition note: Spotrac tax payroll as currently shown (end-of-season); 2023–2026 values come from Sports Business Classroom, so small definitional differences are possible. Checked: Salaries + Space = 2016-17 tax line $113287000.</t>
        </r>
      </text>
    </comment>
    <comment ref="C18" authorId="0" shapeId="0" xr:uid="{70EB0498-71D4-1C4E-B6B8-8411B4F6F954}">
      <text>
        <r>
          <rPr>
            <b/>
            <sz val="10"/>
            <color rgb="FF000000"/>
            <rFont val="Tahoma"/>
            <family val="2"/>
          </rPr>
          <t>Keller, Zach:</t>
        </r>
        <r>
          <rPr>
            <sz val="10"/>
            <color rgb="FF000000"/>
            <rFont val="Tahoma"/>
            <family val="2"/>
          </rPr>
          <t xml:space="preserve">
Source: Spotrac NBA Team Tax Tracker, 2017-18 season, "Salaries" column (tax payroll), screenshots uploaded by user, https://www.spotrac.com/nba/tax/_/year/2017/ . Definition note: Spotrac tax payroll as currently shown (end-of-season); 2023–2026 values come from Sports Business Classroom, so small definitional differences are possible. Checked: Salaries + Space = 2017-18 tax line $119266000.</t>
        </r>
      </text>
    </comment>
    <comment ref="D18" authorId="0" shapeId="0" xr:uid="{DC93021B-67CB-E14B-8CD6-E84C08DAC574}">
      <text>
        <r>
          <rPr>
            <b/>
            <sz val="10"/>
            <color rgb="FF000000"/>
            <rFont val="Tahoma"/>
            <family val="2"/>
          </rPr>
          <t>Keller, Zach:</t>
        </r>
        <r>
          <rPr>
            <sz val="10"/>
            <color rgb="FF000000"/>
            <rFont val="Tahoma"/>
            <family val="2"/>
          </rPr>
          <t xml:space="preserve">
Source: Spotrac NBA Team Tax Tracker, 2018-19 season, "Salaries" column (tax payroll), screenshots uploaded by user, https://www.spotrac.com/nba/tax/_/year/2018/ . Definition note: Spotrac tax payroll as currently shown (end-of-season); 2023–2026 values come from Sports Business Classroom, so small definitional differences are possible. Checked: Salaries + Space = 2018-19 tax line $123733000.</t>
        </r>
      </text>
    </comment>
    <comment ref="E18" authorId="0" shapeId="0" xr:uid="{5165AC26-BF73-E14A-9D52-AB75C951C9A2}">
      <text>
        <r>
          <rPr>
            <b/>
            <sz val="10"/>
            <color rgb="FF000000"/>
            <rFont val="Tahoma"/>
            <family val="2"/>
          </rPr>
          <t>Keller, Zach:</t>
        </r>
        <r>
          <rPr>
            <sz val="10"/>
            <color rgb="FF000000"/>
            <rFont val="Tahoma"/>
            <family val="2"/>
          </rPr>
          <t xml:space="preserve">
Source: Spotrac NBA Team Tax Tracker, 2019-20 season, "Salaries" column (tax payroll), screenshots uploaded by user, https://www.spotrac.com/nba/tax/_/year/2019/ . Definition note: Spotrac tax payroll as currently shown (end-of-season); 2023–2026 values come from Sports Business Classroom, so small definitional differences are possible. Checked: Salaries + Space = 2019-20 tax line $132627000.</t>
        </r>
      </text>
    </comment>
    <comment ref="F18" authorId="0" shapeId="0" xr:uid="{F2AFA0B9-0285-294E-A764-274A49B152C8}">
      <text>
        <r>
          <rPr>
            <b/>
            <sz val="10"/>
            <color rgb="FF000000"/>
            <rFont val="Tahoma"/>
            <family val="2"/>
          </rPr>
          <t>Keller, Zach:</t>
        </r>
        <r>
          <rPr>
            <sz val="10"/>
            <color rgb="FF000000"/>
            <rFont val="Tahoma"/>
            <family val="2"/>
          </rPr>
          <t xml:space="preserve">
Source: Spotrac NBA Team Tax Tracker, 2020-21 season, "Salaries" column (tax payroll), screenshots uploaded by user, https://www.spotrac.com/nba/tax/_/year/2020/ . Definition note: Spotrac tax payroll as currently shown (end-of-season); 2023–2026 values come from Sports Business Classroom, so small definitional differences are possible. Checked: Salaries + Space = 2020-21 tax line $132627000.</t>
        </r>
      </text>
    </comment>
    <comment ref="G18" authorId="0" shapeId="0" xr:uid="{AC894EE7-DB8A-7E4D-A0EF-E5166DCA4EFE}">
      <text>
        <r>
          <rPr>
            <b/>
            <sz val="10"/>
            <color rgb="FF000000"/>
            <rFont val="Tahoma"/>
            <family val="2"/>
          </rPr>
          <t>Keller, Zach:</t>
        </r>
        <r>
          <rPr>
            <sz val="10"/>
            <color rgb="FF000000"/>
            <rFont val="Tahoma"/>
            <family val="2"/>
          </rPr>
          <t xml:space="preserve">
Source: Spotrac NBA Team Tax Tracker, 2021-22 season, "Salaries" column (tax payroll), screenshots uploaded by user, https://www.spotrac.com/nba/tax/_/year/2021/ . Definition note: Spotrac tax payroll as currently shown (end-of-season); 2023–2026 values come from Sports Business Classroom, so small definitional differences are possible. Checked: Salaries + Space = 2021-22 tax line $136606000.</t>
        </r>
      </text>
    </comment>
    <comment ref="H18" authorId="0" shapeId="0" xr:uid="{CDA59441-1FE8-EB4C-B179-A24ACCFA55E4}">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https://sportsbusinessclassroom.com/nba-2022-23-luxury-tax-tracker/</t>
        </r>
      </text>
    </comment>
    <comment ref="I18" authorId="0" shapeId="0" xr:uid="{6C5D3DE8-96F8-CC4C-8114-59165DA20E72}">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https://sportsbusinessclassroom.com/nba-2023-24-luxury-tax-tracker/</t>
        </r>
      </text>
    </comment>
    <comment ref="J18" authorId="0" shapeId="0" xr:uid="{C3154663-41EB-0A4E-9966-1E11045D837F}">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https://sportsbusinessclassroom.com/nba-2024-25-luxury-tax-tracker/</t>
        </r>
      </text>
    </comment>
    <comment ref="K18" authorId="0" shapeId="0" xr:uid="{39BAECEC-C2BA-624B-9135-E058A57E9FDE}">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https://sportsbusinessclassroom.com/nba-2025-26-luxury-tax-tracker/</t>
        </r>
      </text>
    </comment>
    <comment ref="B19" authorId="0" shapeId="0" xr:uid="{1ADBB380-9D55-5A41-BE34-31CFDA9EBF85}">
      <text>
        <r>
          <rPr>
            <b/>
            <sz val="10"/>
            <color rgb="FF000000"/>
            <rFont val="Tahoma"/>
            <family val="2"/>
          </rPr>
          <t>Keller, Zach:</t>
        </r>
        <r>
          <rPr>
            <sz val="10"/>
            <color rgb="FF000000"/>
            <rFont val="Tahoma"/>
            <family val="2"/>
          </rPr>
          <t xml:space="preserve">
Source: Spotrac NBA Team Tax Tracker, 2016-17 season, "Salaries" column (tax payroll), screenshots uploaded by user, https://www.spotrac.com/nba/tax/_/year/2016/ . Definition note: Spotrac tax payroll as currently shown (end-of-season); 2023–2026 values come from Sports Business Classroom, so small definitional differences are possible. Checked: Salaries + Space = 2016-17 tax line $113287000.</t>
        </r>
      </text>
    </comment>
    <comment ref="C19" authorId="0" shapeId="0" xr:uid="{D140391B-32C2-4A40-AE9C-14CAE172D47C}">
      <text>
        <r>
          <rPr>
            <b/>
            <sz val="10"/>
            <color rgb="FF000000"/>
            <rFont val="Tahoma"/>
            <family val="2"/>
          </rPr>
          <t>Keller, Zach:</t>
        </r>
        <r>
          <rPr>
            <sz val="10"/>
            <color rgb="FF000000"/>
            <rFont val="Tahoma"/>
            <family val="2"/>
          </rPr>
          <t xml:space="preserve">
Source: Spotrac NBA Team Tax Tracker, 2017-18 season, "Salaries" column (tax payroll), screenshots uploaded by user, https://www.spotrac.com/nba/tax/_/year/2017/ . Definition note: Spotrac tax payroll as currently shown (end-of-season); 2023–2026 values come from Sports Business Classroom, so small definitional differences are possible. Checked: Salaries + Space = 2017-18 tax line $119266000.</t>
        </r>
      </text>
    </comment>
    <comment ref="D19" authorId="0" shapeId="0" xr:uid="{C9113775-163A-334F-A752-6984ABAE4185}">
      <text>
        <r>
          <rPr>
            <b/>
            <sz val="10"/>
            <color rgb="FF000000"/>
            <rFont val="Tahoma"/>
            <family val="2"/>
          </rPr>
          <t>Keller, Zach:</t>
        </r>
        <r>
          <rPr>
            <sz val="10"/>
            <color rgb="FF000000"/>
            <rFont val="Tahoma"/>
            <family val="2"/>
          </rPr>
          <t xml:space="preserve">
Source: Spotrac NBA Team Tax Tracker, 2018-19 season, "Salaries" column (tax payroll), screenshots uploaded by user, https://www.spotrac.com/nba/tax/_/year/2018/ . Definition note: Spotrac tax payroll as currently shown (end-of-season); 2023–2026 values come from Sports Business Classroom, so small definitional differences are possible. Checked: Salaries + Space = 2018-19 tax line $123733000.</t>
        </r>
      </text>
    </comment>
    <comment ref="E19" authorId="0" shapeId="0" xr:uid="{D160FF0F-1335-7D41-9A71-B991715B1945}">
      <text>
        <r>
          <rPr>
            <b/>
            <sz val="10"/>
            <color rgb="FF000000"/>
            <rFont val="Tahoma"/>
            <family val="2"/>
          </rPr>
          <t>Keller, Zach:</t>
        </r>
        <r>
          <rPr>
            <sz val="10"/>
            <color rgb="FF000000"/>
            <rFont val="Tahoma"/>
            <family val="2"/>
          </rPr>
          <t xml:space="preserve">
Source: Spotrac NBA Team Tax Tracker, 2019-20 season, "Salaries" column (tax payroll), screenshots uploaded by user, https://www.spotrac.com/nba/tax/_/year/2019/ . Definition note: Spotrac tax payroll as currently shown (end-of-season); 2023–2026 values come from Sports Business Classroom, so small definitional differences are possible. Checked: Salaries + Space = 2019-20 tax line $132627000.</t>
        </r>
      </text>
    </comment>
    <comment ref="F19" authorId="0" shapeId="0" xr:uid="{2CB36E3A-F67F-E648-B821-089D9255A233}">
      <text>
        <r>
          <rPr>
            <b/>
            <sz val="10"/>
            <color rgb="FF000000"/>
            <rFont val="Tahoma"/>
            <family val="2"/>
          </rPr>
          <t>Keller, Zach:</t>
        </r>
        <r>
          <rPr>
            <sz val="10"/>
            <color rgb="FF000000"/>
            <rFont val="Tahoma"/>
            <family val="2"/>
          </rPr>
          <t xml:space="preserve">
Source: Spotrac NBA Team Tax Tracker, 2020-21 season, "Salaries" column (tax payroll), screenshots uploaded by user, https://www.spotrac.com/nba/tax/_/year/2020/ . Definition note: Spotrac tax payroll as currently shown (end-of-season); 2023–2026 values come from Sports Business Classroom, so small definitional differences are possible. Checked: Salaries + Space = 2020-21 tax line $132627000.</t>
        </r>
      </text>
    </comment>
    <comment ref="G19" authorId="0" shapeId="0" xr:uid="{B954A449-685B-B24E-A4FE-4FC296B9534C}">
      <text>
        <r>
          <rPr>
            <b/>
            <sz val="10"/>
            <color rgb="FF000000"/>
            <rFont val="Tahoma"/>
            <family val="2"/>
          </rPr>
          <t>Keller, Zach:</t>
        </r>
        <r>
          <rPr>
            <sz val="10"/>
            <color rgb="FF000000"/>
            <rFont val="Tahoma"/>
            <family val="2"/>
          </rPr>
          <t xml:space="preserve">
Source: Spotrac NBA Team Tax Tracker, 2021-22 season, "Salaries" column (tax payroll), screenshots uploaded by user, https://www.spotrac.com/nba/tax/_/year/2021/ . Definition note: Spotrac tax payroll as currently shown (end-of-season); 2023–2026 values come from Sports Business Classroom, so small definitional differences are possible. Checked: Salaries + Space = 2021-22 tax line $136606000.</t>
        </r>
      </text>
    </comment>
    <comment ref="H19" authorId="0" shapeId="0" xr:uid="{3305A0E8-FC89-EE4F-88AD-99623241440C}">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https://sportsbusinessclassroom.com/nba-2022-23-luxury-tax-tracker/</t>
        </r>
      </text>
    </comment>
    <comment ref="I19" authorId="0" shapeId="0" xr:uid="{1120D520-7E5E-7F48-B260-699FCA50C6F2}">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https://sportsbusinessclassroom.com/nba-2023-24-luxury-tax-tracker/</t>
        </r>
      </text>
    </comment>
    <comment ref="J19" authorId="0" shapeId="0" xr:uid="{03A128E1-B451-5E4D-AC7A-29598943508E}">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https://sportsbusinessclassroom.com/nba-2024-25-luxury-tax-tracker/</t>
        </r>
      </text>
    </comment>
    <comment ref="K19" authorId="0" shapeId="0" xr:uid="{4DAC66DC-EB26-2947-8952-E50599A7C086}">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https://sportsbusinessclassroom.com/nba-2025-26-luxury-tax-tracker/</t>
        </r>
      </text>
    </comment>
    <comment ref="B20" authorId="0" shapeId="0" xr:uid="{D8FF3332-EFA5-A647-A18F-75AEE0912264}">
      <text>
        <r>
          <rPr>
            <b/>
            <sz val="10"/>
            <color rgb="FF000000"/>
            <rFont val="Tahoma"/>
            <family val="2"/>
          </rPr>
          <t>Keller, Zach:</t>
        </r>
        <r>
          <rPr>
            <sz val="10"/>
            <color rgb="FF000000"/>
            <rFont val="Tahoma"/>
            <family val="2"/>
          </rPr>
          <t xml:space="preserve">
Source: Spotrac NBA Team Tax Tracker, 2016-17 season, "Salaries" column (tax payroll), screenshots uploaded by user, https://www.spotrac.com/nba/tax/_/year/2016/ . Definition note: Spotrac tax payroll as currently shown (end-of-season); 2023–2026 values come from Sports Business Classroom, so small definitional differences are possible. Checked: Salaries + Space = 2016-17 tax line $113287000.</t>
        </r>
      </text>
    </comment>
    <comment ref="C20" authorId="0" shapeId="0" xr:uid="{76354FFB-5583-8E45-9BBE-A6B902EA855C}">
      <text>
        <r>
          <rPr>
            <b/>
            <sz val="10"/>
            <color rgb="FF000000"/>
            <rFont val="Tahoma"/>
            <family val="2"/>
          </rPr>
          <t>Keller, Zach:</t>
        </r>
        <r>
          <rPr>
            <sz val="10"/>
            <color rgb="FF000000"/>
            <rFont val="Tahoma"/>
            <family val="2"/>
          </rPr>
          <t xml:space="preserve">
Source: Spotrac NBA Team Tax Tracker, 2017-18 season, "Salaries" column (tax payroll), screenshots uploaded by user, https://www.spotrac.com/nba/tax/_/year/2017/ . Definition note: Spotrac tax payroll as currently shown (end-of-season); 2023–2026 values come from Sports Business Classroom, so small definitional differences are possible. Checked: Salaries + Space = 2017-18 tax line $119266000.</t>
        </r>
      </text>
    </comment>
    <comment ref="D20" authorId="0" shapeId="0" xr:uid="{80E1D2F1-1EE2-8045-8996-E6823FE8CE32}">
      <text>
        <r>
          <rPr>
            <b/>
            <sz val="10"/>
            <color rgb="FF000000"/>
            <rFont val="Tahoma"/>
            <family val="2"/>
          </rPr>
          <t>Keller, Zach:</t>
        </r>
        <r>
          <rPr>
            <sz val="10"/>
            <color rgb="FF000000"/>
            <rFont val="Tahoma"/>
            <family val="2"/>
          </rPr>
          <t xml:space="preserve">
Source: Spotrac NBA Team Tax Tracker, 2018-19 season, "Salaries" column (tax payroll), screenshots uploaded by user, https://www.spotrac.com/nba/tax/_/year/2018/ . Definition note: Spotrac tax payroll as currently shown (end-of-season); 2023–2026 values come from Sports Business Classroom, so small definitional differences are possible. Checked: Salaries + Space = 2018-19 tax line $123733000.</t>
        </r>
      </text>
    </comment>
    <comment ref="E20" authorId="0" shapeId="0" xr:uid="{168C9F4E-6171-C34F-80DF-15FB333F8D20}">
      <text>
        <r>
          <rPr>
            <b/>
            <sz val="10"/>
            <color rgb="FF000000"/>
            <rFont val="Tahoma"/>
            <family val="2"/>
          </rPr>
          <t>Keller, Zach:</t>
        </r>
        <r>
          <rPr>
            <sz val="10"/>
            <color rgb="FF000000"/>
            <rFont val="Tahoma"/>
            <family val="2"/>
          </rPr>
          <t xml:space="preserve">
Source: Spotrac NBA Team Tax Tracker, 2019-20 season, "Salaries" column (tax payroll), screenshots uploaded by user, https://www.spotrac.com/nba/tax/_/year/2019/ . Definition note: Spotrac tax payroll as currently shown (end-of-season); 2023–2026 values come from Sports Business Classroom, so small definitional differences are possible. Checked: Salaries + Space = 2019-20 tax line $132627000.</t>
        </r>
      </text>
    </comment>
    <comment ref="F20" authorId="0" shapeId="0" xr:uid="{6EB9018F-791D-954D-A0F8-8D5163D2D1C1}">
      <text>
        <r>
          <rPr>
            <b/>
            <sz val="10"/>
            <color rgb="FF000000"/>
            <rFont val="Tahoma"/>
            <family val="2"/>
          </rPr>
          <t>Keller, Zach:</t>
        </r>
        <r>
          <rPr>
            <sz val="10"/>
            <color rgb="FF000000"/>
            <rFont val="Tahoma"/>
            <family val="2"/>
          </rPr>
          <t xml:space="preserve">
Source: Spotrac NBA Team Tax Tracker, 2020-21 season, "Salaries" column (tax payroll), screenshots uploaded by user, https://www.spotrac.com/nba/tax/_/year/2020/ . Definition note: Spotrac tax payroll as currently shown (end-of-season); 2023–2026 values come from Sports Business Classroom, so small definitional differences are possible. Checked: Salaries + Space = 2020-21 tax line $132627000.</t>
        </r>
      </text>
    </comment>
    <comment ref="G20" authorId="0" shapeId="0" xr:uid="{10462159-B8A3-5049-9FA5-92728F1D4E48}">
      <text>
        <r>
          <rPr>
            <b/>
            <sz val="10"/>
            <color rgb="FF000000"/>
            <rFont val="Tahoma"/>
            <family val="2"/>
          </rPr>
          <t>Keller, Zach:</t>
        </r>
        <r>
          <rPr>
            <sz val="10"/>
            <color rgb="FF000000"/>
            <rFont val="Tahoma"/>
            <family val="2"/>
          </rPr>
          <t xml:space="preserve">
Source: Spotrac NBA Team Tax Tracker, 2021-22 season, "Salaries" column (tax payroll), screenshots uploaded by user, https://www.spotrac.com/nba/tax/_/year/2021/ . Definition note: Spotrac tax payroll as currently shown (end-of-season); 2023–2026 values come from Sports Business Classroom, so small definitional differences are possible. Checked: Salaries + Space = 2021-22 tax line $136606000.</t>
        </r>
      </text>
    </comment>
    <comment ref="H20" authorId="0" shapeId="0" xr:uid="{AE0009C7-E815-3749-ADA7-FB12D5BD21CB}">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https://sportsbusinessclassroom.com/nba-2022-23-luxury-tax-tracker/</t>
        </r>
      </text>
    </comment>
    <comment ref="I20" authorId="0" shapeId="0" xr:uid="{ABE2A413-CC92-1642-BF65-9B496C113F92}">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https://sportsbusinessclassroom.com/nba-2023-24-luxury-tax-tracker/</t>
        </r>
      </text>
    </comment>
    <comment ref="J20" authorId="0" shapeId="0" xr:uid="{E741B73B-2F6C-7A43-BC3B-DE9179F857B6}">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https://sportsbusinessclassroom.com/nba-2024-25-luxury-tax-tracker/</t>
        </r>
      </text>
    </comment>
    <comment ref="K20" authorId="0" shapeId="0" xr:uid="{92B1FBFE-81F0-3043-8F52-205805557D53}">
      <text>
        <r>
          <rPr>
            <b/>
            <sz val="10"/>
            <color rgb="FF000000"/>
            <rFont val="Tahoma"/>
            <family val="2"/>
          </rPr>
          <t>Keller, Zach:</t>
        </r>
        <r>
          <rPr>
            <sz val="10"/>
            <color rgb="FF000000"/>
            <rFont val="Tahoma"/>
            <family val="2"/>
          </rPr>
          <t xml:space="preserve">
</t>
        </r>
        <r>
          <rPr>
            <sz val="10"/>
            <color rgb="FF000000"/>
            <rFont val="Tahoma"/>
            <family val="2"/>
          </rPr>
          <t>Source: Sports Business Classroom (Eric Pincus) luxury tax tracker – end-of-season taxable payroll (secondary source, not official NBA data), https://sportsbusinessclassroom.com/nba-2025-26-luxury-tax-tracker/</t>
        </r>
      </text>
    </comment>
    <comment ref="B21" authorId="0" shapeId="0" xr:uid="{EE24D9C6-D447-F447-AC1B-7BCA627B0EB1}">
      <text>
        <r>
          <rPr>
            <b/>
            <sz val="10"/>
            <color rgb="FF000000"/>
            <rFont val="Tahoma"/>
            <family val="2"/>
          </rPr>
          <t>Keller, Zach:</t>
        </r>
        <r>
          <rPr>
            <sz val="10"/>
            <color rgb="FF000000"/>
            <rFont val="Tahoma"/>
            <family val="2"/>
          </rPr>
          <t xml:space="preserve">
Source: Spotrac NBA Team Tax Tracker, 2016-17 season, "Salaries" column (tax payroll), screenshots uploaded by user, https://www.spotrac.com/nba/tax/_/year/2016/ . Definition note: Spotrac tax payroll as currently shown (end-of-season); 2023–2026 values come from Sports Business Classroom, so small definitional differences are possible. Checked: Salaries + Space = 2016-17 tax line $113287000.</t>
        </r>
      </text>
    </comment>
    <comment ref="C21" authorId="0" shapeId="0" xr:uid="{F7FE555D-B5C5-E94A-8C65-F1420222686A}">
      <text>
        <r>
          <rPr>
            <b/>
            <sz val="10"/>
            <color rgb="FF000000"/>
            <rFont val="Tahoma"/>
            <family val="2"/>
          </rPr>
          <t>Keller, Zach:</t>
        </r>
        <r>
          <rPr>
            <sz val="10"/>
            <color rgb="FF000000"/>
            <rFont val="Tahoma"/>
            <family val="2"/>
          </rPr>
          <t xml:space="preserve">
Source: Spotrac NBA Team Tax Tracker, 2017-18 season, "Salaries" column (tax payroll), screenshots uploaded by user, https://www.spotrac.com/nba/tax/_/year/2017/ . Definition note: Spotrac tax payroll as currently shown (end-of-season); 2023–2026 values come from Sports Business Classroom, so small definitional differences are possible. Checked: Salaries + Space = 2017-18 tax line $119266000.</t>
        </r>
      </text>
    </comment>
    <comment ref="D21" authorId="0" shapeId="0" xr:uid="{432FDC28-2EBE-CD48-AFBE-8179A3A66542}">
      <text>
        <r>
          <rPr>
            <b/>
            <sz val="10"/>
            <color rgb="FF000000"/>
            <rFont val="Tahoma"/>
            <family val="2"/>
          </rPr>
          <t>Keller, Zach:</t>
        </r>
        <r>
          <rPr>
            <sz val="10"/>
            <color rgb="FF000000"/>
            <rFont val="Tahoma"/>
            <family val="2"/>
          </rPr>
          <t xml:space="preserve">
Source: Spotrac NBA Team Tax Tracker, 2018-19 season, "Salaries" column (tax payroll), screenshots uploaded by user, https://www.spotrac.com/nba/tax/_/year/2018/ . Definition note: Spotrac tax payroll as currently shown (end-of-season); 2023–2026 values come from Sports Business Classroom, so small definitional differences are possible. Checked: Salaries + Space = 2018-19 tax line $123733000.</t>
        </r>
      </text>
    </comment>
    <comment ref="E21" authorId="0" shapeId="0" xr:uid="{7A278BE1-EC30-C44C-9DF2-0D04F419575A}">
      <text>
        <r>
          <rPr>
            <b/>
            <sz val="10"/>
            <color rgb="FF000000"/>
            <rFont val="Tahoma"/>
            <family val="2"/>
          </rPr>
          <t>Keller, Zach:</t>
        </r>
        <r>
          <rPr>
            <sz val="10"/>
            <color rgb="FF000000"/>
            <rFont val="Tahoma"/>
            <family val="2"/>
          </rPr>
          <t xml:space="preserve">
Source: Spotrac NBA Team Tax Tracker, 2019-20 season, "Salaries" column (tax payroll), screenshots uploaded by user, https://www.spotrac.com/nba/tax/_/year/2019/ . Definition note: Spotrac tax payroll as currently shown (end-of-season); 2023–2026 values come from Sports Business Classroom, so small definitional differences are possible. Checked: Salaries + Space = 2019-20 tax line $132627000.</t>
        </r>
      </text>
    </comment>
    <comment ref="F21" authorId="0" shapeId="0" xr:uid="{F006C8B7-97A4-D64C-8B60-FDE1A616CBC8}">
      <text>
        <r>
          <rPr>
            <b/>
            <sz val="10"/>
            <color rgb="FF000000"/>
            <rFont val="Tahoma"/>
            <family val="2"/>
          </rPr>
          <t>Keller, Zach:</t>
        </r>
        <r>
          <rPr>
            <sz val="10"/>
            <color rgb="FF000000"/>
            <rFont val="Tahoma"/>
            <family val="2"/>
          </rPr>
          <t xml:space="preserve">
Source: Spotrac NBA Team Tax Tracker, 2020-21 season, "Salaries" column (tax payroll), screenshots uploaded by user, https://www.spotrac.com/nba/tax/_/year/2020/ . Definition note: Spotrac tax payroll as currently shown (end-of-season); 2023–2026 values come from Sports Business Classroom, so small definitional differences are possible. Checked: Salaries + Space = 2020-21 tax line $132627000.</t>
        </r>
      </text>
    </comment>
    <comment ref="G21" authorId="0" shapeId="0" xr:uid="{06CE3389-33DD-B14A-988B-B347676AA72C}">
      <text>
        <r>
          <rPr>
            <b/>
            <sz val="10"/>
            <color rgb="FF000000"/>
            <rFont val="Tahoma"/>
            <family val="2"/>
          </rPr>
          <t>Keller, Zach:</t>
        </r>
        <r>
          <rPr>
            <sz val="10"/>
            <color rgb="FF000000"/>
            <rFont val="Tahoma"/>
            <family val="2"/>
          </rPr>
          <t xml:space="preserve">
Source: Spotrac NBA Team Tax Tracker, 2021-22 season, "Salaries" column (tax payroll), screenshots uploaded by user, https://www.spotrac.com/nba/tax/_/year/2021/ . Definition note: Spotrac tax payroll as currently shown (end-of-season); 2023–2026 values come from Sports Business Classroom, so small definitional differences are possible. Checked: Salaries + Space = 2021-22 tax line $136606000.</t>
        </r>
      </text>
    </comment>
    <comment ref="H21" authorId="0" shapeId="0" xr:uid="{F9D610B0-268F-EF45-93FA-070A22018CFE}">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https://sportsbusinessclassroom.com/nba-2022-23-luxury-tax-tracker/</t>
        </r>
      </text>
    </comment>
    <comment ref="I21" authorId="0" shapeId="0" xr:uid="{C74AD84A-8171-504C-90E0-DAA5B6B94FBA}">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https://sportsbusinessclassroom.com/nba-2023-24-luxury-tax-tracker/</t>
        </r>
      </text>
    </comment>
    <comment ref="J21" authorId="0" shapeId="0" xr:uid="{F044AADF-D24E-F44C-AD9A-343DDD3659FF}">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https://sportsbusinessclassroom.com/nba-2024-25-luxury-tax-tracker/</t>
        </r>
      </text>
    </comment>
    <comment ref="K21" authorId="0" shapeId="0" xr:uid="{70618360-18AA-8341-8B15-6D24F1C66CA8}">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https://sportsbusinessclassroom.com/nba-2025-26-luxury-tax-tracker/</t>
        </r>
      </text>
    </comment>
    <comment ref="B22" authorId="0" shapeId="0" xr:uid="{EE792B22-431B-1444-B3CB-08B5B3834EEB}">
      <text>
        <r>
          <rPr>
            <b/>
            <sz val="10"/>
            <color rgb="FF000000"/>
            <rFont val="Tahoma"/>
            <family val="2"/>
          </rPr>
          <t>Keller, Zach:</t>
        </r>
        <r>
          <rPr>
            <sz val="10"/>
            <color rgb="FF000000"/>
            <rFont val="Tahoma"/>
            <family val="2"/>
          </rPr>
          <t xml:space="preserve">
Source: Spotrac NBA Team Tax Tracker, 2016-17 season, "Salaries" column (tax payroll), screenshots uploaded by user, https://www.spotrac.com/nba/tax/_/year/2016/ . Definition note: Spotrac tax payroll as currently shown (end-of-season); 2023–2026 values come from Sports Business Classroom, so small definitional differences are possible. Checked: Salaries + Space = 2016-17 tax line $113287000.</t>
        </r>
      </text>
    </comment>
    <comment ref="C22" authorId="0" shapeId="0" xr:uid="{AE366EF2-0FAE-2D42-BF40-58F490E38AC5}">
      <text>
        <r>
          <rPr>
            <b/>
            <sz val="10"/>
            <color rgb="FF000000"/>
            <rFont val="Tahoma"/>
            <family val="2"/>
          </rPr>
          <t>Keller, Zach:</t>
        </r>
        <r>
          <rPr>
            <sz val="10"/>
            <color rgb="FF000000"/>
            <rFont val="Tahoma"/>
            <family val="2"/>
          </rPr>
          <t xml:space="preserve">
Source: Spotrac NBA Team Tax Tracker, 2017-18 season, "Salaries" column (tax payroll), screenshots uploaded by user, https://www.spotrac.com/nba/tax/_/year/2017/ . Definition note: Spotrac tax payroll as currently shown (end-of-season); 2023–2026 values come from Sports Business Classroom, so small definitional differences are possible. Checked: Salaries + Space = 2017-18 tax line $119266000.</t>
        </r>
      </text>
    </comment>
    <comment ref="D22" authorId="0" shapeId="0" xr:uid="{9B9DC774-C44C-C94F-81C4-8E2EBF259CA9}">
      <text>
        <r>
          <rPr>
            <b/>
            <sz val="10"/>
            <color rgb="FF000000"/>
            <rFont val="Tahoma"/>
            <family val="2"/>
          </rPr>
          <t>Keller, Zach:</t>
        </r>
        <r>
          <rPr>
            <sz val="10"/>
            <color rgb="FF000000"/>
            <rFont val="Tahoma"/>
            <family val="2"/>
          </rPr>
          <t xml:space="preserve">
Source: Spotrac NBA Team Tax Tracker, 2018-19 season, "Salaries" column (tax payroll), screenshots uploaded by user, https://www.spotrac.com/nba/tax/_/year/2018/ . Definition note: Spotrac tax payroll as currently shown (end-of-season); 2023–2026 values come from Sports Business Classroom, so small definitional differences are possible. Checked: Salaries + Space = 2018-19 tax line $123733000.</t>
        </r>
      </text>
    </comment>
    <comment ref="E22" authorId="0" shapeId="0" xr:uid="{C5E318F4-6EEE-BA4D-93E1-A8636F316305}">
      <text>
        <r>
          <rPr>
            <b/>
            <sz val="10"/>
            <color rgb="FF000000"/>
            <rFont val="Tahoma"/>
            <family val="2"/>
          </rPr>
          <t>Keller, Zach:</t>
        </r>
        <r>
          <rPr>
            <sz val="10"/>
            <color rgb="FF000000"/>
            <rFont val="Tahoma"/>
            <family val="2"/>
          </rPr>
          <t xml:space="preserve">
Source: Spotrac NBA Team Tax Tracker, 2019-20 season, "Salaries" column (tax payroll), screenshots uploaded by user, https://www.spotrac.com/nba/tax/_/year/2019/ . Definition note: Spotrac tax payroll as currently shown (end-of-season); 2023–2026 values come from Sports Business Classroom, so small definitional differences are possible. Checked: Salaries + Space = 2019-20 tax line $132627000.</t>
        </r>
      </text>
    </comment>
    <comment ref="F22" authorId="0" shapeId="0" xr:uid="{54B17EFB-DBC6-FD45-9928-60DC6833E887}">
      <text>
        <r>
          <rPr>
            <b/>
            <sz val="10"/>
            <color rgb="FF000000"/>
            <rFont val="Tahoma"/>
            <family val="2"/>
          </rPr>
          <t>Keller, Zach:</t>
        </r>
        <r>
          <rPr>
            <sz val="10"/>
            <color rgb="FF000000"/>
            <rFont val="Tahoma"/>
            <family val="2"/>
          </rPr>
          <t xml:space="preserve">
Source: Spotrac NBA Team Tax Tracker, 2020-21 season, "Salaries" column (tax payroll), screenshots uploaded by user, https://www.spotrac.com/nba/tax/_/year/2020/ . Definition note: Spotrac tax payroll as currently shown (end-of-season); 2023–2026 values come from Sports Business Classroom, so small definitional differences are possible. Checked: Salaries + Space = 2020-21 tax line $132627000.</t>
        </r>
      </text>
    </comment>
    <comment ref="G22" authorId="0" shapeId="0" xr:uid="{236BCF49-255C-8E46-A049-3586A46BAA7A}">
      <text>
        <r>
          <rPr>
            <b/>
            <sz val="10"/>
            <color rgb="FF000000"/>
            <rFont val="Tahoma"/>
            <family val="2"/>
          </rPr>
          <t>Keller, Zach:</t>
        </r>
        <r>
          <rPr>
            <sz val="10"/>
            <color rgb="FF000000"/>
            <rFont val="Tahoma"/>
            <family val="2"/>
          </rPr>
          <t xml:space="preserve">
Source: Spotrac NBA Team Tax Tracker, 2021-22 season, "Salaries" column (tax payroll), screenshots uploaded by user, https://www.spotrac.com/nba/tax/_/year/2021/ . Definition note: Spotrac tax payroll as currently shown (end-of-season); 2023–2026 values come from Sports Business Classroom, so small definitional differences are possible. Checked: Salaries + Space = 2021-22 tax line $136606000.</t>
        </r>
      </text>
    </comment>
    <comment ref="H22" authorId="0" shapeId="0" xr:uid="{13EF7FF8-19B8-FD42-A13F-7D658FDB5596}">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https://sportsbusinessclassroom.com/nba-2022-23-luxury-tax-tracker/</t>
        </r>
      </text>
    </comment>
    <comment ref="I22" authorId="0" shapeId="0" xr:uid="{8243B8DF-54BD-B04D-8667-D7DADC656F10}">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https://sportsbusinessclassroom.com/nba-2023-24-luxury-tax-tracker/</t>
        </r>
      </text>
    </comment>
    <comment ref="J22" authorId="0" shapeId="0" xr:uid="{6D753E07-C330-034F-8494-D447A560EB5E}">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https://sportsbusinessclassroom.com/nba-2024-25-luxury-tax-tracker/</t>
        </r>
      </text>
    </comment>
    <comment ref="K22" authorId="0" shapeId="0" xr:uid="{21FA2C01-A6CE-D64D-B53D-39422140A51A}">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https://sportsbusinessclassroom.com/nba-2025-26-luxury-tax-tracker/</t>
        </r>
      </text>
    </comment>
    <comment ref="B23" authorId="0" shapeId="0" xr:uid="{94F393B1-A0F6-FF4D-8901-A10196ED60D9}">
      <text>
        <r>
          <rPr>
            <b/>
            <sz val="10"/>
            <color rgb="FF000000"/>
            <rFont val="Tahoma"/>
            <family val="2"/>
          </rPr>
          <t>Keller, Zach:</t>
        </r>
        <r>
          <rPr>
            <sz val="10"/>
            <color rgb="FF000000"/>
            <rFont val="Tahoma"/>
            <family val="2"/>
          </rPr>
          <t xml:space="preserve">
Source: Spotrac NBA Team Tax Tracker, 2016-17 season, "Salaries" column (tax payroll), screenshots uploaded by user, https://www.spotrac.com/nba/tax/_/year/2016/ . Definition note: Spotrac tax payroll as currently shown (end-of-season); 2023–2026 values come from Sports Business Classroom, so small definitional differences are possible. Checked: Salaries + Space = 2016-17 tax line $113287000.</t>
        </r>
      </text>
    </comment>
    <comment ref="C23" authorId="0" shapeId="0" xr:uid="{06381E67-3D61-814D-AD06-6CEC8DB3EAEE}">
      <text>
        <r>
          <rPr>
            <b/>
            <sz val="10"/>
            <color rgb="FF000000"/>
            <rFont val="Tahoma"/>
            <family val="2"/>
          </rPr>
          <t>Keller, Zach:</t>
        </r>
        <r>
          <rPr>
            <sz val="10"/>
            <color rgb="FF000000"/>
            <rFont val="Tahoma"/>
            <family val="2"/>
          </rPr>
          <t xml:space="preserve">
Source: Spotrac NBA Team Tax Tracker, 2017-18 season, "Salaries" column (tax payroll), screenshots uploaded by user, https://www.spotrac.com/nba/tax/_/year/2017/ . Definition note: Spotrac tax payroll as currently shown (end-of-season); 2023–2026 values come from Sports Business Classroom, so small definitional differences are possible. Checked: Salaries + Space = 2017-18 tax line $119266000.</t>
        </r>
      </text>
    </comment>
    <comment ref="D23" authorId="0" shapeId="0" xr:uid="{71AA4D01-238F-BF4F-B4DD-E7EEA5B38E69}">
      <text>
        <r>
          <rPr>
            <b/>
            <sz val="10"/>
            <color rgb="FF000000"/>
            <rFont val="Tahoma"/>
            <family val="2"/>
          </rPr>
          <t>Keller, Zach:</t>
        </r>
        <r>
          <rPr>
            <sz val="10"/>
            <color rgb="FF000000"/>
            <rFont val="Tahoma"/>
            <family val="2"/>
          </rPr>
          <t xml:space="preserve">
Source: Spotrac NBA Team Tax Tracker, 2018-19 season, "Salaries" column (tax payroll), screenshots uploaded by user, https://www.spotrac.com/nba/tax/_/year/2018/ . Definition note: Spotrac tax payroll as currently shown (end-of-season); 2023–2026 values come from Sports Business Classroom, so small definitional differences are possible. Checked: Salaries + Space = 2018-19 tax line $123733000.</t>
        </r>
      </text>
    </comment>
    <comment ref="E23" authorId="0" shapeId="0" xr:uid="{E1127615-F2FF-7C44-8594-4DF16FD65305}">
      <text>
        <r>
          <rPr>
            <b/>
            <sz val="10"/>
            <color rgb="FF000000"/>
            <rFont val="Tahoma"/>
            <family val="2"/>
          </rPr>
          <t>Keller, Zach:</t>
        </r>
        <r>
          <rPr>
            <sz val="10"/>
            <color rgb="FF000000"/>
            <rFont val="Tahoma"/>
            <family val="2"/>
          </rPr>
          <t xml:space="preserve">
Source: Spotrac NBA Team Tax Tracker, 2019-20 season, "Salaries" column (tax payroll), screenshots uploaded by user, https://www.spotrac.com/nba/tax/_/year/2019/ . Definition note: Spotrac tax payroll as currently shown (end-of-season); 2023–2026 values come from Sports Business Classroom, so small definitional differences are possible. Checked: Salaries + Space = 2019-20 tax line $132627000.</t>
        </r>
      </text>
    </comment>
    <comment ref="F23" authorId="0" shapeId="0" xr:uid="{976B1297-6215-2544-B6A6-3BF5D64F9106}">
      <text>
        <r>
          <rPr>
            <b/>
            <sz val="10"/>
            <color rgb="FF000000"/>
            <rFont val="Tahoma"/>
            <family val="2"/>
          </rPr>
          <t>Keller, Zach:</t>
        </r>
        <r>
          <rPr>
            <sz val="10"/>
            <color rgb="FF000000"/>
            <rFont val="Tahoma"/>
            <family val="2"/>
          </rPr>
          <t xml:space="preserve">
Source: Spotrac NBA Team Tax Tracker, 2020-21 season, "Salaries" column (tax payroll), screenshots uploaded by user, https://www.spotrac.com/nba/tax/_/year/2020/ . Definition note: Spotrac tax payroll as currently shown (end-of-season); 2023–2026 values come from Sports Business Classroom, so small definitional differences are possible. Checked: Salaries + Space = 2020-21 tax line $132627000.</t>
        </r>
      </text>
    </comment>
    <comment ref="G23" authorId="0" shapeId="0" xr:uid="{E2F4ACAE-8863-634E-91A2-9D5A0EE0B45F}">
      <text>
        <r>
          <rPr>
            <b/>
            <sz val="10"/>
            <color rgb="FF000000"/>
            <rFont val="Tahoma"/>
            <family val="2"/>
          </rPr>
          <t>Keller, Zach:</t>
        </r>
        <r>
          <rPr>
            <sz val="10"/>
            <color rgb="FF000000"/>
            <rFont val="Tahoma"/>
            <family val="2"/>
          </rPr>
          <t xml:space="preserve">
Source: Spotrac NBA Team Tax Tracker, 2021-22 season, "Salaries" column (tax payroll), screenshots uploaded by user, https://www.spotrac.com/nba/tax/_/year/2021/ . Definition note: Spotrac tax payroll as currently shown (end-of-season); 2023–2026 values come from Sports Business Classroom, so small definitional differences are possible. Checked: Salaries + Space = 2021-22 tax line $136606000.</t>
        </r>
      </text>
    </comment>
    <comment ref="H23" authorId="0" shapeId="0" xr:uid="{AF0615C2-BC93-234A-8B0F-3F3330954B8F}">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https://sportsbusinessclassroom.com/nba-2022-23-luxury-tax-tracker/</t>
        </r>
      </text>
    </comment>
    <comment ref="I23" authorId="0" shapeId="0" xr:uid="{E993F53A-538E-5F4C-8FF9-4E0325232685}">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https://sportsbusinessclassroom.com/nba-2023-24-luxury-tax-tracker/</t>
        </r>
      </text>
    </comment>
    <comment ref="J23" authorId="0" shapeId="0" xr:uid="{F0AC93EE-D7E3-854F-8A55-2F326B494F0B}">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https://sportsbusinessclassroom.com/nba-2024-25-luxury-tax-tracker/</t>
        </r>
      </text>
    </comment>
    <comment ref="K23" authorId="0" shapeId="0" xr:uid="{353EF0E9-3F65-6D4D-B4C2-1D7A1ECB839F}">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https://sportsbusinessclassroom.com/nba-2025-26-luxury-tax-tracker/</t>
        </r>
      </text>
    </comment>
    <comment ref="B24" authorId="0" shapeId="0" xr:uid="{EBDA2739-5B9D-8343-B9E1-A16421AAFEFB}">
      <text>
        <r>
          <rPr>
            <b/>
            <sz val="10"/>
            <color rgb="FF000000"/>
            <rFont val="Tahoma"/>
            <family val="2"/>
          </rPr>
          <t>Keller, Zach:</t>
        </r>
        <r>
          <rPr>
            <sz val="10"/>
            <color rgb="FF000000"/>
            <rFont val="Tahoma"/>
            <family val="2"/>
          </rPr>
          <t xml:space="preserve">
Source: Spotrac NBA Team Tax Tracker, 2016-17 season, "Salaries" column (tax payroll), screenshots uploaded by user, https://www.spotrac.com/nba/tax/_/year/2016/ . Definition note: Spotrac tax payroll as currently shown (end-of-season); 2023–2026 values come from Sports Business Classroom, so small definitional differences are possible. Checked: Salaries + Space = 2016-17 tax line $113287000.</t>
        </r>
      </text>
    </comment>
    <comment ref="C24" authorId="0" shapeId="0" xr:uid="{89A9D95B-4D25-884E-B66B-FAEDE53B48BC}">
      <text>
        <r>
          <rPr>
            <b/>
            <sz val="10"/>
            <color rgb="FF000000"/>
            <rFont val="Tahoma"/>
            <family val="2"/>
          </rPr>
          <t>Keller, Zach:</t>
        </r>
        <r>
          <rPr>
            <sz val="10"/>
            <color rgb="FF000000"/>
            <rFont val="Tahoma"/>
            <family val="2"/>
          </rPr>
          <t xml:space="preserve">
Source: Spotrac NBA Team Tax Tracker, 2017-18 season, "Salaries" column (tax payroll), screenshots uploaded by user, https://www.spotrac.com/nba/tax/_/year/2017/ . Definition note: Spotrac tax payroll as currently shown (end-of-season); 2023–2026 values come from Sports Business Classroom, so small definitional differences are possible. Checked: Salaries + Space = 2017-18 tax line $119266000.</t>
        </r>
      </text>
    </comment>
    <comment ref="D24" authorId="0" shapeId="0" xr:uid="{E415E3DD-1090-784D-8188-2567CB1E0C91}">
      <text>
        <r>
          <rPr>
            <b/>
            <sz val="10"/>
            <color rgb="FF000000"/>
            <rFont val="Tahoma"/>
            <family val="2"/>
          </rPr>
          <t>Keller, Zach:</t>
        </r>
        <r>
          <rPr>
            <sz val="10"/>
            <color rgb="FF000000"/>
            <rFont val="Tahoma"/>
            <family val="2"/>
          </rPr>
          <t xml:space="preserve">
Source: Spotrac NBA Team Tax Tracker, 2018-19 season, "Salaries" column (tax payroll), screenshots uploaded by user, https://www.spotrac.com/nba/tax/_/year/2018/ . Definition note: Spotrac tax payroll as currently shown (end-of-season); 2023–2026 values come from Sports Business Classroom, so small definitional differences are possible. Checked: Salaries + Space = 2018-19 tax line $123733000.</t>
        </r>
      </text>
    </comment>
    <comment ref="E24" authorId="0" shapeId="0" xr:uid="{3327BCA2-0CFC-E548-AFEB-67C721130914}">
      <text>
        <r>
          <rPr>
            <b/>
            <sz val="10"/>
            <color rgb="FF000000"/>
            <rFont val="Tahoma"/>
            <family val="2"/>
          </rPr>
          <t>Keller, Zach:</t>
        </r>
        <r>
          <rPr>
            <sz val="10"/>
            <color rgb="FF000000"/>
            <rFont val="Tahoma"/>
            <family val="2"/>
          </rPr>
          <t xml:space="preserve">
Source: Spotrac NBA Team Tax Tracker, 2019-20 season, "Salaries" column (tax payroll), screenshots uploaded by user, https://www.spotrac.com/nba/tax/_/year/2019/ . Definition note: Spotrac tax payroll as currently shown (end-of-season); 2023–2026 values come from Sports Business Classroom, so small definitional differences are possible. Checked: Salaries + Space = 2019-20 tax line $132627000.</t>
        </r>
      </text>
    </comment>
    <comment ref="F24" authorId="0" shapeId="0" xr:uid="{79DFBDE9-CE49-A74B-988C-6D1BE4ABB670}">
      <text>
        <r>
          <rPr>
            <b/>
            <sz val="10"/>
            <color rgb="FF000000"/>
            <rFont val="Tahoma"/>
            <family val="2"/>
          </rPr>
          <t>Keller, Zach:</t>
        </r>
        <r>
          <rPr>
            <sz val="10"/>
            <color rgb="FF000000"/>
            <rFont val="Tahoma"/>
            <family val="2"/>
          </rPr>
          <t xml:space="preserve">
Source: Spotrac NBA Team Tax Tracker, 2020-21 season, "Salaries" column (tax payroll), screenshots uploaded by user, https://www.spotrac.com/nba/tax/_/year/2020/ . Definition note: Spotrac tax payroll as currently shown (end-of-season); 2023–2026 values come from Sports Business Classroom, so small definitional differences are possible. Checked: Salaries + Space = 2020-21 tax line $132627000.</t>
        </r>
      </text>
    </comment>
    <comment ref="G24" authorId="0" shapeId="0" xr:uid="{B4643CD6-2CED-8F4F-82E2-30BFB35D8515}">
      <text>
        <r>
          <rPr>
            <b/>
            <sz val="10"/>
            <color rgb="FF000000"/>
            <rFont val="Tahoma"/>
            <family val="2"/>
          </rPr>
          <t>Keller, Zach:</t>
        </r>
        <r>
          <rPr>
            <sz val="10"/>
            <color rgb="FF000000"/>
            <rFont val="Tahoma"/>
            <family val="2"/>
          </rPr>
          <t xml:space="preserve">
Source: Spotrac NBA Team Tax Tracker, 2021-22 season, "Salaries" column (tax payroll), screenshots uploaded by user, https://www.spotrac.com/nba/tax/_/year/2021/ . Definition note: Spotrac tax payroll as currently shown (end-of-season); 2023–2026 values come from Sports Business Classroom, so small definitional differences are possible. Checked: Salaries + Space = 2021-22 tax line $136606000.</t>
        </r>
      </text>
    </comment>
    <comment ref="H24" authorId="0" shapeId="0" xr:uid="{2404A0E1-8936-DA4D-951A-A1C2F40FEE47}">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https://sportsbusinessclassroom.com/nba-2022-23-luxury-tax-tracker/</t>
        </r>
      </text>
    </comment>
    <comment ref="I24" authorId="0" shapeId="0" xr:uid="{089E4BF2-68DF-7343-9F6B-660BEDB36E3D}">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https://sportsbusinessclassroom.com/nba-2023-24-luxury-tax-tracker/</t>
        </r>
      </text>
    </comment>
    <comment ref="J24" authorId="0" shapeId="0" xr:uid="{F962EC06-C3DB-3240-AC26-BE1753FD0A2C}">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https://sportsbusinessclassroom.com/nba-2024-25-luxury-tax-tracker/</t>
        </r>
      </text>
    </comment>
    <comment ref="K24" authorId="0" shapeId="0" xr:uid="{BAAAB09C-3545-BF40-8648-6E81AE19E102}">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https://sportsbusinessclassroom.com/nba-2025-26-luxury-tax-tracker/</t>
        </r>
      </text>
    </comment>
    <comment ref="B25" authorId="0" shapeId="0" xr:uid="{B61ECD6F-8BC9-F940-BE4A-F11C189F2E5F}">
      <text>
        <r>
          <rPr>
            <b/>
            <sz val="10"/>
            <color rgb="FF000000"/>
            <rFont val="Tahoma"/>
            <family val="2"/>
          </rPr>
          <t>Keller, Zach:</t>
        </r>
        <r>
          <rPr>
            <sz val="10"/>
            <color rgb="FF000000"/>
            <rFont val="Tahoma"/>
            <family val="2"/>
          </rPr>
          <t xml:space="preserve">
Source: Spotrac NBA Team Tax Tracker, 2016-17 season, "Salaries" column (tax payroll), screenshots uploaded by user, https://www.spotrac.com/nba/tax/_/year/2016/ . Definition note: Spotrac tax payroll as currently shown (end-of-season); 2023–2026 values come from Sports Business Classroom, so small definitional differences are possible. Checked: Salaries + Space = 2016-17 tax line $113287000.</t>
        </r>
      </text>
    </comment>
    <comment ref="C25" authorId="0" shapeId="0" xr:uid="{D22F7379-8139-7740-818B-6A82634839E0}">
      <text>
        <r>
          <rPr>
            <b/>
            <sz val="10"/>
            <color rgb="FF000000"/>
            <rFont val="Tahoma"/>
            <family val="2"/>
          </rPr>
          <t>Keller, Zach:</t>
        </r>
        <r>
          <rPr>
            <sz val="10"/>
            <color rgb="FF000000"/>
            <rFont val="Tahoma"/>
            <family val="2"/>
          </rPr>
          <t xml:space="preserve">
Source: Spotrac NBA Team Tax Tracker, 2017-18 season, "Salaries" column (tax payroll), screenshots uploaded by user, https://www.spotrac.com/nba/tax/_/year/2017/ . Definition note: Spotrac tax payroll as currently shown (end-of-season); 2023–2026 values come from Sports Business Classroom, so small definitional differences are possible. Checked: Salaries + Space = 2017-18 tax line $119266000.</t>
        </r>
      </text>
    </comment>
    <comment ref="D25" authorId="0" shapeId="0" xr:uid="{557301D7-56BA-F341-BC34-E2ED78FB76C4}">
      <text>
        <r>
          <rPr>
            <b/>
            <sz val="10"/>
            <color rgb="FF000000"/>
            <rFont val="Tahoma"/>
            <family val="2"/>
          </rPr>
          <t>Keller, Zach:</t>
        </r>
        <r>
          <rPr>
            <sz val="10"/>
            <color rgb="FF000000"/>
            <rFont val="Tahoma"/>
            <family val="2"/>
          </rPr>
          <t xml:space="preserve">
Source: Spotrac NBA Team Tax Tracker, 2018-19 season, "Salaries" column (tax payroll), screenshots uploaded by user, https://www.spotrac.com/nba/tax/_/year/2018/ . Definition note: Spotrac tax payroll as currently shown (end-of-season); 2023–2026 values come from Sports Business Classroom, so small definitional differences are possible. Checked: Salaries + Space = 2018-19 tax line $123733000.</t>
        </r>
      </text>
    </comment>
    <comment ref="E25" authorId="0" shapeId="0" xr:uid="{B85C6D97-C3EE-BF49-AA45-F89544705F5A}">
      <text>
        <r>
          <rPr>
            <b/>
            <sz val="10"/>
            <color rgb="FF000000"/>
            <rFont val="Tahoma"/>
            <family val="2"/>
          </rPr>
          <t>Keller, Zach:</t>
        </r>
        <r>
          <rPr>
            <sz val="10"/>
            <color rgb="FF000000"/>
            <rFont val="Tahoma"/>
            <family val="2"/>
          </rPr>
          <t xml:space="preserve">
Source: Spotrac NBA Team Tax Tracker, 2019-20 season, "Salaries" column (tax payroll), screenshots uploaded by user, https://www.spotrac.com/nba/tax/_/year/2019/ . Definition note: Spotrac tax payroll as currently shown (end-of-season); 2023–2026 values come from Sports Business Classroom, so small definitional differences are possible. Checked: Salaries + Space = 2019-20 tax line $132627000.</t>
        </r>
      </text>
    </comment>
    <comment ref="F25" authorId="0" shapeId="0" xr:uid="{35FD2F09-36CD-6347-8BE8-32780CD9ED9F}">
      <text>
        <r>
          <rPr>
            <b/>
            <sz val="10"/>
            <color rgb="FF000000"/>
            <rFont val="Tahoma"/>
            <family val="2"/>
          </rPr>
          <t>Keller, Zach:</t>
        </r>
        <r>
          <rPr>
            <sz val="10"/>
            <color rgb="FF000000"/>
            <rFont val="Tahoma"/>
            <family val="2"/>
          </rPr>
          <t xml:space="preserve">
Source: Spotrac NBA Team Tax Tracker, 2020-21 season, "Salaries" column (tax payroll), screenshots uploaded by user, https://www.spotrac.com/nba/tax/_/year/2020/ . Definition note: Spotrac tax payroll as currently shown (end-of-season); 2023–2026 values come from Sports Business Classroom, so small definitional differences are possible. Checked: Salaries + Space = 2020-21 tax line $132627000.</t>
        </r>
      </text>
    </comment>
    <comment ref="G25" authorId="0" shapeId="0" xr:uid="{7DC9B30E-AEAA-4449-9EF0-929B10319C49}">
      <text>
        <r>
          <rPr>
            <b/>
            <sz val="10"/>
            <color rgb="FF000000"/>
            <rFont val="Tahoma"/>
            <family val="2"/>
          </rPr>
          <t>Keller, Zach:</t>
        </r>
        <r>
          <rPr>
            <sz val="10"/>
            <color rgb="FF000000"/>
            <rFont val="Tahoma"/>
            <family val="2"/>
          </rPr>
          <t xml:space="preserve">
Source: Spotrac NBA Team Tax Tracker, 2021-22 season, "Salaries" column (tax payroll), screenshots uploaded by user, https://www.spotrac.com/nba/tax/_/year/2021/ . Definition note: Spotrac tax payroll as currently shown (end-of-season); 2023–2026 values come from Sports Business Classroom, so small definitional differences are possible. Checked: Salaries + Space = 2021-22 tax line $136606000.</t>
        </r>
      </text>
    </comment>
    <comment ref="H25" authorId="0" shapeId="0" xr:uid="{D414D266-96AE-594D-9766-4AD51BED2912}">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https://sportsbusinessclassroom.com/nba-2022-23-luxury-tax-tracker/</t>
        </r>
      </text>
    </comment>
    <comment ref="I25" authorId="0" shapeId="0" xr:uid="{81AB63E2-E245-C24D-9910-85C77AD93E3A}">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https://sportsbusinessclassroom.com/nba-2023-24-luxury-tax-tracker/</t>
        </r>
      </text>
    </comment>
    <comment ref="J25" authorId="0" shapeId="0" xr:uid="{587058D9-A9A4-F74B-AEA9-E9A307683DFC}">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https://sportsbusinessclassroom.com/nba-2024-25-luxury-tax-tracker/</t>
        </r>
      </text>
    </comment>
    <comment ref="K25" authorId="0" shapeId="0" xr:uid="{E071CEE9-8ED9-7340-9FA3-BC7A16A8ECDB}">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https://sportsbusinessclassroom.com/nba-2025-26-luxury-tax-tracker/</t>
        </r>
      </text>
    </comment>
    <comment ref="B26" authorId="0" shapeId="0" xr:uid="{E69338C8-B9D7-314B-B5B8-38C7938B443D}">
      <text>
        <r>
          <rPr>
            <b/>
            <sz val="10"/>
            <color rgb="FF000000"/>
            <rFont val="Tahoma"/>
            <family val="2"/>
          </rPr>
          <t>Keller, Zach:</t>
        </r>
        <r>
          <rPr>
            <sz val="10"/>
            <color rgb="FF000000"/>
            <rFont val="Tahoma"/>
            <family val="2"/>
          </rPr>
          <t xml:space="preserve">
Source: Spotrac NBA Team Tax Tracker, 2016-17 season, "Salaries" column (tax payroll), screenshots uploaded by user, https://www.spotrac.com/nba/tax/_/year/2016/ . Definition note: Spotrac tax payroll as currently shown (end-of-season); 2023–2026 values come from Sports Business Classroom, so small definitional differences are possible. Checked: Salaries + Space = 2016-17 tax line $113287000.</t>
        </r>
      </text>
    </comment>
    <comment ref="C26" authorId="0" shapeId="0" xr:uid="{689038DD-5258-BE4A-8586-0705E52E73DA}">
      <text>
        <r>
          <rPr>
            <b/>
            <sz val="10"/>
            <color rgb="FF000000"/>
            <rFont val="Tahoma"/>
            <family val="2"/>
          </rPr>
          <t>Keller, Zach:</t>
        </r>
        <r>
          <rPr>
            <sz val="10"/>
            <color rgb="FF000000"/>
            <rFont val="Tahoma"/>
            <family val="2"/>
          </rPr>
          <t xml:space="preserve">
Source: Spotrac NBA Team Tax Tracker, 2017-18 season, "Salaries" column (tax payroll), screenshots uploaded by user, https://www.spotrac.com/nba/tax/_/year/2017/ . Definition note: Spotrac tax payroll as currently shown (end-of-season); 2023–2026 values come from Sports Business Classroom, so small definitional differences are possible. Checked: Salaries + Space = 2017-18 tax line $119266000.</t>
        </r>
      </text>
    </comment>
    <comment ref="D26" authorId="0" shapeId="0" xr:uid="{7CE12BAF-EB5E-EE4D-8597-839D3A0CD6C8}">
      <text>
        <r>
          <rPr>
            <b/>
            <sz val="10"/>
            <color rgb="FF000000"/>
            <rFont val="Tahoma"/>
            <family val="2"/>
          </rPr>
          <t>Keller, Zach:</t>
        </r>
        <r>
          <rPr>
            <sz val="10"/>
            <color rgb="FF000000"/>
            <rFont val="Tahoma"/>
            <family val="2"/>
          </rPr>
          <t xml:space="preserve">
Source: Spotrac NBA Team Tax Tracker, 2018-19 season, "Salaries" column (tax payroll), screenshots uploaded by user, https://www.spotrac.com/nba/tax/_/year/2018/ . Definition note: Spotrac tax payroll as currently shown (end-of-season); 2023–2026 values come from Sports Business Classroom, so small definitional differences are possible. Checked: Salaries + Space = 2018-19 tax line $123733000.</t>
        </r>
      </text>
    </comment>
    <comment ref="E26" authorId="0" shapeId="0" xr:uid="{CDCCEE78-D661-9A48-AE2F-BAE1BC23E062}">
      <text>
        <r>
          <rPr>
            <b/>
            <sz val="10"/>
            <color rgb="FF000000"/>
            <rFont val="Tahoma"/>
            <family val="2"/>
          </rPr>
          <t>Keller, Zach:</t>
        </r>
        <r>
          <rPr>
            <sz val="10"/>
            <color rgb="FF000000"/>
            <rFont val="Tahoma"/>
            <family val="2"/>
          </rPr>
          <t xml:space="preserve">
Source: Spotrac NBA Team Tax Tracker, 2019-20 season, "Salaries" column (tax payroll), screenshots uploaded by user, https://www.spotrac.com/nba/tax/_/year/2019/ . Definition note: Spotrac tax payroll as currently shown (end-of-season); 2023–2026 values come from Sports Business Classroom, so small definitional differences are possible. Checked: Salaries + Space = 2019-20 tax line $132627000.</t>
        </r>
      </text>
    </comment>
    <comment ref="F26" authorId="0" shapeId="0" xr:uid="{AD56C78A-E8C5-984E-8BF8-EBB8DDF8B355}">
      <text>
        <r>
          <rPr>
            <b/>
            <sz val="10"/>
            <color rgb="FF000000"/>
            <rFont val="Tahoma"/>
            <family val="2"/>
          </rPr>
          <t>Keller, Zach:</t>
        </r>
        <r>
          <rPr>
            <sz val="10"/>
            <color rgb="FF000000"/>
            <rFont val="Tahoma"/>
            <family val="2"/>
          </rPr>
          <t xml:space="preserve">
Source: Spotrac NBA Team Tax Tracker, 2020-21 season, "Salaries" column (tax payroll), screenshots uploaded by user, https://www.spotrac.com/nba/tax/_/year/2020/ . Definition note: Spotrac tax payroll as currently shown (end-of-season); 2023–2026 values come from Sports Business Classroom, so small definitional differences are possible. Checked: Salaries + Space = 2020-21 tax line $132627000.</t>
        </r>
      </text>
    </comment>
    <comment ref="G26" authorId="0" shapeId="0" xr:uid="{45067A65-147D-5747-BC3D-F1F865CB67C3}">
      <text>
        <r>
          <rPr>
            <b/>
            <sz val="10"/>
            <color rgb="FF000000"/>
            <rFont val="Tahoma"/>
            <family val="2"/>
          </rPr>
          <t>Keller, Zach:</t>
        </r>
        <r>
          <rPr>
            <sz val="10"/>
            <color rgb="FF000000"/>
            <rFont val="Tahoma"/>
            <family val="2"/>
          </rPr>
          <t xml:space="preserve">
Source: Spotrac NBA Team Tax Tracker, 2021-22 season, "Salaries" column (tax payroll), screenshots uploaded by user, https://www.spotrac.com/nba/tax/_/year/2021/ . Definition note: Spotrac tax payroll as currently shown (end-of-season); 2023–2026 values come from Sports Business Classroom, so small definitional differences are possible. Checked: Salaries + Space = 2021-22 tax line $136606000.</t>
        </r>
      </text>
    </comment>
    <comment ref="H26" authorId="0" shapeId="0" xr:uid="{2E6F8D8C-4A05-BB45-AEC2-5A27085125D3}">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https://sportsbusinessclassroom.com/nba-2022-23-luxury-tax-tracker/</t>
        </r>
      </text>
    </comment>
    <comment ref="I26" authorId="0" shapeId="0" xr:uid="{A3AC0591-91F1-ED48-9EBF-BF08BF6E7F6E}">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https://sportsbusinessclassroom.com/nba-2023-24-luxury-tax-tracker/</t>
        </r>
      </text>
    </comment>
    <comment ref="J26" authorId="0" shapeId="0" xr:uid="{A0195F28-5437-044D-B28B-FCAFE7D92C2B}">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https://sportsbusinessclassroom.com/nba-2024-25-luxury-tax-tracker/</t>
        </r>
      </text>
    </comment>
    <comment ref="K26" authorId="0" shapeId="0" xr:uid="{1DF47C04-7019-DE44-91F3-F37B4B126D57}">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https://sportsbusinessclassroom.com/nba-2025-26-luxury-tax-tracker/</t>
        </r>
      </text>
    </comment>
    <comment ref="B27" authorId="0" shapeId="0" xr:uid="{798A2762-E164-1B45-B843-E3599C08A4A3}">
      <text>
        <r>
          <rPr>
            <b/>
            <sz val="10"/>
            <color rgb="FF000000"/>
            <rFont val="Tahoma"/>
            <family val="2"/>
          </rPr>
          <t>Keller, Zach:</t>
        </r>
        <r>
          <rPr>
            <sz val="10"/>
            <color rgb="FF000000"/>
            <rFont val="Tahoma"/>
            <family val="2"/>
          </rPr>
          <t xml:space="preserve">
Source: Spotrac NBA Team Tax Tracker, 2016-17 season, "Salaries" column (tax payroll), screenshots uploaded by user, https://www.spotrac.com/nba/tax/_/year/2016/ . Definition note: Spotrac tax payroll as currently shown (end-of-season); 2023–2026 values come from Sports Business Classroom, so small definitional differences are possible. Checked: Salaries + Space = 2016-17 tax line $113287000.</t>
        </r>
      </text>
    </comment>
    <comment ref="C27" authorId="0" shapeId="0" xr:uid="{6A354CA9-809C-DB4A-9613-0A5ABFA303B9}">
      <text>
        <r>
          <rPr>
            <b/>
            <sz val="10"/>
            <color rgb="FF000000"/>
            <rFont val="Tahoma"/>
            <family val="2"/>
          </rPr>
          <t>Keller, Zach:</t>
        </r>
        <r>
          <rPr>
            <sz val="10"/>
            <color rgb="FF000000"/>
            <rFont val="Tahoma"/>
            <family val="2"/>
          </rPr>
          <t xml:space="preserve">
Source: Spotrac NBA Team Tax Tracker, 2017-18 season, "Salaries" column (tax payroll), screenshots uploaded by user, https://www.spotrac.com/nba/tax/_/year/2017/ . Definition note: Spotrac tax payroll as currently shown (end-of-season); 2023–2026 values come from Sports Business Classroom, so small definitional differences are possible. Checked: Salaries + Space = 2017-18 tax line $119266000.</t>
        </r>
      </text>
    </comment>
    <comment ref="D27" authorId="0" shapeId="0" xr:uid="{3F6FDABE-A325-BB4D-B99C-03A9BCF254B1}">
      <text>
        <r>
          <rPr>
            <b/>
            <sz val="10"/>
            <color rgb="FF000000"/>
            <rFont val="Tahoma"/>
            <family val="2"/>
          </rPr>
          <t>Keller, Zach:</t>
        </r>
        <r>
          <rPr>
            <sz val="10"/>
            <color rgb="FF000000"/>
            <rFont val="Tahoma"/>
            <family val="2"/>
          </rPr>
          <t xml:space="preserve">
Source: Spotrac NBA Team Tax Tracker, 2018-19 season, "Salaries" column (tax payroll), screenshots uploaded by user, https://www.spotrac.com/nba/tax/_/year/2018/ . Definition note: Spotrac tax payroll as currently shown (end-of-season); 2023–2026 values come from Sports Business Classroom, so small definitional differences are possible. Checked: Salaries + Space = 2018-19 tax line $123733000.</t>
        </r>
      </text>
    </comment>
    <comment ref="E27" authorId="0" shapeId="0" xr:uid="{A1ACD1F8-9045-5248-95B8-27C5AA395EB7}">
      <text>
        <r>
          <rPr>
            <b/>
            <sz val="10"/>
            <color rgb="FF000000"/>
            <rFont val="Tahoma"/>
            <family val="2"/>
          </rPr>
          <t>Keller, Zach:</t>
        </r>
        <r>
          <rPr>
            <sz val="10"/>
            <color rgb="FF000000"/>
            <rFont val="Tahoma"/>
            <family val="2"/>
          </rPr>
          <t xml:space="preserve">
Source: Spotrac NBA Team Tax Tracker, 2019-20 season, "Salaries" column (tax payroll), screenshots uploaded by user, https://www.spotrac.com/nba/tax/_/year/2019/ . Definition note: Spotrac tax payroll as currently shown (end-of-season); 2023–2026 values come from Sports Business Classroom, so small definitional differences are possible. Checked: Salaries + Space = 2019-20 tax line $132627000.</t>
        </r>
      </text>
    </comment>
    <comment ref="F27" authorId="0" shapeId="0" xr:uid="{CA5E2676-6ADA-6243-B392-4FF7461841A3}">
      <text>
        <r>
          <rPr>
            <b/>
            <sz val="10"/>
            <color rgb="FF000000"/>
            <rFont val="Tahoma"/>
            <family val="2"/>
          </rPr>
          <t>Keller, Zach:</t>
        </r>
        <r>
          <rPr>
            <sz val="10"/>
            <color rgb="FF000000"/>
            <rFont val="Tahoma"/>
            <family val="2"/>
          </rPr>
          <t xml:space="preserve">
Source: Spotrac NBA Team Tax Tracker, 2020-21 season, "Salaries" column (tax payroll), screenshots uploaded by user, https://www.spotrac.com/nba/tax/_/year/2020/ . Definition note: Spotrac tax payroll as currently shown (end-of-season); 2023–2026 values come from Sports Business Classroom, so small definitional differences are possible. Checked: Salaries + Space = 2020-21 tax line $132627000.</t>
        </r>
      </text>
    </comment>
    <comment ref="G27" authorId="0" shapeId="0" xr:uid="{D55A59CB-22AF-DE48-B1AC-6A33345447E0}">
      <text>
        <r>
          <rPr>
            <b/>
            <sz val="10"/>
            <color rgb="FF000000"/>
            <rFont val="Tahoma"/>
            <family val="2"/>
          </rPr>
          <t>Keller, Zach:</t>
        </r>
        <r>
          <rPr>
            <sz val="10"/>
            <color rgb="FF000000"/>
            <rFont val="Tahoma"/>
            <family val="2"/>
          </rPr>
          <t xml:space="preserve">
Source: Spotrac NBA Team Tax Tracker, 2021-22 season, "Salaries" column (tax payroll), screenshots uploaded by user, https://www.spotrac.com/nba/tax/_/year/2021/ . Definition note: Spotrac tax payroll as currently shown (end-of-season); 2023–2026 values come from Sports Business Classroom, so small definitional differences are possible. Checked: Salaries + Space = 2021-22 tax line $136606000.</t>
        </r>
      </text>
    </comment>
    <comment ref="H27" authorId="0" shapeId="0" xr:uid="{64353BB3-1CA9-7D4D-8003-2BD6E30DA9AA}">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https://sportsbusinessclassroom.com/nba-2022-23-luxury-tax-tracker/</t>
        </r>
      </text>
    </comment>
    <comment ref="I27" authorId="0" shapeId="0" xr:uid="{F55D89A6-97D5-4045-A27A-69DE5CF2C685}">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https://sportsbusinessclassroom.com/nba-2023-24-luxury-tax-tracker/</t>
        </r>
      </text>
    </comment>
    <comment ref="J27" authorId="0" shapeId="0" xr:uid="{120776B3-839B-0046-82B6-BB46A2082B84}">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https://sportsbusinessclassroom.com/nba-2024-25-luxury-tax-tracker/</t>
        </r>
      </text>
    </comment>
    <comment ref="K27" authorId="0" shapeId="0" xr:uid="{7F35865E-D763-234B-A4E1-BF70DED5C1A0}">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https://sportsbusinessclassroom.com/nba-2025-26-luxury-tax-tracker/</t>
        </r>
      </text>
    </comment>
    <comment ref="B28" authorId="0" shapeId="0" xr:uid="{C6280E06-88FE-6F43-A38C-BFA784912A61}">
      <text>
        <r>
          <rPr>
            <b/>
            <sz val="10"/>
            <color rgb="FF000000"/>
            <rFont val="Tahoma"/>
            <family val="2"/>
          </rPr>
          <t>Keller, Zach:</t>
        </r>
        <r>
          <rPr>
            <sz val="10"/>
            <color rgb="FF000000"/>
            <rFont val="Tahoma"/>
            <family val="2"/>
          </rPr>
          <t xml:space="preserve">
Source: Spotrac NBA Team Tax Tracker, 2016-17 season, "Salaries" column (tax payroll), screenshots uploaded by user, https://www.spotrac.com/nba/tax/_/year/2016/ . Definition note: Spotrac tax payroll as currently shown (end-of-season); 2023–2026 values come from Sports Business Classroom, so small definitional differences are possible. Checked: Salaries + Space = 2016-17 tax line $113287000.</t>
        </r>
      </text>
    </comment>
    <comment ref="C28" authorId="0" shapeId="0" xr:uid="{32AE51BD-F242-C44E-A30A-022FC298D784}">
      <text>
        <r>
          <rPr>
            <b/>
            <sz val="10"/>
            <color rgb="FF000000"/>
            <rFont val="Tahoma"/>
            <family val="2"/>
          </rPr>
          <t>Keller, Zach:</t>
        </r>
        <r>
          <rPr>
            <sz val="10"/>
            <color rgb="FF000000"/>
            <rFont val="Tahoma"/>
            <family val="2"/>
          </rPr>
          <t xml:space="preserve">
Source: Spotrac NBA Team Tax Tracker, 2017-18 season, "Salaries" column (tax payroll), screenshots uploaded by user, https://www.spotrac.com/nba/tax/_/year/2017/ . Definition note: Spotrac tax payroll as currently shown (end-of-season); 2023–2026 values come from Sports Business Classroom, so small definitional differences are possible. Checked: Salaries + Space = 2017-18 tax line $119266000.</t>
        </r>
      </text>
    </comment>
    <comment ref="D28" authorId="0" shapeId="0" xr:uid="{1DADD92C-4960-3D49-BE83-36BC3284F4A7}">
      <text>
        <r>
          <rPr>
            <b/>
            <sz val="10"/>
            <color rgb="FF000000"/>
            <rFont val="Tahoma"/>
            <family val="2"/>
          </rPr>
          <t>Keller, Zach:</t>
        </r>
        <r>
          <rPr>
            <sz val="10"/>
            <color rgb="FF000000"/>
            <rFont val="Tahoma"/>
            <family val="2"/>
          </rPr>
          <t xml:space="preserve">
Source: Spotrac NBA Team Tax Tracker, 2018-19 season, "Salaries" column (tax payroll), screenshots uploaded by user, https://www.spotrac.com/nba/tax/_/year/2018/ . Definition note: Spotrac tax payroll as currently shown (end-of-season); 2023–2026 values come from Sports Business Classroom, so small definitional differences are possible. Checked: Salaries + Space = 2018-19 tax line $123733000.</t>
        </r>
      </text>
    </comment>
    <comment ref="E28" authorId="0" shapeId="0" xr:uid="{95075863-7C61-8F4D-8766-15FF9A2CE948}">
      <text>
        <r>
          <rPr>
            <b/>
            <sz val="10"/>
            <color rgb="FF000000"/>
            <rFont val="Tahoma"/>
            <family val="2"/>
          </rPr>
          <t>Keller, Zach:</t>
        </r>
        <r>
          <rPr>
            <sz val="10"/>
            <color rgb="FF000000"/>
            <rFont val="Tahoma"/>
            <family val="2"/>
          </rPr>
          <t xml:space="preserve">
Source: Spotrac NBA Team Tax Tracker, 2019-20 season, "Salaries" column (tax payroll), screenshots uploaded by user, https://www.spotrac.com/nba/tax/_/year/2019/ . Definition note: Spotrac tax payroll as currently shown (end-of-season); 2023–2026 values come from Sports Business Classroom, so small definitional differences are possible. Checked: Salaries + Space = 2019-20 tax line $132627000.</t>
        </r>
      </text>
    </comment>
    <comment ref="F28" authorId="0" shapeId="0" xr:uid="{061745E9-1CF6-A548-89C8-0E9164DAEEC9}">
      <text>
        <r>
          <rPr>
            <b/>
            <sz val="10"/>
            <color rgb="FF000000"/>
            <rFont val="Tahoma"/>
            <family val="2"/>
          </rPr>
          <t>Keller, Zach:</t>
        </r>
        <r>
          <rPr>
            <sz val="10"/>
            <color rgb="FF000000"/>
            <rFont val="Tahoma"/>
            <family val="2"/>
          </rPr>
          <t xml:space="preserve">
Source: Spotrac NBA Team Tax Tracker, 2020-21 season, "Salaries" column (tax payroll), screenshots uploaded by user, https://www.spotrac.com/nba/tax/_/year/2020/ . Definition note: Spotrac tax payroll as currently shown (end-of-season); 2023–2026 values come from Sports Business Classroom, so small definitional differences are possible. Checked: Salaries + Space = 2020-21 tax line $132627000.</t>
        </r>
      </text>
    </comment>
    <comment ref="G28" authorId="0" shapeId="0" xr:uid="{FC218CB1-CB2F-594B-BC3D-F8EA3378F354}">
      <text>
        <r>
          <rPr>
            <b/>
            <sz val="10"/>
            <color rgb="FF000000"/>
            <rFont val="Tahoma"/>
            <family val="2"/>
          </rPr>
          <t>Keller, Zach:</t>
        </r>
        <r>
          <rPr>
            <sz val="10"/>
            <color rgb="FF000000"/>
            <rFont val="Tahoma"/>
            <family val="2"/>
          </rPr>
          <t xml:space="preserve">
Source: Spotrac NBA Team Tax Tracker, 2021-22 season, "Salaries" column (tax payroll), screenshots uploaded by user, https://www.spotrac.com/nba/tax/_/year/2021/ . Definition note: Spotrac tax payroll as currently shown (end-of-season); 2023–2026 values come from Sports Business Classroom, so small definitional differences are possible. Checked: Salaries + Space = 2021-22 tax line $136606000.</t>
        </r>
      </text>
    </comment>
    <comment ref="H28" authorId="0" shapeId="0" xr:uid="{FFAA82FB-1738-D241-9A58-92F3232C932E}">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https://sportsbusinessclassroom.com/nba-2022-23-luxury-tax-tracker/</t>
        </r>
      </text>
    </comment>
    <comment ref="I28" authorId="0" shapeId="0" xr:uid="{CA50A122-30AD-A04B-A95F-F7D29F217CF3}">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https://sportsbusinessclassroom.com/nba-2023-24-luxury-tax-tracker/</t>
        </r>
      </text>
    </comment>
    <comment ref="J28" authorId="0" shapeId="0" xr:uid="{8CF64DB7-3F04-7048-BFC4-E2643D5BE2CC}">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https://sportsbusinessclassroom.com/nba-2024-25-luxury-tax-tracker/</t>
        </r>
      </text>
    </comment>
    <comment ref="K28" authorId="0" shapeId="0" xr:uid="{E84C693A-32FB-B545-89D8-F1C685073B35}">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https://sportsbusinessclassroom.com/nba-2025-26-luxury-tax-tracker/</t>
        </r>
      </text>
    </comment>
    <comment ref="B29" authorId="0" shapeId="0" xr:uid="{705327B4-B66B-D945-9DE7-77B528C212AB}">
      <text>
        <r>
          <rPr>
            <b/>
            <sz val="10"/>
            <color rgb="FF000000"/>
            <rFont val="Tahoma"/>
            <family val="2"/>
          </rPr>
          <t>Keller, Zach:</t>
        </r>
        <r>
          <rPr>
            <sz val="10"/>
            <color rgb="FF000000"/>
            <rFont val="Tahoma"/>
            <family val="2"/>
          </rPr>
          <t xml:space="preserve">
Source: Spotrac NBA Team Tax Tracker, 2016-17 season, "Salaries" column (tax payroll), screenshots uploaded by user, https://www.spotrac.com/nba/tax/_/year/2016/ . Definition note: Spotrac tax payroll as currently shown (end-of-season); 2023–2026 values come from Sports Business Classroom, so small definitional differences are possible. Checked: Salaries + Space = 2016-17 tax line $113287000.</t>
        </r>
      </text>
    </comment>
    <comment ref="C29" authorId="0" shapeId="0" xr:uid="{39BE201E-C4C3-6B4A-BB56-907B79B8D645}">
      <text>
        <r>
          <rPr>
            <b/>
            <sz val="10"/>
            <color rgb="FF000000"/>
            <rFont val="Tahoma"/>
            <family val="2"/>
          </rPr>
          <t>Keller, Zach:</t>
        </r>
        <r>
          <rPr>
            <sz val="10"/>
            <color rgb="FF000000"/>
            <rFont val="Tahoma"/>
            <family val="2"/>
          </rPr>
          <t xml:space="preserve">
Source: Spotrac NBA Team Tax Tracker, 2017-18 season, "Salaries" column (tax payroll), screenshots uploaded by user, https://www.spotrac.com/nba/tax/_/year/2017/ . Definition note: Spotrac tax payroll as currently shown (end-of-season); 2023–2026 values come from Sports Business Classroom, so small definitional differences are possible. Checked: Salaries + Space = 2017-18 tax line $119266000.</t>
        </r>
      </text>
    </comment>
    <comment ref="D29" authorId="0" shapeId="0" xr:uid="{E4BD3F6B-C483-4348-98D0-682DA6D1FFC7}">
      <text>
        <r>
          <rPr>
            <b/>
            <sz val="10"/>
            <color rgb="FF000000"/>
            <rFont val="Tahoma"/>
            <family val="2"/>
          </rPr>
          <t>Keller, Zach:</t>
        </r>
        <r>
          <rPr>
            <sz val="10"/>
            <color rgb="FF000000"/>
            <rFont val="Tahoma"/>
            <family val="2"/>
          </rPr>
          <t xml:space="preserve">
Source: Spotrac NBA Team Tax Tracker, 2018-19 season, "Salaries" column (tax payroll), screenshots uploaded by user, https://www.spotrac.com/nba/tax/_/year/2018/ . Definition note: Spotrac tax payroll as currently shown (end-of-season); 2023–2026 values come from Sports Business Classroom, so small definitional differences are possible. Checked: Salaries + Space = 2018-19 tax line $123733000.</t>
        </r>
      </text>
    </comment>
    <comment ref="E29" authorId="0" shapeId="0" xr:uid="{CA219278-5274-DE49-A76E-28DF2AA5AD11}">
      <text>
        <r>
          <rPr>
            <b/>
            <sz val="10"/>
            <color rgb="FF000000"/>
            <rFont val="Tahoma"/>
            <family val="2"/>
          </rPr>
          <t>Keller, Zach:</t>
        </r>
        <r>
          <rPr>
            <sz val="10"/>
            <color rgb="FF000000"/>
            <rFont val="Tahoma"/>
            <family val="2"/>
          </rPr>
          <t xml:space="preserve">
Source: Spotrac NBA Team Tax Tracker, 2019-20 season, "Salaries" column (tax payroll), screenshots uploaded by user, https://www.spotrac.com/nba/tax/_/year/2019/ . Definition note: Spotrac tax payroll as currently shown (end-of-season); 2023–2026 values come from Sports Business Classroom, so small definitional differences are possible. Checked: Salaries + Space = 2019-20 tax line $132627000.</t>
        </r>
      </text>
    </comment>
    <comment ref="F29" authorId="0" shapeId="0" xr:uid="{4E64B04D-47F6-C74C-953E-A4A9076727B5}">
      <text>
        <r>
          <rPr>
            <b/>
            <sz val="10"/>
            <color rgb="FF000000"/>
            <rFont val="Tahoma"/>
            <family val="2"/>
          </rPr>
          <t>Keller, Zach:</t>
        </r>
        <r>
          <rPr>
            <sz val="10"/>
            <color rgb="FF000000"/>
            <rFont val="Tahoma"/>
            <family val="2"/>
          </rPr>
          <t xml:space="preserve">
Source: Spotrac NBA Team Tax Tracker, 2020-21 season, "Salaries" column (tax payroll), screenshots uploaded by user, https://www.spotrac.com/nba/tax/_/year/2020/ . Definition note: Spotrac tax payroll as currently shown (end-of-season); 2023–2026 values come from Sports Business Classroom, so small definitional differences are possible. Checked: Salaries + Space = 2020-21 tax line $132627000.</t>
        </r>
      </text>
    </comment>
    <comment ref="G29" authorId="0" shapeId="0" xr:uid="{C4E6FC40-D905-1844-903F-B7082F45BCAD}">
      <text>
        <r>
          <rPr>
            <b/>
            <sz val="10"/>
            <color rgb="FF000000"/>
            <rFont val="Tahoma"/>
            <family val="2"/>
          </rPr>
          <t>Keller, Zach:</t>
        </r>
        <r>
          <rPr>
            <sz val="10"/>
            <color rgb="FF000000"/>
            <rFont val="Tahoma"/>
            <family val="2"/>
          </rPr>
          <t xml:space="preserve">
Source: Spotrac NBA Team Tax Tracker, 2021-22 season, "Salaries" column (tax payroll), screenshots uploaded by user, https://www.spotrac.com/nba/tax/_/year/2021/ . Definition note: Spotrac tax payroll as currently shown (end-of-season); 2023–2026 values come from Sports Business Classroom, so small definitional differences are possible. Checked: Salaries + Space = 2021-22 tax line $136606000.</t>
        </r>
      </text>
    </comment>
    <comment ref="H29" authorId="0" shapeId="0" xr:uid="{0E2B829A-8742-794B-9886-A8827BB4D88E}">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https://sportsbusinessclassroom.com/nba-2022-23-luxury-tax-tracker/</t>
        </r>
      </text>
    </comment>
    <comment ref="I29" authorId="0" shapeId="0" xr:uid="{3417EF1D-D254-814C-8817-425A4FB87C96}">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https://sportsbusinessclassroom.com/nba-2023-24-luxury-tax-tracker/</t>
        </r>
      </text>
    </comment>
    <comment ref="J29" authorId="0" shapeId="0" xr:uid="{224CEF67-579A-474F-8E12-B6AA960E2536}">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https://sportsbusinessclassroom.com/nba-2024-25-luxury-tax-tracker/</t>
        </r>
      </text>
    </comment>
    <comment ref="K29" authorId="0" shapeId="0" xr:uid="{1BC01E1F-9485-8D4C-80A8-D548A18DB8C1}">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https://sportsbusinessclassroom.com/nba-2025-26-luxury-tax-tracker/</t>
        </r>
      </text>
    </comment>
    <comment ref="B30" authorId="0" shapeId="0" xr:uid="{499F6BD3-F8BF-CB4B-841F-14AC563FBCB2}">
      <text>
        <r>
          <rPr>
            <b/>
            <sz val="10"/>
            <color rgb="FF000000"/>
            <rFont val="Tahoma"/>
            <family val="2"/>
          </rPr>
          <t>Keller, Zach:</t>
        </r>
        <r>
          <rPr>
            <sz val="10"/>
            <color rgb="FF000000"/>
            <rFont val="Tahoma"/>
            <family val="2"/>
          </rPr>
          <t xml:space="preserve">
Source: Spotrac NBA Team Tax Tracker, 2016-17 season, "Salaries" column (tax payroll), screenshots uploaded by user, https://www.spotrac.com/nba/tax/_/year/2016/ . Definition note: Spotrac tax payroll as currently shown (end-of-season); 2023–2026 values come from Sports Business Classroom, so small definitional differences are possible. Checked: Salaries + Space = 2016-17 tax line $113287000.</t>
        </r>
      </text>
    </comment>
    <comment ref="C30" authorId="0" shapeId="0" xr:uid="{38B5E89E-E1CF-8643-A2B0-DA33633E8EE9}">
      <text>
        <r>
          <rPr>
            <b/>
            <sz val="10"/>
            <color rgb="FF000000"/>
            <rFont val="Tahoma"/>
            <family val="2"/>
          </rPr>
          <t>Keller, Zach:</t>
        </r>
        <r>
          <rPr>
            <sz val="10"/>
            <color rgb="FF000000"/>
            <rFont val="Tahoma"/>
            <family val="2"/>
          </rPr>
          <t xml:space="preserve">
Source: Spotrac NBA Team Tax Tracker, 2017-18 season, "Salaries" column (tax payroll), screenshots uploaded by user, https://www.spotrac.com/nba/tax/_/year/2017/ . Definition note: Spotrac tax payroll as currently shown (end-of-season); 2023–2026 values come from Sports Business Classroom, so small definitional differences are possible. Checked: Salaries + Space = 2017-18 tax line $119266000.</t>
        </r>
      </text>
    </comment>
    <comment ref="D30" authorId="0" shapeId="0" xr:uid="{3CA3234D-DAE9-CE49-981F-7B8B4BFB3FCC}">
      <text>
        <r>
          <rPr>
            <b/>
            <sz val="10"/>
            <color rgb="FF000000"/>
            <rFont val="Tahoma"/>
            <family val="2"/>
          </rPr>
          <t>Keller, Zach:</t>
        </r>
        <r>
          <rPr>
            <sz val="10"/>
            <color rgb="FF000000"/>
            <rFont val="Tahoma"/>
            <family val="2"/>
          </rPr>
          <t xml:space="preserve">
Source: Spotrac NBA Team Tax Tracker, 2018-19 season, "Salaries" column (tax payroll), screenshots uploaded by user, https://www.spotrac.com/nba/tax/_/year/2018/ . Definition note: Spotrac tax payroll as currently shown (end-of-season); 2023–2026 values come from Sports Business Classroom, so small definitional differences are possible. Checked: Salaries + Space = 2018-19 tax line $123733000.</t>
        </r>
      </text>
    </comment>
    <comment ref="E30" authorId="0" shapeId="0" xr:uid="{7FC1AEDA-759E-0B48-B0FF-B9F8DC0EAD02}">
      <text>
        <r>
          <rPr>
            <b/>
            <sz val="10"/>
            <color rgb="FF000000"/>
            <rFont val="Tahoma"/>
            <family val="2"/>
          </rPr>
          <t>Keller, Zach:</t>
        </r>
        <r>
          <rPr>
            <sz val="10"/>
            <color rgb="FF000000"/>
            <rFont val="Tahoma"/>
            <family val="2"/>
          </rPr>
          <t xml:space="preserve">
Source: Spotrac NBA Team Tax Tracker, 2019-20 season, "Salaries" column (tax payroll), screenshots uploaded by user, https://www.spotrac.com/nba/tax/_/year/2019/ . Definition note: Spotrac tax payroll as currently shown (end-of-season); 2023–2026 values come from Sports Business Classroom, so small definitional differences are possible. Checked: Salaries + Space = 2019-20 tax line $132627000.</t>
        </r>
      </text>
    </comment>
    <comment ref="F30" authorId="0" shapeId="0" xr:uid="{2A81E596-0718-7E4E-8E1D-22FE968C44A1}">
      <text>
        <r>
          <rPr>
            <b/>
            <sz val="10"/>
            <color rgb="FF000000"/>
            <rFont val="Tahoma"/>
            <family val="2"/>
          </rPr>
          <t>Keller, Zach:</t>
        </r>
        <r>
          <rPr>
            <sz val="10"/>
            <color rgb="FF000000"/>
            <rFont val="Tahoma"/>
            <family val="2"/>
          </rPr>
          <t xml:space="preserve">
Source: Spotrac NBA Team Tax Tracker, 2020-21 season, "Salaries" column (tax payroll), screenshots uploaded by user, https://www.spotrac.com/nba/tax/_/year/2020/ . Definition note: Spotrac tax payroll as currently shown (end-of-season); 2023–2026 values come from Sports Business Classroom, so small definitional differences are possible. Checked: Salaries + Space = 2020-21 tax line $132627000.</t>
        </r>
      </text>
    </comment>
    <comment ref="G30" authorId="0" shapeId="0" xr:uid="{078A90F9-1F8A-AE47-8C93-194B35E18385}">
      <text>
        <r>
          <rPr>
            <b/>
            <sz val="10"/>
            <color rgb="FF000000"/>
            <rFont val="Tahoma"/>
            <family val="2"/>
          </rPr>
          <t>Keller, Zach:</t>
        </r>
        <r>
          <rPr>
            <sz val="10"/>
            <color rgb="FF000000"/>
            <rFont val="Tahoma"/>
            <family val="2"/>
          </rPr>
          <t xml:space="preserve">
Source: Spotrac NBA Team Tax Tracker, 2021-22 season, "Salaries" column (tax payroll), screenshots uploaded by user, https://www.spotrac.com/nba/tax/_/year/2021/ . Definition note: Spotrac tax payroll as currently shown (end-of-season); 2023–2026 values come from Sports Business Classroom, so small definitional differences are possible. Checked: Salaries + Space = 2021-22 tax line $136606000.</t>
        </r>
      </text>
    </comment>
    <comment ref="H30" authorId="0" shapeId="0" xr:uid="{DF3856E2-6D66-0240-B8A3-A867F898AFB2}">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https://sportsbusinessclassroom.com/nba-2022-23-luxury-tax-tracker/</t>
        </r>
      </text>
    </comment>
    <comment ref="I30" authorId="0" shapeId="0" xr:uid="{EC79EF24-A9AA-5446-BBEE-AD98CE5006A4}">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https://sportsbusinessclassroom.com/nba-2023-24-luxury-tax-tracker/</t>
        </r>
      </text>
    </comment>
    <comment ref="J30" authorId="0" shapeId="0" xr:uid="{9A91921F-D0F3-5B4D-8358-B8D77612D5CB}">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https://sportsbusinessclassroom.com/nba-2024-25-luxury-tax-tracker/</t>
        </r>
      </text>
    </comment>
    <comment ref="K30" authorId="0" shapeId="0" xr:uid="{D6AFD064-A4D9-B945-8779-3ECC0815DDB9}">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https://sportsbusinessclassroom.com/nba-2025-26-luxury-tax-tracker/</t>
        </r>
      </text>
    </comment>
    <comment ref="B31" authorId="0" shapeId="0" xr:uid="{9F18E575-E445-DA48-A239-2228938F959E}">
      <text>
        <r>
          <rPr>
            <b/>
            <sz val="10"/>
            <color rgb="FF000000"/>
            <rFont val="Tahoma"/>
            <family val="2"/>
          </rPr>
          <t>Keller, Zach:</t>
        </r>
        <r>
          <rPr>
            <sz val="10"/>
            <color rgb="FF000000"/>
            <rFont val="Tahoma"/>
            <family val="2"/>
          </rPr>
          <t xml:space="preserve">
Source: Spotrac NBA Team Tax Tracker, 2016-17 season, "Salaries" column (tax payroll), screenshots uploaded by user, https://www.spotrac.com/nba/tax/_/year/2016/ . Definition note: Spotrac tax payroll as currently shown (end-of-season); 2023–2026 values come from Sports Business Classroom, so small definitional differences are possible. Checked: Salaries + Space = 2016-17 tax line $113287000.</t>
        </r>
      </text>
    </comment>
    <comment ref="C31" authorId="0" shapeId="0" xr:uid="{5E95CD8C-A1EE-2641-AAB3-8C0AD5FD5E0A}">
      <text>
        <r>
          <rPr>
            <b/>
            <sz val="10"/>
            <color rgb="FF000000"/>
            <rFont val="Tahoma"/>
            <family val="2"/>
          </rPr>
          <t>Keller, Zach:</t>
        </r>
        <r>
          <rPr>
            <sz val="10"/>
            <color rgb="FF000000"/>
            <rFont val="Tahoma"/>
            <family val="2"/>
          </rPr>
          <t xml:space="preserve">
Source: Spotrac NBA Team Tax Tracker, 2017-18 season, "Salaries" column (tax payroll), screenshots uploaded by user, https://www.spotrac.com/nba/tax/_/year/2017/ . Definition note: Spotrac tax payroll as currently shown (end-of-season); 2023–2026 values come from Sports Business Classroom, so small definitional differences are possible. Checked: Salaries + Space = 2017-18 tax line $119266000.</t>
        </r>
      </text>
    </comment>
    <comment ref="D31" authorId="0" shapeId="0" xr:uid="{B0DE9748-067D-E449-A8C8-62FE8F19C53E}">
      <text>
        <r>
          <rPr>
            <b/>
            <sz val="10"/>
            <color rgb="FF000000"/>
            <rFont val="Tahoma"/>
            <family val="2"/>
          </rPr>
          <t>Keller, Zach:</t>
        </r>
        <r>
          <rPr>
            <sz val="10"/>
            <color rgb="FF000000"/>
            <rFont val="Tahoma"/>
            <family val="2"/>
          </rPr>
          <t xml:space="preserve">
Source: Spotrac NBA Team Tax Tracker, 2018-19 season, "Salaries" column (tax payroll), screenshots uploaded by user, https://www.spotrac.com/nba/tax/_/year/2018/ . Definition note: Spotrac tax payroll as currently shown (end-of-season); 2023–2026 values come from Sports Business Classroom, so small definitional differences are possible. Checked: Salaries + Space = 2018-19 tax line $123733000.</t>
        </r>
      </text>
    </comment>
    <comment ref="E31" authorId="0" shapeId="0" xr:uid="{DB2930F8-BED1-8D48-B375-FE10A131888C}">
      <text>
        <r>
          <rPr>
            <b/>
            <sz val="10"/>
            <color rgb="FF000000"/>
            <rFont val="Tahoma"/>
            <family val="2"/>
          </rPr>
          <t>Keller, Zach:</t>
        </r>
        <r>
          <rPr>
            <sz val="10"/>
            <color rgb="FF000000"/>
            <rFont val="Tahoma"/>
            <family val="2"/>
          </rPr>
          <t xml:space="preserve">
Source: Spotrac NBA Team Tax Tracker, 2019-20 season, "Salaries" column (tax payroll), screenshots uploaded by user, https://www.spotrac.com/nba/tax/_/year/2019/ . Definition note: Spotrac tax payroll as currently shown (end-of-season); 2023–2026 values come from Sports Business Classroom, so small definitional differences are possible. Checked: Salaries + Space = 2019-20 tax line $132627000.</t>
        </r>
      </text>
    </comment>
    <comment ref="F31" authorId="0" shapeId="0" xr:uid="{E2349210-622A-AF48-A56D-D0578E8D45A7}">
      <text>
        <r>
          <rPr>
            <b/>
            <sz val="10"/>
            <color rgb="FF000000"/>
            <rFont val="Tahoma"/>
            <family val="2"/>
          </rPr>
          <t>Keller, Zach:</t>
        </r>
        <r>
          <rPr>
            <sz val="10"/>
            <color rgb="FF000000"/>
            <rFont val="Tahoma"/>
            <family val="2"/>
          </rPr>
          <t xml:space="preserve">
Source: Spotrac NBA Team Tax Tracker, 2020-21 season, "Salaries" column (tax payroll), screenshots uploaded by user, https://www.spotrac.com/nba/tax/_/year/2020/ . Definition note: Spotrac tax payroll as currently shown (end-of-season); 2023–2026 values come from Sports Business Classroom, so small definitional differences are possible. Checked: Salaries + Space = 2020-21 tax line $132627000.</t>
        </r>
      </text>
    </comment>
    <comment ref="G31" authorId="0" shapeId="0" xr:uid="{154B6F62-AB88-824A-96E6-5FA73059FD67}">
      <text>
        <r>
          <rPr>
            <b/>
            <sz val="10"/>
            <color rgb="FF000000"/>
            <rFont val="Tahoma"/>
            <family val="2"/>
          </rPr>
          <t>Keller, Zach:</t>
        </r>
        <r>
          <rPr>
            <sz val="10"/>
            <color rgb="FF000000"/>
            <rFont val="Tahoma"/>
            <family val="2"/>
          </rPr>
          <t xml:space="preserve">
Source: Spotrac NBA Team Tax Tracker, 2021-22 season, "Salaries" column (tax payroll), screenshots uploaded by user, https://www.spotrac.com/nba/tax/_/year/2021/ . Definition note: Spotrac tax payroll as currently shown (end-of-season); 2023–2026 values come from Sports Business Classroom, so small definitional differences are possible. Checked: Salaries + Space = 2021-22 tax line $136606000.</t>
        </r>
      </text>
    </comment>
    <comment ref="H31" authorId="0" shapeId="0" xr:uid="{65E7462C-C56C-BF4D-9854-246239D99C0E}">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https://sportsbusinessclassroom.com/nba-2022-23-luxury-tax-tracker/</t>
        </r>
      </text>
    </comment>
    <comment ref="I31" authorId="0" shapeId="0" xr:uid="{92468FAC-19E9-9746-A199-10C8015139F1}">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https://sportsbusinessclassroom.com/nba-2023-24-luxury-tax-tracker/</t>
        </r>
      </text>
    </comment>
    <comment ref="J31" authorId="0" shapeId="0" xr:uid="{EB40F944-EA18-5D45-A7E2-E02AED80B0B9}">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https://sportsbusinessclassroom.com/nba-2024-25-luxury-tax-tracker/</t>
        </r>
      </text>
    </comment>
    <comment ref="K31" authorId="0" shapeId="0" xr:uid="{81BE8382-F34B-FF41-9E13-9C3AB4B93C04}">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https://sportsbusinessclassroom.com/nba-2025-26-luxury-tax-tracker/</t>
        </r>
      </text>
    </comment>
    <comment ref="B32" authorId="0" shapeId="0" xr:uid="{DB27188C-6A80-E44C-A6D1-2F1131823332}">
      <text>
        <r>
          <rPr>
            <b/>
            <sz val="10"/>
            <color rgb="FF000000"/>
            <rFont val="Tahoma"/>
            <family val="2"/>
          </rPr>
          <t>Keller, Zach:</t>
        </r>
        <r>
          <rPr>
            <sz val="10"/>
            <color rgb="FF000000"/>
            <rFont val="Tahoma"/>
            <family val="2"/>
          </rPr>
          <t xml:space="preserve">
Source: Spotrac NBA Team Tax Tracker, 2016-17 season, "Salaries" column (tax payroll), screenshots uploaded by user, https://www.spotrac.com/nba/tax/_/year/2016/ . Definition note: Spotrac tax payroll as currently shown (end-of-season); 2023–2026 values come from Sports Business Classroom, so small definitional differences are possible. Checked: Salaries + Space = 2016-17 tax line $113287000.</t>
        </r>
      </text>
    </comment>
    <comment ref="C32" authorId="0" shapeId="0" xr:uid="{8F581CF0-3E4C-BF41-95BB-7513289EFB06}">
      <text>
        <r>
          <rPr>
            <b/>
            <sz val="10"/>
            <color rgb="FF000000"/>
            <rFont val="Tahoma"/>
            <family val="2"/>
          </rPr>
          <t>Keller, Zach:</t>
        </r>
        <r>
          <rPr>
            <sz val="10"/>
            <color rgb="FF000000"/>
            <rFont val="Tahoma"/>
            <family val="2"/>
          </rPr>
          <t xml:space="preserve">
Source: Spotrac NBA Team Tax Tracker, 2017-18 season, "Salaries" column (tax payroll), screenshots uploaded by user, https://www.spotrac.com/nba/tax/_/year/2017/ . Definition note: Spotrac tax payroll as currently shown (end-of-season); 2023–2026 values come from Sports Business Classroom, so small definitional differences are possible. Checked: Salaries + Space = 2017-18 tax line $119266000.</t>
        </r>
      </text>
    </comment>
    <comment ref="D32" authorId="0" shapeId="0" xr:uid="{FF8A5321-102F-F04F-BE42-3D4070686C7B}">
      <text>
        <r>
          <rPr>
            <b/>
            <sz val="10"/>
            <color rgb="FF000000"/>
            <rFont val="Tahoma"/>
            <family val="2"/>
          </rPr>
          <t>Keller, Zach:</t>
        </r>
        <r>
          <rPr>
            <sz val="10"/>
            <color rgb="FF000000"/>
            <rFont val="Tahoma"/>
            <family val="2"/>
          </rPr>
          <t xml:space="preserve">
Source: Spotrac NBA Team Tax Tracker, 2018-19 season, "Salaries" column (tax payroll), screenshots uploaded by user, https://www.spotrac.com/nba/tax/_/year/2018/ . Definition note: Spotrac tax payroll as currently shown (end-of-season); 2023–2026 values come from Sports Business Classroom, so small definitional differences are possible. Checked: Salaries + Space = 2018-19 tax line $123733000.</t>
        </r>
      </text>
    </comment>
    <comment ref="E32" authorId="0" shapeId="0" xr:uid="{32468CE7-61F3-D844-8D8B-B5647AA7C199}">
      <text>
        <r>
          <rPr>
            <b/>
            <sz val="10"/>
            <color rgb="FF000000"/>
            <rFont val="Tahoma"/>
            <family val="2"/>
          </rPr>
          <t>Keller, Zach:</t>
        </r>
        <r>
          <rPr>
            <sz val="10"/>
            <color rgb="FF000000"/>
            <rFont val="Tahoma"/>
            <family val="2"/>
          </rPr>
          <t xml:space="preserve">
Source: Spotrac NBA Team Tax Tracker, 2019-20 season, "Salaries" column (tax payroll), screenshots uploaded by user, https://www.spotrac.com/nba/tax/_/year/2019/ . Definition note: Spotrac tax payroll as currently shown (end-of-season); 2023–2026 values come from Sports Business Classroom, so small definitional differences are possible. Checked: Salaries + Space = 2019-20 tax line $132627000.</t>
        </r>
      </text>
    </comment>
    <comment ref="F32" authorId="0" shapeId="0" xr:uid="{4DDE44C9-8FCD-F34B-BD83-02FCF601123D}">
      <text>
        <r>
          <rPr>
            <b/>
            <sz val="10"/>
            <color rgb="FF000000"/>
            <rFont val="Tahoma"/>
            <family val="2"/>
          </rPr>
          <t>Keller, Zach:</t>
        </r>
        <r>
          <rPr>
            <sz val="10"/>
            <color rgb="FF000000"/>
            <rFont val="Tahoma"/>
            <family val="2"/>
          </rPr>
          <t xml:space="preserve">
Source: Spotrac NBA Team Tax Tracker, 2020-21 season, "Salaries" column (tax payroll), screenshots uploaded by user, https://www.spotrac.com/nba/tax/_/year/2020/ . Definition note: Spotrac tax payroll as currently shown (end-of-season); 2023–2026 values come from Sports Business Classroom, so small definitional differences are possible. Checked: Salaries + Space = 2020-21 tax line $132627000.</t>
        </r>
      </text>
    </comment>
    <comment ref="G32" authorId="0" shapeId="0" xr:uid="{8FA7D90B-74C6-F449-AD9E-CAEFF9F2CA51}">
      <text>
        <r>
          <rPr>
            <b/>
            <sz val="10"/>
            <color rgb="FF000000"/>
            <rFont val="Tahoma"/>
            <family val="2"/>
          </rPr>
          <t>Keller, Zach:</t>
        </r>
        <r>
          <rPr>
            <sz val="10"/>
            <color rgb="FF000000"/>
            <rFont val="Tahoma"/>
            <family val="2"/>
          </rPr>
          <t xml:space="preserve">
Source: Spotrac NBA Team Tax Tracker, 2021-22 season, "Salaries" column (tax payroll), screenshots uploaded by user, https://www.spotrac.com/nba/tax/_/year/2021/ . Definition note: Spotrac tax payroll as currently shown (end-of-season); 2023–2026 values come from Sports Business Classroom, so small definitional differences are possible. Checked: Salaries + Space = 2021-22 tax line $136606000.</t>
        </r>
      </text>
    </comment>
    <comment ref="H32" authorId="0" shapeId="0" xr:uid="{D1AC2F22-1001-3D45-8D71-F4889DBD15CD}">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https://sportsbusinessclassroom.com/nba-2022-23-luxury-tax-tracker/</t>
        </r>
      </text>
    </comment>
    <comment ref="I32" authorId="0" shapeId="0" xr:uid="{1D96DA25-CF14-C748-AC73-51B6BD8336DD}">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https://sportsbusinessclassroom.com/nba-2023-24-luxury-tax-tracker/</t>
        </r>
      </text>
    </comment>
    <comment ref="J32" authorId="0" shapeId="0" xr:uid="{F4BB099C-D4E5-5044-A614-F091A7A91540}">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https://sportsbusinessclassroom.com/nba-2024-25-luxury-tax-tracker/</t>
        </r>
      </text>
    </comment>
    <comment ref="K32" authorId="0" shapeId="0" xr:uid="{5DD0E5F8-C5C2-E147-9D37-768DD621FC20}">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https://sportsbusinessclassroom.com/nba-2025-26-luxury-tax-tracker/</t>
        </r>
      </text>
    </comment>
    <comment ref="B33" authorId="0" shapeId="0" xr:uid="{4F7B68D6-B8A2-4641-B67C-809E71D15091}">
      <text>
        <r>
          <rPr>
            <b/>
            <sz val="10"/>
            <color rgb="FF000000"/>
            <rFont val="Tahoma"/>
            <family val="2"/>
          </rPr>
          <t>Keller, Zach:</t>
        </r>
        <r>
          <rPr>
            <sz val="10"/>
            <color rgb="FF000000"/>
            <rFont val="Tahoma"/>
            <family val="2"/>
          </rPr>
          <t xml:space="preserve">
Source: Spotrac NBA Team Tax Tracker, 2016-17 season, "Salaries" column (tax payroll), screenshots uploaded by user, https://www.spotrac.com/nba/tax/_/year/2016/ . Definition note: Spotrac tax payroll as currently shown (end-of-season); 2023–2026 values come from Sports Business Classroom, so small definitional differences are possible. Checked: Salaries + Space = 2016-17 tax line $113287000.</t>
        </r>
      </text>
    </comment>
    <comment ref="C33" authorId="0" shapeId="0" xr:uid="{88436569-B51F-8A44-BC32-15C6784383D1}">
      <text>
        <r>
          <rPr>
            <b/>
            <sz val="10"/>
            <color rgb="FF000000"/>
            <rFont val="Tahoma"/>
            <family val="2"/>
          </rPr>
          <t>Keller, Zach:</t>
        </r>
        <r>
          <rPr>
            <sz val="10"/>
            <color rgb="FF000000"/>
            <rFont val="Tahoma"/>
            <family val="2"/>
          </rPr>
          <t xml:space="preserve">
Source: Spotrac NBA Team Tax Tracker, 2017-18 season, "Salaries" column (tax payroll), screenshots uploaded by user, https://www.spotrac.com/nba/tax/_/year/2017/ . Definition note: Spotrac tax payroll as currently shown (end-of-season); 2023–2026 values come from Sports Business Classroom, so small definitional differences are possible. Checked: Salaries + Space = 2017-18 tax line $119266000.</t>
        </r>
      </text>
    </comment>
    <comment ref="D33" authorId="0" shapeId="0" xr:uid="{75798FC3-E5B9-A443-9E05-A512099F7C59}">
      <text>
        <r>
          <rPr>
            <b/>
            <sz val="10"/>
            <color rgb="FF000000"/>
            <rFont val="Tahoma"/>
            <family val="2"/>
          </rPr>
          <t>Keller, Zach:</t>
        </r>
        <r>
          <rPr>
            <sz val="10"/>
            <color rgb="FF000000"/>
            <rFont val="Tahoma"/>
            <family val="2"/>
          </rPr>
          <t xml:space="preserve">
Source: Spotrac NBA Team Tax Tracker, 2018-19 season, "Salaries" column (tax payroll), screenshots uploaded by user, https://www.spotrac.com/nba/tax/_/year/2018/ . Definition note: Spotrac tax payroll as currently shown (end-of-season); 2023–2026 values come from Sports Business Classroom, so small definitional differences are possible. Checked: Salaries + Space = 2018-19 tax line $123733000.</t>
        </r>
      </text>
    </comment>
    <comment ref="E33" authorId="0" shapeId="0" xr:uid="{25F23ECE-815E-A248-8606-221F02F96F18}">
      <text>
        <r>
          <rPr>
            <b/>
            <sz val="10"/>
            <color rgb="FF000000"/>
            <rFont val="Tahoma"/>
            <family val="2"/>
          </rPr>
          <t>Keller, Zach:</t>
        </r>
        <r>
          <rPr>
            <sz val="10"/>
            <color rgb="FF000000"/>
            <rFont val="Tahoma"/>
            <family val="2"/>
          </rPr>
          <t xml:space="preserve">
Source: Spotrac NBA Team Tax Tracker, 2019-20 season, "Salaries" column (tax payroll), screenshots uploaded by user, https://www.spotrac.com/nba/tax/_/year/2019/ . Definition note: Spotrac tax payroll as currently shown (end-of-season); 2023–2026 values come from Sports Business Classroom, so small definitional differences are possible. Checked: Salaries + Space = 2019-20 tax line $132627000.</t>
        </r>
      </text>
    </comment>
    <comment ref="F33" authorId="0" shapeId="0" xr:uid="{6FFA1F4B-4591-0E4C-81B0-51E3712FD587}">
      <text>
        <r>
          <rPr>
            <b/>
            <sz val="10"/>
            <color rgb="FF000000"/>
            <rFont val="Tahoma"/>
            <family val="2"/>
          </rPr>
          <t>Keller, Zach:</t>
        </r>
        <r>
          <rPr>
            <sz val="10"/>
            <color rgb="FF000000"/>
            <rFont val="Tahoma"/>
            <family val="2"/>
          </rPr>
          <t xml:space="preserve">
Source: Spotrac NBA Team Tax Tracker, 2020-21 season, "Salaries" column (tax payroll), screenshots uploaded by user, https://www.spotrac.com/nba/tax/_/year/2020/ . Definition note: Spotrac tax payroll as currently shown (end-of-season); 2023–2026 values come from Sports Business Classroom, so small definitional differences are possible. Checked: Salaries + Space = 2020-21 tax line $132627000.</t>
        </r>
      </text>
    </comment>
    <comment ref="G33" authorId="0" shapeId="0" xr:uid="{991F3FA5-582A-2B4E-9792-39B7401A17CF}">
      <text>
        <r>
          <rPr>
            <b/>
            <sz val="10"/>
            <color rgb="FF000000"/>
            <rFont val="Tahoma"/>
            <family val="2"/>
          </rPr>
          <t>Keller, Zach:</t>
        </r>
        <r>
          <rPr>
            <sz val="10"/>
            <color rgb="FF000000"/>
            <rFont val="Tahoma"/>
            <family val="2"/>
          </rPr>
          <t xml:space="preserve">
Source: Spotrac NBA Team Tax Tracker, 2021-22 season, "Salaries" column (tax payroll), screenshots uploaded by user, https://www.spotrac.com/nba/tax/_/year/2021/ . Definition note: Spotrac tax payroll as currently shown (end-of-season); 2023–2026 values come from Sports Business Classroom, so small definitional differences are possible. Checked: Salaries + Space = 2021-22 tax line $136606000.</t>
        </r>
      </text>
    </comment>
    <comment ref="H33" authorId="0" shapeId="0" xr:uid="{8CC73C52-FA19-8948-BF49-B6569917C98C}">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https://sportsbusinessclassroom.com/nba-2022-23-luxury-tax-tracker/</t>
        </r>
      </text>
    </comment>
    <comment ref="I33" authorId="0" shapeId="0" xr:uid="{D87DCFD2-F231-BA4A-AD21-DB1B0E97B9F9}">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https://sportsbusinessclassroom.com/nba-2023-24-luxury-tax-tracker/</t>
        </r>
      </text>
    </comment>
    <comment ref="J33" authorId="0" shapeId="0" xr:uid="{D7DFB1DF-C028-BB46-BD2F-4F6152174054}">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https://sportsbusinessclassroom.com/nba-2024-25-luxury-tax-tracker/</t>
        </r>
      </text>
    </comment>
    <comment ref="K33" authorId="0" shapeId="0" xr:uid="{EFEFFA27-ED34-574F-955A-E02AD754367A}">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https://sportsbusinessclassroom.com/nba-2025-26-luxury-tax-tracker/</t>
        </r>
      </text>
    </comment>
    <comment ref="B34" authorId="0" shapeId="0" xr:uid="{ACBB9BB3-37C8-E54E-A292-4AEEE3FAB36C}">
      <text>
        <r>
          <rPr>
            <b/>
            <sz val="10"/>
            <color rgb="FF000000"/>
            <rFont val="Tahoma"/>
            <family val="2"/>
          </rPr>
          <t>Keller, Zach:</t>
        </r>
        <r>
          <rPr>
            <sz val="10"/>
            <color rgb="FF000000"/>
            <rFont val="Tahoma"/>
            <family val="2"/>
          </rPr>
          <t xml:space="preserve">
Source: Spotrac NBA Team Tax Tracker, 2016-17 season, "Salaries" column (tax payroll), screenshots uploaded by user, https://www.spotrac.com/nba/tax/_/year/2016/ . Definition note: Spotrac tax payroll as currently shown (end-of-season); 2023–2026 values come from Sports Business Classroom, so small definitional differences are possible. Checked: Salaries + Space = 2016-17 tax line $113287000.</t>
        </r>
      </text>
    </comment>
    <comment ref="C34" authorId="0" shapeId="0" xr:uid="{196A8D4D-5D21-1A48-8C4F-BFE5D5F1FC8A}">
      <text>
        <r>
          <rPr>
            <b/>
            <sz val="10"/>
            <color rgb="FF000000"/>
            <rFont val="Tahoma"/>
            <family val="2"/>
          </rPr>
          <t>Keller, Zach:</t>
        </r>
        <r>
          <rPr>
            <sz val="10"/>
            <color rgb="FF000000"/>
            <rFont val="Tahoma"/>
            <family val="2"/>
          </rPr>
          <t xml:space="preserve">
Source: Spotrac NBA Team Tax Tracker, 2017-18 season, "Salaries" column (tax payroll), screenshots uploaded by user, https://www.spotrac.com/nba/tax/_/year/2017/ . Definition note: Spotrac tax payroll as currently shown (end-of-season); 2023–2026 values come from Sports Business Classroom, so small definitional differences are possible. Checked: Salaries + Space = 2017-18 tax line $119266000.</t>
        </r>
      </text>
    </comment>
    <comment ref="D34" authorId="0" shapeId="0" xr:uid="{099858F3-5FD5-874F-9E1C-B27BD75355AD}">
      <text>
        <r>
          <rPr>
            <b/>
            <sz val="10"/>
            <color rgb="FF000000"/>
            <rFont val="Tahoma"/>
            <family val="2"/>
          </rPr>
          <t>Keller, Zach:</t>
        </r>
        <r>
          <rPr>
            <sz val="10"/>
            <color rgb="FF000000"/>
            <rFont val="Tahoma"/>
            <family val="2"/>
          </rPr>
          <t xml:space="preserve">
Source: Spotrac NBA Team Tax Tracker, 2018-19 season, "Salaries" column (tax payroll), screenshots uploaded by user, https://www.spotrac.com/nba/tax/_/year/2018/ . Definition note: Spotrac tax payroll as currently shown (end-of-season); 2023–2026 values come from Sports Business Classroom, so small definitional differences are possible. Checked: Salaries + Space = 2018-19 tax line $123733000.</t>
        </r>
      </text>
    </comment>
    <comment ref="E34" authorId="0" shapeId="0" xr:uid="{662508CD-0910-FF41-97FF-1C20076F9553}">
      <text>
        <r>
          <rPr>
            <b/>
            <sz val="10"/>
            <color rgb="FF000000"/>
            <rFont val="Tahoma"/>
            <family val="2"/>
          </rPr>
          <t>Keller, Zach:</t>
        </r>
        <r>
          <rPr>
            <sz val="10"/>
            <color rgb="FF000000"/>
            <rFont val="Tahoma"/>
            <family val="2"/>
          </rPr>
          <t xml:space="preserve">
Source: Spotrac NBA Team Tax Tracker, 2019-20 season, "Salaries" column (tax payroll), screenshots uploaded by user, https://www.spotrac.com/nba/tax/_/year/2019/ . Definition note: Spotrac tax payroll as currently shown (end-of-season); 2023–2026 values come from Sports Business Classroom, so small definitional differences are possible. Checked: Salaries + Space = 2019-20 tax line $132627000.</t>
        </r>
      </text>
    </comment>
    <comment ref="F34" authorId="0" shapeId="0" xr:uid="{2FA46FE8-6FEE-1549-8B7D-094C2AAD2250}">
      <text>
        <r>
          <rPr>
            <b/>
            <sz val="10"/>
            <color rgb="FF000000"/>
            <rFont val="Tahoma"/>
            <family val="2"/>
          </rPr>
          <t>Keller, Zach:</t>
        </r>
        <r>
          <rPr>
            <sz val="10"/>
            <color rgb="FF000000"/>
            <rFont val="Tahoma"/>
            <family val="2"/>
          </rPr>
          <t xml:space="preserve">
Source: Spotrac NBA Team Tax Tracker, 2020-21 season, "Salaries" column (tax payroll), screenshots uploaded by user, https://www.spotrac.com/nba/tax/_/year/2020/ . Definition note: Spotrac tax payroll as currently shown (end-of-season); 2023–2026 values come from Sports Business Classroom, so small definitional differences are possible. Checked: Salaries + Space = 2020-21 tax line $132627000.</t>
        </r>
      </text>
    </comment>
    <comment ref="G34" authorId="0" shapeId="0" xr:uid="{46B9C677-2C5B-2E48-AF45-EA4E6A78D81F}">
      <text>
        <r>
          <rPr>
            <b/>
            <sz val="10"/>
            <color rgb="FF000000"/>
            <rFont val="Tahoma"/>
            <family val="2"/>
          </rPr>
          <t>Keller, Zach:</t>
        </r>
        <r>
          <rPr>
            <sz val="10"/>
            <color rgb="FF000000"/>
            <rFont val="Tahoma"/>
            <family val="2"/>
          </rPr>
          <t xml:space="preserve">
Source: Spotrac NBA Team Tax Tracker, 2021-22 season, "Salaries" column (tax payroll), screenshots uploaded by user, https://www.spotrac.com/nba/tax/_/year/2021/ . Definition note: Spotrac tax payroll as currently shown (end-of-season); 2023–2026 values come from Sports Business Classroom, so small definitional differences are possible. Checked: Salaries + Space = 2021-22 tax line $136606000.</t>
        </r>
      </text>
    </comment>
    <comment ref="H34" authorId="0" shapeId="0" xr:uid="{B2EC6A65-E02C-0A43-95EA-488BEFAB9382}">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https://sportsbusinessclassroom.com/nba-2022-23-luxury-tax-tracker/</t>
        </r>
      </text>
    </comment>
    <comment ref="I34" authorId="0" shapeId="0" xr:uid="{1CFB4478-DEBB-CF41-B0D8-37DA421B091B}">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https://sportsbusinessclassroom.com/nba-2023-24-luxury-tax-tracker/</t>
        </r>
      </text>
    </comment>
    <comment ref="J34" authorId="0" shapeId="0" xr:uid="{65AB5AF4-7120-8E4C-8C0C-646312DFD34E}">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https://sportsbusinessclassroom.com/nba-2024-25-luxury-tax-tracker/</t>
        </r>
      </text>
    </comment>
    <comment ref="K34" authorId="0" shapeId="0" xr:uid="{E9824375-CD27-EA44-9BF3-080DCD2427C0}">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https://sportsbusinessclassroom.com/nba-2025-26-luxury-tax-tracker/</t>
        </r>
      </text>
    </comment>
    <comment ref="B35" authorId="0" shapeId="0" xr:uid="{7C51323C-5A0D-F645-9876-6C6691EF0607}">
      <text>
        <r>
          <rPr>
            <b/>
            <sz val="10"/>
            <color rgb="FF000000"/>
            <rFont val="Tahoma"/>
            <family val="2"/>
          </rPr>
          <t>Keller, Zach:</t>
        </r>
        <r>
          <rPr>
            <sz val="10"/>
            <color rgb="FF000000"/>
            <rFont val="Tahoma"/>
            <family val="2"/>
          </rPr>
          <t xml:space="preserve">
Source: Spotrac NBA Team Tax Tracker, 2016-17 season, "Salaries" column (tax payroll), screenshots uploaded by user, https://www.spotrac.com/nba/tax/_/year/2016/ . Definition note: Spotrac tax payroll as currently shown (end-of-season); 2023–2026 values come from Sports Business Classroom, so small definitional differences are possible. Checked: Salaries + Space = 2016-17 tax line $113287000.</t>
        </r>
      </text>
    </comment>
    <comment ref="C35" authorId="0" shapeId="0" xr:uid="{DFFE268F-6C6A-774F-A548-E7A608F6457B}">
      <text>
        <r>
          <rPr>
            <b/>
            <sz val="10"/>
            <color rgb="FF000000"/>
            <rFont val="Tahoma"/>
            <family val="2"/>
          </rPr>
          <t>Keller, Zach:</t>
        </r>
        <r>
          <rPr>
            <sz val="10"/>
            <color rgb="FF000000"/>
            <rFont val="Tahoma"/>
            <family val="2"/>
          </rPr>
          <t xml:space="preserve">
Source: Spotrac NBA Team Tax Tracker, 2017-18 season, "Salaries" column (tax payroll), screenshots uploaded by user, https://www.spotrac.com/nba/tax/_/year/2017/ . Definition note: Spotrac tax payroll as currently shown (end-of-season); 2023–2026 values come from Sports Business Classroom, so small definitional differences are possible. Checked: Salaries + Space = 2017-18 tax line $119266000.</t>
        </r>
      </text>
    </comment>
    <comment ref="D35" authorId="0" shapeId="0" xr:uid="{22C8A271-A619-F34E-955E-97026BAD94E0}">
      <text>
        <r>
          <rPr>
            <b/>
            <sz val="10"/>
            <color rgb="FF000000"/>
            <rFont val="Tahoma"/>
            <family val="2"/>
          </rPr>
          <t>Keller, Zach:</t>
        </r>
        <r>
          <rPr>
            <sz val="10"/>
            <color rgb="FF000000"/>
            <rFont val="Tahoma"/>
            <family val="2"/>
          </rPr>
          <t xml:space="preserve">
Source: Spotrac NBA Team Tax Tracker, 2018-19 season, "Salaries" column (tax payroll), screenshots uploaded by user, https://www.spotrac.com/nba/tax/_/year/2018/ . Definition note: Spotrac tax payroll as currently shown (end-of-season); 2023–2026 values come from Sports Business Classroom, so small definitional differences are possible. Checked: Salaries + Space = 2018-19 tax line $123733000.</t>
        </r>
      </text>
    </comment>
    <comment ref="E35" authorId="0" shapeId="0" xr:uid="{5609741E-CB81-1645-B280-518753673D6F}">
      <text>
        <r>
          <rPr>
            <b/>
            <sz val="10"/>
            <color rgb="FF000000"/>
            <rFont val="Tahoma"/>
            <family val="2"/>
          </rPr>
          <t>Keller, Zach:</t>
        </r>
        <r>
          <rPr>
            <sz val="10"/>
            <color rgb="FF000000"/>
            <rFont val="Tahoma"/>
            <family val="2"/>
          </rPr>
          <t xml:space="preserve">
Source: Spotrac NBA Team Tax Tracker, 2019-20 season, "Salaries" column (tax payroll), screenshots uploaded by user, https://www.spotrac.com/nba/tax/_/year/2019/ . Definition note: Spotrac tax payroll as currently shown (end-of-season); 2023–2026 values come from Sports Business Classroom, so small definitional differences are possible. Checked: Salaries + Space = 2019-20 tax line $132627000.</t>
        </r>
      </text>
    </comment>
    <comment ref="F35" authorId="0" shapeId="0" xr:uid="{0DE708DF-088F-1044-8F4A-C97F5C30A41D}">
      <text>
        <r>
          <rPr>
            <b/>
            <sz val="10"/>
            <color rgb="FF000000"/>
            <rFont val="Tahoma"/>
            <family val="2"/>
          </rPr>
          <t>Keller, Zach:</t>
        </r>
        <r>
          <rPr>
            <sz val="10"/>
            <color rgb="FF000000"/>
            <rFont val="Tahoma"/>
            <family val="2"/>
          </rPr>
          <t xml:space="preserve">
Source: Spotrac NBA Team Tax Tracker, 2020-21 season, "Salaries" column (tax payroll), screenshots uploaded by user, https://www.spotrac.com/nba/tax/_/year/2020/ . Definition note: Spotrac tax payroll as currently shown (end-of-season); 2023–2026 values come from Sports Business Classroom, so small definitional differences are possible. Checked: Salaries + Space = 2020-21 tax line $132627000.</t>
        </r>
      </text>
    </comment>
    <comment ref="G35" authorId="0" shapeId="0" xr:uid="{A3A2BFC6-F815-0A47-89DB-429392268EDE}">
      <text>
        <r>
          <rPr>
            <b/>
            <sz val="10"/>
            <color rgb="FF000000"/>
            <rFont val="Tahoma"/>
            <family val="2"/>
          </rPr>
          <t>Keller, Zach:</t>
        </r>
        <r>
          <rPr>
            <sz val="10"/>
            <color rgb="FF000000"/>
            <rFont val="Tahoma"/>
            <family val="2"/>
          </rPr>
          <t xml:space="preserve">
Source: Spotrac NBA Team Tax Tracker, 2021-22 season, "Salaries" column (tax payroll), screenshots uploaded by user, https://www.spotrac.com/nba/tax/_/year/2021/ . Definition note: Spotrac tax payroll as currently shown (end-of-season); 2023–2026 values come from Sports Business Classroom, so small definitional differences are possible. Checked: Salaries + Space = 2021-22 tax line $136606000.</t>
        </r>
      </text>
    </comment>
    <comment ref="H35" authorId="0" shapeId="0" xr:uid="{CCC464CC-6248-1D4C-8F4C-90876EBD9F95}">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https://sportsbusinessclassroom.com/nba-2022-23-luxury-tax-tracker/</t>
        </r>
      </text>
    </comment>
    <comment ref="I35" authorId="0" shapeId="0" xr:uid="{D11D0BC6-2CE2-7143-9998-52E244FB529D}">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https://sportsbusinessclassroom.com/nba-2023-24-luxury-tax-tracker/</t>
        </r>
      </text>
    </comment>
    <comment ref="J35" authorId="0" shapeId="0" xr:uid="{215B36BB-3063-AE44-97FA-99BA57DEBABC}">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https://sportsbusinessclassroom.com/nba-2024-25-luxury-tax-tracker/</t>
        </r>
      </text>
    </comment>
    <comment ref="K35" authorId="0" shapeId="0" xr:uid="{BB3C1015-C6B7-7546-9FAC-9DD3C61FAAA3}">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https://sportsbusinessclassroom.com/nba-2025-26-luxury-tax-tracker/</t>
        </r>
      </text>
    </comment>
    <comment ref="B36" authorId="0" shapeId="0" xr:uid="{86D696D4-BCE6-8846-BA37-32DC9AC42B14}">
      <text>
        <r>
          <rPr>
            <b/>
            <sz val="10"/>
            <color rgb="FF000000"/>
            <rFont val="Tahoma"/>
            <family val="2"/>
          </rPr>
          <t>Keller, Zach:</t>
        </r>
        <r>
          <rPr>
            <sz val="10"/>
            <color rgb="FF000000"/>
            <rFont val="Tahoma"/>
            <family val="2"/>
          </rPr>
          <t xml:space="preserve">
Source: Spotrac NBA Team Tax Tracker, 2016-17 season, "Salaries" column (tax payroll), screenshots uploaded by user, https://www.spotrac.com/nba/tax/_/year/2016/ . Definition note: Spotrac tax payroll as currently shown (end-of-season); 2023–2026 values come from Sports Business Classroom, so small definitional differences are possible. Checked: Salaries + Space = 2016-17 tax line $113287000.</t>
        </r>
      </text>
    </comment>
    <comment ref="C36" authorId="0" shapeId="0" xr:uid="{FA4FE2FA-A434-354C-BA32-F4E9B9780D3C}">
      <text>
        <r>
          <rPr>
            <b/>
            <sz val="10"/>
            <color rgb="FF000000"/>
            <rFont val="Tahoma"/>
            <family val="2"/>
          </rPr>
          <t>Keller, Zach:</t>
        </r>
        <r>
          <rPr>
            <sz val="10"/>
            <color rgb="FF000000"/>
            <rFont val="Tahoma"/>
            <family val="2"/>
          </rPr>
          <t xml:space="preserve">
Source: Spotrac NBA Team Tax Tracker, 2017-18 season, "Salaries" column (tax payroll), screenshots uploaded by user, https://www.spotrac.com/nba/tax/_/year/2017/ . Definition note: Spotrac tax payroll as currently shown (end-of-season); 2023–2026 values come from Sports Business Classroom, so small definitional differences are possible. Checked: Salaries + Space = 2017-18 tax line $119266000.</t>
        </r>
      </text>
    </comment>
    <comment ref="D36" authorId="0" shapeId="0" xr:uid="{7D32D20F-D6C2-1446-8721-57B007F23256}">
      <text>
        <r>
          <rPr>
            <b/>
            <sz val="10"/>
            <color rgb="FF000000"/>
            <rFont val="Tahoma"/>
            <family val="2"/>
          </rPr>
          <t>Keller, Zach:</t>
        </r>
        <r>
          <rPr>
            <sz val="10"/>
            <color rgb="FF000000"/>
            <rFont val="Tahoma"/>
            <family val="2"/>
          </rPr>
          <t xml:space="preserve">
Source: Spotrac NBA Team Tax Tracker, 2018-19 season, "Salaries" column (tax payroll), screenshots uploaded by user, https://www.spotrac.com/nba/tax/_/year/2018/ . Definition note: Spotrac tax payroll as currently shown (end-of-season); 2023–2026 values come from Sports Business Classroom, so small definitional differences are possible. Checked: Salaries + Space = 2018-19 tax line $123733000.</t>
        </r>
      </text>
    </comment>
    <comment ref="E36" authorId="0" shapeId="0" xr:uid="{9C32886B-F0DE-1645-AB9F-24E6D1AD384F}">
      <text>
        <r>
          <rPr>
            <b/>
            <sz val="10"/>
            <color rgb="FF000000"/>
            <rFont val="Tahoma"/>
            <family val="2"/>
          </rPr>
          <t>Keller, Zach:</t>
        </r>
        <r>
          <rPr>
            <sz val="10"/>
            <color rgb="FF000000"/>
            <rFont val="Tahoma"/>
            <family val="2"/>
          </rPr>
          <t xml:space="preserve">
Source: Spotrac NBA Team Tax Tracker, 2019-20 season, "Salaries" column (tax payroll), screenshots uploaded by user, https://www.spotrac.com/nba/tax/_/year/2019/ . Definition note: Spotrac tax payroll as currently shown (end-of-season); 2023–2026 values come from Sports Business Classroom, so small definitional differences are possible. Checked: Salaries + Space = 2019-20 tax line $132627000.</t>
        </r>
      </text>
    </comment>
    <comment ref="F36" authorId="0" shapeId="0" xr:uid="{43ED1247-553A-0B4C-8CF0-C0B279014106}">
      <text>
        <r>
          <rPr>
            <b/>
            <sz val="10"/>
            <color rgb="FF000000"/>
            <rFont val="Tahoma"/>
            <family val="2"/>
          </rPr>
          <t>Keller, Zach:</t>
        </r>
        <r>
          <rPr>
            <sz val="10"/>
            <color rgb="FF000000"/>
            <rFont val="Tahoma"/>
            <family val="2"/>
          </rPr>
          <t xml:space="preserve">
Source: Spotrac NBA Team Tax Tracker, 2020-21 season, "Salaries" column (tax payroll), screenshots uploaded by user, https://www.spotrac.com/nba/tax/_/year/2020/ . Definition note: Spotrac tax payroll as currently shown (end-of-season); 2023–2026 values come from Sports Business Classroom, so small definitional differences are possible. Checked: Salaries + Space = 2020-21 tax line $132627000.</t>
        </r>
      </text>
    </comment>
    <comment ref="G36" authorId="0" shapeId="0" xr:uid="{41D5B287-C541-974C-B0B1-7A7FE7E2686A}">
      <text>
        <r>
          <rPr>
            <b/>
            <sz val="10"/>
            <color rgb="FF000000"/>
            <rFont val="Tahoma"/>
            <family val="2"/>
          </rPr>
          <t>Keller, Zach:</t>
        </r>
        <r>
          <rPr>
            <sz val="10"/>
            <color rgb="FF000000"/>
            <rFont val="Tahoma"/>
            <family val="2"/>
          </rPr>
          <t xml:space="preserve">
Source: Spotrac NBA Team Tax Tracker, 2021-22 season, "Salaries" column (tax payroll), screenshots uploaded by user, https://www.spotrac.com/nba/tax/_/year/2021/ . Definition note: Spotrac tax payroll as currently shown (end-of-season); 2023–2026 values come from Sports Business Classroom, so small definitional differences are possible. Checked: Salaries + Space = 2021-22 tax line $136606000.</t>
        </r>
      </text>
    </comment>
    <comment ref="H36" authorId="0" shapeId="0" xr:uid="{2B72C93C-BCE5-004D-B4AF-10BBF24014D4}">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https://sportsbusinessclassroom.com/nba-2022-23-luxury-tax-tracker/</t>
        </r>
      </text>
    </comment>
    <comment ref="I36" authorId="0" shapeId="0" xr:uid="{9D3E7DA6-658E-7647-915F-8A198677A7E3}">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https://sportsbusinessclassroom.com/nba-2023-24-luxury-tax-tracker/</t>
        </r>
      </text>
    </comment>
    <comment ref="J36" authorId="0" shapeId="0" xr:uid="{14D769E9-17FE-304F-A463-C1F6E58292AB}">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https://sportsbusinessclassroom.com/nba-2024-25-luxury-tax-tracker/</t>
        </r>
      </text>
    </comment>
    <comment ref="K36" authorId="0" shapeId="0" xr:uid="{BBA70CD0-4895-284C-80F9-727E4CB36CA2}">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https://sportsbusinessclassroom.com/nba-2025-26-luxury-tax-tracker/</t>
        </r>
      </text>
    </comment>
    <comment ref="B37" authorId="0" shapeId="0" xr:uid="{558DA087-48D3-804E-9EE3-F3E1B62339CB}">
      <text>
        <r>
          <rPr>
            <b/>
            <sz val="10"/>
            <color rgb="FF000000"/>
            <rFont val="Tahoma"/>
            <family val="2"/>
          </rPr>
          <t>Keller, Zach:</t>
        </r>
        <r>
          <rPr>
            <sz val="10"/>
            <color rgb="FF000000"/>
            <rFont val="Tahoma"/>
            <family val="2"/>
          </rPr>
          <t xml:space="preserve">
Source: Spotrac NBA Team Tax Tracker, 2016-17 season, "Salaries" column (tax payroll), screenshots uploaded by user, https://www.spotrac.com/nba/tax/_/year/2016/ . Definition note: Spotrac tax payroll as currently shown (end-of-season); 2023–2026 values come from Sports Business Classroom, so small definitional differences are possible. Checked: Salaries + Space = 2016-17 tax line $113287000.</t>
        </r>
      </text>
    </comment>
    <comment ref="C37" authorId="0" shapeId="0" xr:uid="{D93235EE-C97F-3A40-900F-0E32ED8FEDA4}">
      <text>
        <r>
          <rPr>
            <b/>
            <sz val="10"/>
            <color rgb="FF000000"/>
            <rFont val="Tahoma"/>
            <family val="2"/>
          </rPr>
          <t>Keller, Zach:</t>
        </r>
        <r>
          <rPr>
            <sz val="10"/>
            <color rgb="FF000000"/>
            <rFont val="Tahoma"/>
            <family val="2"/>
          </rPr>
          <t xml:space="preserve">
Source: Spotrac NBA Team Tax Tracker, 2017-18 season, "Salaries" column (tax payroll), screenshots uploaded by user, https://www.spotrac.com/nba/tax/_/year/2017/ . Definition note: Spotrac tax payroll as currently shown (end-of-season); 2023–2026 values come from Sports Business Classroom, so small definitional differences are possible. Checked: Salaries + Space = 2017-18 tax line $119266000.</t>
        </r>
      </text>
    </comment>
    <comment ref="D37" authorId="0" shapeId="0" xr:uid="{F79CB4C6-7F8E-864F-A15F-EF2FEFC05010}">
      <text>
        <r>
          <rPr>
            <b/>
            <sz val="10"/>
            <color rgb="FF000000"/>
            <rFont val="Tahoma"/>
            <family val="2"/>
          </rPr>
          <t>Keller, Zach:</t>
        </r>
        <r>
          <rPr>
            <sz val="10"/>
            <color rgb="FF000000"/>
            <rFont val="Tahoma"/>
            <family val="2"/>
          </rPr>
          <t xml:space="preserve">
Source: Spotrac NBA Team Tax Tracker, 2018-19 season, "Salaries" column (tax payroll), screenshots uploaded by user, https://www.spotrac.com/nba/tax/_/year/2018/ . Definition note: Spotrac tax payroll as currently shown (end-of-season); 2023–2026 values come from Sports Business Classroom, so small definitional differences are possible. Checked: Salaries + Space = 2018-19 tax line $123733000.</t>
        </r>
      </text>
    </comment>
    <comment ref="E37" authorId="0" shapeId="0" xr:uid="{A91D02F9-2DB1-5E41-9701-974674DCC06E}">
      <text>
        <r>
          <rPr>
            <b/>
            <sz val="10"/>
            <color rgb="FF000000"/>
            <rFont val="Tahoma"/>
            <family val="2"/>
          </rPr>
          <t>Keller, Zach:</t>
        </r>
        <r>
          <rPr>
            <sz val="10"/>
            <color rgb="FF000000"/>
            <rFont val="Tahoma"/>
            <family val="2"/>
          </rPr>
          <t xml:space="preserve">
Source: Spotrac NBA Team Tax Tracker, 2019-20 season, "Salaries" column (tax payroll), screenshots uploaded by user, https://www.spotrac.com/nba/tax/_/year/2019/ . Definition note: Spotrac tax payroll as currently shown (end-of-season); 2023–2026 values come from Sports Business Classroom, so small definitional differences are possible. Checked: Salaries + Space = 2019-20 tax line $132627000.</t>
        </r>
      </text>
    </comment>
    <comment ref="F37" authorId="0" shapeId="0" xr:uid="{EE13BA4D-2DCD-604C-B4F9-6BEA911AB288}">
      <text>
        <r>
          <rPr>
            <b/>
            <sz val="10"/>
            <color rgb="FF000000"/>
            <rFont val="Tahoma"/>
            <family val="2"/>
          </rPr>
          <t>Keller, Zach:</t>
        </r>
        <r>
          <rPr>
            <sz val="10"/>
            <color rgb="FF000000"/>
            <rFont val="Tahoma"/>
            <family val="2"/>
          </rPr>
          <t xml:space="preserve">
Source: Spotrac NBA Team Tax Tracker, 2020-21 season, "Salaries" column (tax payroll), screenshots uploaded by user, https://www.spotrac.com/nba/tax/_/year/2020/ . Definition note: Spotrac tax payroll as currently shown (end-of-season); 2023–2026 values come from Sports Business Classroom, so small definitional differences are possible. Checked: Salaries + Space = 2020-21 tax line $132627000.</t>
        </r>
      </text>
    </comment>
    <comment ref="G37" authorId="0" shapeId="0" xr:uid="{37744E3C-88C6-5B49-8BC2-C48C2AD9B0D8}">
      <text>
        <r>
          <rPr>
            <b/>
            <sz val="10"/>
            <color rgb="FF000000"/>
            <rFont val="Tahoma"/>
            <family val="2"/>
          </rPr>
          <t>Keller, Zach:</t>
        </r>
        <r>
          <rPr>
            <sz val="10"/>
            <color rgb="FF000000"/>
            <rFont val="Tahoma"/>
            <family val="2"/>
          </rPr>
          <t xml:space="preserve">
Source: Spotrac NBA Team Tax Tracker, 2021-22 season, "Salaries" column (tax payroll), screenshots uploaded by user, https://www.spotrac.com/nba/tax/_/year/2021/ . Definition note: Spotrac tax payroll as currently shown (end-of-season); 2023–2026 values come from Sports Business Classroom, so small definitional differences are possible. Checked: Salaries + Space = 2021-22 tax line $136606000.</t>
        </r>
      </text>
    </comment>
    <comment ref="H37" authorId="0" shapeId="0" xr:uid="{B790D068-0FFA-1C43-9317-C06D54235680}">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https://sportsbusinessclassroom.com/nba-2022-23-luxury-tax-tracker/</t>
        </r>
      </text>
    </comment>
    <comment ref="I37" authorId="0" shapeId="0" xr:uid="{C7AE5179-6900-E446-BC3A-18EA39808A9F}">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https://sportsbusinessclassroom.com/nba-2023-24-luxury-tax-tracker/</t>
        </r>
      </text>
    </comment>
    <comment ref="J37" authorId="0" shapeId="0" xr:uid="{8C8732F9-39E5-8E4B-AD59-2845426FD7F0}">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https://sportsbusinessclassroom.com/nba-2024-25-luxury-tax-tracker/</t>
        </r>
      </text>
    </comment>
    <comment ref="K37" authorId="0" shapeId="0" xr:uid="{B957FFA3-CA74-2E45-B505-A8C80BE06837}">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https://sportsbusinessclassroom.com/nba-2025-26-luxury-tax-tracker/</t>
        </r>
      </text>
    </comment>
    <comment ref="B38" authorId="0" shapeId="0" xr:uid="{E20CCB9E-CD27-114A-BC9D-DA1BC659BB4E}">
      <text>
        <r>
          <rPr>
            <b/>
            <sz val="10"/>
            <color rgb="FF000000"/>
            <rFont val="Tahoma"/>
            <family val="2"/>
          </rPr>
          <t>Keller, Zach:</t>
        </r>
        <r>
          <rPr>
            <sz val="10"/>
            <color rgb="FF000000"/>
            <rFont val="Tahoma"/>
            <family val="2"/>
          </rPr>
          <t xml:space="preserve">
Source: Spotrac NBA Team Tax Tracker, 2016-17 season, "Salaries" column (tax payroll), screenshots uploaded by user, https://www.spotrac.com/nba/tax/_/year/2016/ . Definition note: Spotrac tax payroll as currently shown (end-of-season); 2023–2026 values come from Sports Business Classroom, so small definitional differences are possible. Checked: Salaries + Space = 2016-17 tax line $113287000.</t>
        </r>
      </text>
    </comment>
    <comment ref="C38" authorId="0" shapeId="0" xr:uid="{451CAF22-0377-C34A-9541-1E4DE44E4F29}">
      <text>
        <r>
          <rPr>
            <b/>
            <sz val="10"/>
            <color rgb="FF000000"/>
            <rFont val="Tahoma"/>
            <family val="2"/>
          </rPr>
          <t>Keller, Zach:</t>
        </r>
        <r>
          <rPr>
            <sz val="10"/>
            <color rgb="FF000000"/>
            <rFont val="Tahoma"/>
            <family val="2"/>
          </rPr>
          <t xml:space="preserve">
Source: Spotrac NBA Team Tax Tracker, 2017-18 season, "Salaries" column (tax payroll), screenshots uploaded by user, https://www.spotrac.com/nba/tax/_/year/2017/ . Definition note: Spotrac tax payroll as currently shown (end-of-season); 2023–2026 values come from Sports Business Classroom, so small definitional differences are possible. Checked: Salaries + Space = 2017-18 tax line $119266000.</t>
        </r>
      </text>
    </comment>
    <comment ref="D38" authorId="0" shapeId="0" xr:uid="{00D03A9C-D07F-CB4A-B985-991CBF523ED4}">
      <text>
        <r>
          <rPr>
            <b/>
            <sz val="10"/>
            <color rgb="FF000000"/>
            <rFont val="Tahoma"/>
            <family val="2"/>
          </rPr>
          <t>Keller, Zach:</t>
        </r>
        <r>
          <rPr>
            <sz val="10"/>
            <color rgb="FF000000"/>
            <rFont val="Tahoma"/>
            <family val="2"/>
          </rPr>
          <t xml:space="preserve">
Source: Spotrac NBA Team Tax Tracker, 2018-19 season, "Salaries" column (tax payroll), screenshots uploaded by user, https://www.spotrac.com/nba/tax/_/year/2018/ . Definition note: Spotrac tax payroll as currently shown (end-of-season); 2023–2026 values come from Sports Business Classroom, so small definitional differences are possible. Checked: Salaries + Space = 2018-19 tax line $123733000.</t>
        </r>
      </text>
    </comment>
    <comment ref="E38" authorId="0" shapeId="0" xr:uid="{72558944-7C8F-AD4C-B632-38185194DA01}">
      <text>
        <r>
          <rPr>
            <b/>
            <sz val="10"/>
            <color rgb="FF000000"/>
            <rFont val="Tahoma"/>
            <family val="2"/>
          </rPr>
          <t>Keller, Zach:</t>
        </r>
        <r>
          <rPr>
            <sz val="10"/>
            <color rgb="FF000000"/>
            <rFont val="Tahoma"/>
            <family val="2"/>
          </rPr>
          <t xml:space="preserve">
Source: Spotrac NBA Team Tax Tracker, 2019-20 season, "Salaries" column (tax payroll), screenshots uploaded by user, https://www.spotrac.com/nba/tax/_/year/2019/ . Definition note: Spotrac tax payroll as currently shown (end-of-season); 2023–2026 values come from Sports Business Classroom, so small definitional differences are possible. Checked: Salaries + Space = 2019-20 tax line $132627000.</t>
        </r>
      </text>
    </comment>
    <comment ref="F38" authorId="0" shapeId="0" xr:uid="{A13FBCE3-9341-1A4F-8003-1DEFBACAE8B5}">
      <text>
        <r>
          <rPr>
            <b/>
            <sz val="10"/>
            <color rgb="FF000000"/>
            <rFont val="Tahoma"/>
            <family val="2"/>
          </rPr>
          <t>Keller, Zach:</t>
        </r>
        <r>
          <rPr>
            <sz val="10"/>
            <color rgb="FF000000"/>
            <rFont val="Tahoma"/>
            <family val="2"/>
          </rPr>
          <t xml:space="preserve">
Source: Spotrac NBA Team Tax Tracker, 2020-21 season, "Salaries" column (tax payroll), screenshots uploaded by user, https://www.spotrac.com/nba/tax/_/year/2020/ . Definition note: Spotrac tax payroll as currently shown (end-of-season); 2023–2026 values come from Sports Business Classroom, so small definitional differences are possible. Checked: Salaries + Space = 2020-21 tax line $132627000.</t>
        </r>
      </text>
    </comment>
    <comment ref="G38" authorId="0" shapeId="0" xr:uid="{BB980C72-BA4B-6E4C-B8FA-2402B2BB6A74}">
      <text>
        <r>
          <rPr>
            <b/>
            <sz val="10"/>
            <color rgb="FF000000"/>
            <rFont val="Tahoma"/>
            <family val="2"/>
          </rPr>
          <t>Keller, Zach:</t>
        </r>
        <r>
          <rPr>
            <sz val="10"/>
            <color rgb="FF000000"/>
            <rFont val="Tahoma"/>
            <family val="2"/>
          </rPr>
          <t xml:space="preserve">
Source: Spotrac NBA Team Tax Tracker, 2021-22 season, "Salaries" column (tax payroll), screenshots uploaded by user, https://www.spotrac.com/nba/tax/_/year/2021/ . Definition note: Spotrac tax payroll as currently shown (end-of-season); 2023–2026 values come from Sports Business Classroom, so small definitional differences are possible. Checked: Salaries + Space = 2021-22 tax line $136606000.</t>
        </r>
      </text>
    </comment>
    <comment ref="H38" authorId="0" shapeId="0" xr:uid="{71BB381F-AF8D-7A4F-B82F-68BC88089421}">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https://sportsbusinessclassroom.com/nba-2022-23-luxury-tax-tracker/</t>
        </r>
      </text>
    </comment>
    <comment ref="I38" authorId="0" shapeId="0" xr:uid="{EE2CE6CB-E263-3F41-A4BD-776D83A3EDE8}">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https://sportsbusinessclassroom.com/nba-2023-24-luxury-tax-tracker/</t>
        </r>
      </text>
    </comment>
    <comment ref="J38" authorId="0" shapeId="0" xr:uid="{35E41502-136F-BA44-8B12-818B67EC8D3A}">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https://sportsbusinessclassroom.com/nba-2024-25-luxury-tax-tracker/</t>
        </r>
      </text>
    </comment>
    <comment ref="K38" authorId="0" shapeId="0" xr:uid="{75B34BB5-B264-354C-AD44-8CAF98FD888C}">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https://sportsbusinessclassroom.com/nba-2025-26-luxury-tax-tracker/</t>
        </r>
      </text>
    </comment>
    <comment ref="B39" authorId="0" shapeId="0" xr:uid="{6334F1F1-5EA2-7641-A3E2-407DD0D787E7}">
      <text>
        <r>
          <rPr>
            <b/>
            <sz val="10"/>
            <color rgb="FF000000"/>
            <rFont val="Tahoma"/>
            <family val="2"/>
          </rPr>
          <t>Keller, Zach:</t>
        </r>
        <r>
          <rPr>
            <sz val="10"/>
            <color rgb="FF000000"/>
            <rFont val="Tahoma"/>
            <family val="2"/>
          </rPr>
          <t xml:space="preserve">
Source: Spotrac NBA Team Tax Tracker, 2016-17 season, "Salaries" column (tax payroll), screenshots uploaded by user, https://www.spotrac.com/nba/tax/_/year/2016/ . Definition note: Spotrac tax payroll as currently shown (end-of-season); 2023–2026 values come from Sports Business Classroom, so small definitional differences are possible. Checked: Salaries + Space = 2016-17 tax line $113287000.</t>
        </r>
      </text>
    </comment>
    <comment ref="C39" authorId="0" shapeId="0" xr:uid="{86A59E67-652A-EF4B-A04D-3C8F05E1C6E3}">
      <text>
        <r>
          <rPr>
            <b/>
            <sz val="10"/>
            <color rgb="FF000000"/>
            <rFont val="Tahoma"/>
            <family val="2"/>
          </rPr>
          <t>Keller, Zach:</t>
        </r>
        <r>
          <rPr>
            <sz val="10"/>
            <color rgb="FF000000"/>
            <rFont val="Tahoma"/>
            <family val="2"/>
          </rPr>
          <t xml:space="preserve">
Source: Spotrac NBA Team Tax Tracker, 2017-18 season, "Salaries" column (tax payroll), screenshots uploaded by user, https://www.spotrac.com/nba/tax/_/year/2017/ . Definition note: Spotrac tax payroll as currently shown (end-of-season); 2023–2026 values come from Sports Business Classroom, so small definitional differences are possible. Checked: Salaries + Space = 2017-18 tax line $119266000.</t>
        </r>
      </text>
    </comment>
    <comment ref="D39" authorId="0" shapeId="0" xr:uid="{0AD47593-E9E6-C549-BC74-70BC40F13F0A}">
      <text>
        <r>
          <rPr>
            <b/>
            <sz val="10"/>
            <color rgb="FF000000"/>
            <rFont val="Tahoma"/>
            <family val="2"/>
          </rPr>
          <t>Keller, Zach:</t>
        </r>
        <r>
          <rPr>
            <sz val="10"/>
            <color rgb="FF000000"/>
            <rFont val="Tahoma"/>
            <family val="2"/>
          </rPr>
          <t xml:space="preserve">
Source: Spotrac NBA Team Tax Tracker, 2018-19 season, "Salaries" column (tax payroll), screenshots uploaded by user, https://www.spotrac.com/nba/tax/_/year/2018/ . Definition note: Spotrac tax payroll as currently shown (end-of-season); 2023–2026 values come from Sports Business Classroom, so small definitional differences are possible. Checked: Salaries + Space = 2018-19 tax line $123733000.</t>
        </r>
      </text>
    </comment>
    <comment ref="E39" authorId="0" shapeId="0" xr:uid="{6D4FD54E-03E7-3748-AD6E-5814A597108D}">
      <text>
        <r>
          <rPr>
            <b/>
            <sz val="10"/>
            <color rgb="FF000000"/>
            <rFont val="Tahoma"/>
            <family val="2"/>
          </rPr>
          <t>Keller, Zach:</t>
        </r>
        <r>
          <rPr>
            <sz val="10"/>
            <color rgb="FF000000"/>
            <rFont val="Tahoma"/>
            <family val="2"/>
          </rPr>
          <t xml:space="preserve">
Source: Spotrac NBA Team Tax Tracker, 2019-20 season, "Salaries" column (tax payroll), screenshots uploaded by user, https://www.spotrac.com/nba/tax/_/year/2019/ . Definition note: Spotrac tax payroll as currently shown (end-of-season); 2023–2026 values come from Sports Business Classroom, so small definitional differences are possible. Checked: Salaries + Space = 2019-20 tax line $132627000.</t>
        </r>
      </text>
    </comment>
    <comment ref="F39" authorId="0" shapeId="0" xr:uid="{E28F80AC-C9C6-054F-A6DA-399AB6D69E19}">
      <text>
        <r>
          <rPr>
            <b/>
            <sz val="10"/>
            <color rgb="FF000000"/>
            <rFont val="Tahoma"/>
            <family val="2"/>
          </rPr>
          <t>Keller, Zach:</t>
        </r>
        <r>
          <rPr>
            <sz val="10"/>
            <color rgb="FF000000"/>
            <rFont val="Tahoma"/>
            <family val="2"/>
          </rPr>
          <t xml:space="preserve">
Source: Spotrac NBA Team Tax Tracker, 2020-21 season, "Salaries" column (tax payroll), screenshots uploaded by user, https://www.spotrac.com/nba/tax/_/year/2020/ . Definition note: Spotrac tax payroll as currently shown (end-of-season); 2023–2026 values come from Sports Business Classroom, so small definitional differences are possible. Checked: Salaries + Space = 2020-21 tax line $132627000.</t>
        </r>
      </text>
    </comment>
    <comment ref="G39" authorId="0" shapeId="0" xr:uid="{82F3C706-76D0-B645-B1CF-42F0BBE9F46A}">
      <text>
        <r>
          <rPr>
            <b/>
            <sz val="10"/>
            <color rgb="FF000000"/>
            <rFont val="Tahoma"/>
            <family val="2"/>
          </rPr>
          <t>Keller, Zach:</t>
        </r>
        <r>
          <rPr>
            <sz val="10"/>
            <color rgb="FF000000"/>
            <rFont val="Tahoma"/>
            <family val="2"/>
          </rPr>
          <t xml:space="preserve">
Source: Spotrac NBA Team Tax Tracker, 2021-22 season, "Salaries" column (tax payroll), screenshots uploaded by user, https://www.spotrac.com/nba/tax/_/year/2021/ . Definition note: Spotrac tax payroll as currently shown (end-of-season); 2023–2026 values come from Sports Business Classroom, so small definitional differences are possible. Checked: Salaries + Space = 2021-22 tax line $136606000.</t>
        </r>
      </text>
    </comment>
    <comment ref="H39" authorId="0" shapeId="0" xr:uid="{6111B788-0829-494A-B46F-365ADD9286AD}">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https://sportsbusinessclassroom.com/nba-2022-23-luxury-tax-tracker/</t>
        </r>
      </text>
    </comment>
    <comment ref="I39" authorId="0" shapeId="0" xr:uid="{BB16BA7D-8A0C-1F40-B47E-CDDD6E6B2B09}">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https://sportsbusinessclassroom.com/nba-2023-24-luxury-tax-tracker/</t>
        </r>
      </text>
    </comment>
    <comment ref="J39" authorId="0" shapeId="0" xr:uid="{AF52AAC9-9CAC-184E-8FE2-B546D6036C76}">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https://sportsbusinessclassroom.com/nba-2024-25-luxury-tax-tracker/</t>
        </r>
      </text>
    </comment>
    <comment ref="K39" authorId="0" shapeId="0" xr:uid="{DF97F89B-4697-4B41-9B6E-097270F3C0EF}">
      <text>
        <r>
          <rPr>
            <b/>
            <sz val="10"/>
            <color rgb="FF000000"/>
            <rFont val="Tahoma"/>
            <family val="2"/>
          </rPr>
          <t>Keller, Zach:</t>
        </r>
        <r>
          <rPr>
            <sz val="10"/>
            <color rgb="FF000000"/>
            <rFont val="Tahoma"/>
            <family val="2"/>
          </rPr>
          <t xml:space="preserve">
Source: Sports Business Classroom (Eric Pincus) luxury tax tracker – end-of-season taxable payroll (secondary source, not official NBA data), https://sportsbusinessclassroom.com/nba-2025-26-luxury-tax-tracker/</t>
        </r>
      </text>
    </comment>
    <comment ref="D110" authorId="0" shapeId="0" xr:uid="{45C79C64-0F66-8B42-B3FB-25C78A082F67}">
      <text>
        <r>
          <rPr>
            <b/>
            <sz val="10"/>
            <color rgb="FF000000"/>
            <rFont val="Tahoma"/>
            <family val="2"/>
          </rPr>
          <t>Keller, Zach:</t>
        </r>
        <r>
          <rPr>
            <sz val="10"/>
            <color rgb="FF000000"/>
            <rFont val="Tahoma"/>
            <family val="2"/>
          </rPr>
          <t xml:space="preserve">
Source: HoopsRumors (secondary, ESPN Bobby Marks estimates), https://www.hoopsrumors.com/2019/04/recent-history-of-nba-taxpaying-teams.html; OKC/TOR exact figures from Forbes (Deeks)</t>
        </r>
      </text>
    </comment>
    <comment ref="H110" authorId="0" shapeId="0" xr:uid="{0BF8BECB-989E-C547-89EC-A8B82361C037}">
      <text>
        <r>
          <rPr>
            <b/>
            <sz val="10"/>
            <color rgb="FF000000"/>
            <rFont val="Tahoma"/>
            <family val="2"/>
          </rPr>
          <t>Keller, Zach:</t>
        </r>
        <r>
          <rPr>
            <sz val="10"/>
            <color rgb="FF000000"/>
            <rFont val="Tahoma"/>
            <family val="2"/>
          </rPr>
          <t xml:space="preserve">
Source: Sports Business Classroom luxury tax tracker (secondary), https://sportsbusinessclassroom.com/nba-2022-23-luxury-tax-tracker/</t>
        </r>
      </text>
    </comment>
    <comment ref="I110" authorId="0" shapeId="0" xr:uid="{BD54EAE0-9C59-FB46-BFE5-DF9483A1545E}">
      <text>
        <r>
          <rPr>
            <b/>
            <sz val="10"/>
            <color rgb="FF000000"/>
            <rFont val="Tahoma"/>
            <family val="2"/>
          </rPr>
          <t>Keller, Zach:</t>
        </r>
        <r>
          <rPr>
            <sz val="10"/>
            <color rgb="FF000000"/>
            <rFont val="Tahoma"/>
            <family val="2"/>
          </rPr>
          <t xml:space="preserve">
Source: Sports Business Classroom luxury tax tracker (secondary), https://sportsbusinessclassroom.com/nba-2023-24-luxury-tax-tracker/</t>
        </r>
      </text>
    </comment>
    <comment ref="J110" authorId="0" shapeId="0" xr:uid="{3C07ABD9-3F2D-6F47-B2DA-BA6B3B72091C}">
      <text>
        <r>
          <rPr>
            <b/>
            <sz val="10"/>
            <color rgb="FF000000"/>
            <rFont val="Tahoma"/>
            <family val="2"/>
          </rPr>
          <t>Keller, Zach:</t>
        </r>
        <r>
          <rPr>
            <sz val="10"/>
            <color rgb="FF000000"/>
            <rFont val="Tahoma"/>
            <family val="2"/>
          </rPr>
          <t xml:space="preserve">
Source: Sports Business Classroom luxury tax tracker (secondary), https://sportsbusinessclassroom.com/nba-2024-25-luxury-tax-tracker/</t>
        </r>
      </text>
    </comment>
    <comment ref="F111" authorId="0" shapeId="0" xr:uid="{EAB7CF08-D321-AA4D-BFB3-5019197A4141}">
      <text>
        <r>
          <rPr>
            <b/>
            <sz val="10"/>
            <color rgb="FF000000"/>
            <rFont val="Tahoma"/>
            <family val="2"/>
          </rPr>
          <t>Keller, Zach:</t>
        </r>
        <r>
          <rPr>
            <sz val="10"/>
            <color rgb="FF000000"/>
            <rFont val="Tahoma"/>
            <family val="2"/>
          </rPr>
          <t xml:space="preserve">
Source: HoopsHype (secondary), https://www.hoopshype.com/story/sports/nba/warriors/2021/08/27/nba-2021-22-season-largest-luxury-tax-payments-ever/82909372007/ – adjusted bills, rounded; GSW &amp; MIL exact from Forbes (Deeks); Utah amount not found</t>
        </r>
      </text>
    </comment>
    <comment ref="G111" authorId="0" shapeId="0" xr:uid="{4C369850-17D4-DB4F-9052-A203A8555BF6}">
      <text>
        <r>
          <rPr>
            <b/>
            <sz val="10"/>
            <color rgb="FF000000"/>
            <rFont val="Tahoma"/>
            <family val="2"/>
          </rPr>
          <t>Keller, Zach:</t>
        </r>
        <r>
          <rPr>
            <sz val="10"/>
            <color rgb="FF000000"/>
            <rFont val="Tahoma"/>
            <family val="2"/>
          </rPr>
          <t xml:space="preserve">
Source: HoopsRumors (secondary), https://www.hoopsrumors.com/2022/06/warriors-nets-clippers-top-taxpaying-teams-for-2021-22.html</t>
        </r>
      </text>
    </comment>
    <comment ref="H111" authorId="0" shapeId="0" xr:uid="{71E4B491-289C-5845-8069-1C455A9EEAD3}">
      <text>
        <r>
          <rPr>
            <b/>
            <sz val="10"/>
            <color rgb="FF000000"/>
            <rFont val="Tahoma"/>
            <family val="2"/>
          </rPr>
          <t>Keller, Zach:</t>
        </r>
        <r>
          <rPr>
            <sz val="10"/>
            <color rgb="FF000000"/>
            <rFont val="Tahoma"/>
            <family val="2"/>
          </rPr>
          <t xml:space="preserve">
Source: Sports Business Classroom luxury tax tracker (secondary), https://sportsbusinessclassroom.com/nba-2022-23-luxury-tax-tracker/</t>
        </r>
      </text>
    </comment>
    <comment ref="B114" authorId="0" shapeId="0" xr:uid="{B1142E81-D1AE-994D-9A92-3A73E9998CF9}">
      <text>
        <r>
          <rPr>
            <b/>
            <sz val="10"/>
            <color rgb="FF000000"/>
            <rFont val="Tahoma"/>
            <family val="2"/>
          </rPr>
          <t>Keller, Zach:</t>
        </r>
        <r>
          <rPr>
            <sz val="10"/>
            <color rgb="FF000000"/>
            <rFont val="Tahoma"/>
            <family val="2"/>
          </rPr>
          <t xml:space="preserve">
Source: Forbes (Mark Deeks), A Complete History of NBA Luxury Tax Payments, https://www.forbes.com/sites/markdeeks/2022/07/01/a-complete-history-of-nba-luxury-tax-payments-20012022/</t>
        </r>
      </text>
    </comment>
    <comment ref="C114" authorId="0" shapeId="0" xr:uid="{DC20DC36-848B-0A43-94D3-A2BD7A306689}">
      <text>
        <r>
          <rPr>
            <b/>
            <sz val="10"/>
            <color rgb="FF000000"/>
            <rFont val="Tahoma"/>
            <family val="2"/>
          </rPr>
          <t>Keller, Zach:</t>
        </r>
        <r>
          <rPr>
            <sz val="10"/>
            <color rgb="FF000000"/>
            <rFont val="Tahoma"/>
            <family val="2"/>
          </rPr>
          <t xml:space="preserve">
Source: HoopsRumors (secondary), https://www.hoopsrumors.com/2019/04/recent-history-of-nba-taxpaying-teams.html – rounded; GSW exact figure from Forbes (Deeks)</t>
        </r>
      </text>
    </comment>
    <comment ref="K114" authorId="0" shapeId="0" xr:uid="{04C16211-ECA2-1E44-9E07-F9BDF5D94FB8}">
      <text>
        <r>
          <rPr>
            <b/>
            <sz val="10"/>
            <color rgb="FF000000"/>
            <rFont val="Tahoma"/>
            <family val="2"/>
          </rPr>
          <t>Keller, Zach:</t>
        </r>
        <r>
          <rPr>
            <sz val="10"/>
            <color rgb="FF000000"/>
            <rFont val="Tahoma"/>
            <family val="2"/>
          </rPr>
          <t xml:space="preserve">
Source: Sports Business Classroom luxury tax tracker (secondary), https://sportsbusinessclassroom.com/nba-2025-26-luxury-tax-tracker/</t>
        </r>
      </text>
    </comment>
    <comment ref="H115" authorId="0" shapeId="0" xr:uid="{4BA2C786-268E-164E-BA11-47883120340A}">
      <text>
        <r>
          <rPr>
            <b/>
            <sz val="10"/>
            <color rgb="FF000000"/>
            <rFont val="Tahoma"/>
            <family val="2"/>
          </rPr>
          <t>Keller, Zach:</t>
        </r>
        <r>
          <rPr>
            <sz val="10"/>
            <color rgb="FF000000"/>
            <rFont val="Tahoma"/>
            <family val="2"/>
          </rPr>
          <t xml:space="preserve">
Source: Sports Business Classroom luxury tax tracker (secondary), https://sportsbusinessclassroom.com/nba-2022-23-luxury-tax-tracker/</t>
        </r>
      </text>
    </comment>
    <comment ref="J115" authorId="0" shapeId="0" xr:uid="{DCC5C810-C0A2-B84E-A9FE-EAFA67E53B90}">
      <text>
        <r>
          <rPr>
            <b/>
            <sz val="10"/>
            <color rgb="FF000000"/>
            <rFont val="Tahoma"/>
            <family val="2"/>
          </rPr>
          <t>Keller, Zach:</t>
        </r>
        <r>
          <rPr>
            <sz val="10"/>
            <color rgb="FF000000"/>
            <rFont val="Tahoma"/>
            <family val="2"/>
          </rPr>
          <t xml:space="preserve">
Source: Sports Business Classroom luxury tax tracker (secondary), https://sportsbusinessclassroom.com/nba-2024-25-luxury-tax-tracker/</t>
        </r>
      </text>
    </comment>
    <comment ref="H116" authorId="0" shapeId="0" xr:uid="{FA06BD22-2710-294D-AA7E-B6AACAC189D1}">
      <text>
        <r>
          <rPr>
            <b/>
            <sz val="10"/>
            <color rgb="FF000000"/>
            <rFont val="Tahoma"/>
            <family val="2"/>
          </rPr>
          <t>Keller, Zach:</t>
        </r>
        <r>
          <rPr>
            <sz val="10"/>
            <color rgb="FF000000"/>
            <rFont val="Tahoma"/>
            <family val="2"/>
          </rPr>
          <t xml:space="preserve">
Source: Sports Business Classroom luxury tax tracker (secondary), https://sportsbusinessclassroom.com/nba-2022-23-luxury-tax-tracker/</t>
        </r>
      </text>
    </comment>
    <comment ref="I116" authorId="0" shapeId="0" xr:uid="{143CBDD7-A3D7-EC46-B968-C9A5DE577389}">
      <text>
        <r>
          <rPr>
            <b/>
            <sz val="10"/>
            <color rgb="FF000000"/>
            <rFont val="Tahoma"/>
            <family val="2"/>
          </rPr>
          <t>Keller, Zach:</t>
        </r>
        <r>
          <rPr>
            <sz val="10"/>
            <color rgb="FF000000"/>
            <rFont val="Tahoma"/>
            <family val="2"/>
          </rPr>
          <t xml:space="preserve">
Source: Sports Business Classroom luxury tax tracker (secondary), https://sportsbusinessclassroom.com/nba-2023-24-luxury-tax-tracker/</t>
        </r>
      </text>
    </comment>
    <comment ref="J116" authorId="0" shapeId="0" xr:uid="{D2FE0A01-9FC3-0846-B07F-B6032DFAE267}">
      <text>
        <r>
          <rPr>
            <b/>
            <sz val="10"/>
            <color rgb="FF000000"/>
            <rFont val="Tahoma"/>
            <family val="2"/>
          </rPr>
          <t>Keller, Zach:</t>
        </r>
        <r>
          <rPr>
            <sz val="10"/>
            <color rgb="FF000000"/>
            <rFont val="Tahoma"/>
            <family val="2"/>
          </rPr>
          <t xml:space="preserve">
Source: Sports Business Classroom luxury tax tracker (secondary), https://sportsbusinessclassroom.com/nba-2024-25-luxury-tax-tracker/</t>
        </r>
      </text>
    </comment>
    <comment ref="C118" authorId="0" shapeId="0" xr:uid="{28955CA8-782F-924B-BA90-126BF8BE1FE7}">
      <text>
        <r>
          <rPr>
            <b/>
            <sz val="10"/>
            <color rgb="FF000000"/>
            <rFont val="Tahoma"/>
            <family val="2"/>
          </rPr>
          <t>Keller, Zach:</t>
        </r>
        <r>
          <rPr>
            <sz val="10"/>
            <color rgb="FF000000"/>
            <rFont val="Tahoma"/>
            <family val="2"/>
          </rPr>
          <t xml:space="preserve">
Source: HoopsRumors (secondary), https://www.hoopsrumors.com/2019/04/recent-history-of-nba-taxpaying-teams.html – rounded; GSW exact figure from Forbes (Deeks)</t>
        </r>
      </text>
    </comment>
    <comment ref="D118" authorId="0" shapeId="0" xr:uid="{C61596B8-5194-B04B-A5C2-77BA6926277B}">
      <text>
        <r>
          <rPr>
            <b/>
            <sz val="10"/>
            <color rgb="FF000000"/>
            <rFont val="Tahoma"/>
            <family val="2"/>
          </rPr>
          <t>Keller, Zach:</t>
        </r>
        <r>
          <rPr>
            <sz val="10"/>
            <color rgb="FF000000"/>
            <rFont val="Tahoma"/>
            <family val="2"/>
          </rPr>
          <t xml:space="preserve">
Source: HoopsRumors (secondary, ESPN Bobby Marks estimates), https://www.hoopsrumors.com/2019/04/recent-history-of-nba-taxpaying-teams.html; OKC/TOR exact figures from Forbes (Deeks)</t>
        </r>
      </text>
    </comment>
    <comment ref="F118" authorId="0" shapeId="0" xr:uid="{C896C68F-B0D8-1148-97AC-8B7985D101CD}">
      <text>
        <r>
          <rPr>
            <b/>
            <sz val="10"/>
            <color rgb="FF000000"/>
            <rFont val="Tahoma"/>
            <family val="2"/>
          </rPr>
          <t>Keller, Zach:</t>
        </r>
        <r>
          <rPr>
            <sz val="10"/>
            <color rgb="FF000000"/>
            <rFont val="Tahoma"/>
            <family val="2"/>
          </rPr>
          <t xml:space="preserve">
Source: HoopsHype (secondary), https://www.hoopshype.com/story/sports/nba/warriors/2021/08/27/nba-2021-22-season-largest-luxury-tax-payments-ever/82909372007/ – adjusted bills, rounded; GSW &amp; MIL exact from Forbes (Deeks); Utah amount not found</t>
        </r>
      </text>
    </comment>
    <comment ref="G118" authorId="0" shapeId="0" xr:uid="{9FA191E6-E651-E34D-8B4F-473E6D68C587}">
      <text>
        <r>
          <rPr>
            <b/>
            <sz val="10"/>
            <color rgb="FF000000"/>
            <rFont val="Tahoma"/>
            <family val="2"/>
          </rPr>
          <t>Keller, Zach:</t>
        </r>
        <r>
          <rPr>
            <sz val="10"/>
            <color rgb="FF000000"/>
            <rFont val="Tahoma"/>
            <family val="2"/>
          </rPr>
          <t xml:space="preserve">
Source: HoopsRumors (secondary), https://www.hoopsrumors.com/2022/06/warriors-nets-clippers-top-taxpaying-teams-for-2021-22.html</t>
        </r>
      </text>
    </comment>
    <comment ref="H118" authorId="0" shapeId="0" xr:uid="{40D3951F-D178-0744-9923-96FF64A98DCC}">
      <text>
        <r>
          <rPr>
            <b/>
            <sz val="10"/>
            <color rgb="FF000000"/>
            <rFont val="Tahoma"/>
            <family val="2"/>
          </rPr>
          <t>Keller, Zach:</t>
        </r>
        <r>
          <rPr>
            <sz val="10"/>
            <color rgb="FF000000"/>
            <rFont val="Tahoma"/>
            <family val="2"/>
          </rPr>
          <t xml:space="preserve">
Source: Sports Business Classroom luxury tax tracker (secondary), https://sportsbusinessclassroom.com/nba-2022-23-luxury-tax-tracker/</t>
        </r>
      </text>
    </comment>
    <comment ref="I118" authorId="0" shapeId="0" xr:uid="{A1B3953F-76DB-7F4C-8445-5F2C29D5D815}">
      <text>
        <r>
          <rPr>
            <b/>
            <sz val="10"/>
            <color rgb="FF000000"/>
            <rFont val="Tahoma"/>
            <family val="2"/>
          </rPr>
          <t>Keller, Zach:</t>
        </r>
        <r>
          <rPr>
            <sz val="10"/>
            <color rgb="FF000000"/>
            <rFont val="Tahoma"/>
            <family val="2"/>
          </rPr>
          <t xml:space="preserve">
Source: Sports Business Classroom luxury tax tracker (secondary), https://sportsbusinessclassroom.com/nba-2023-24-luxury-tax-tracker/</t>
        </r>
      </text>
    </comment>
    <comment ref="J118" authorId="0" shapeId="0" xr:uid="{41F4F12C-2B21-AE4D-83EE-B1214BF7086C}">
      <text>
        <r>
          <rPr>
            <b/>
            <sz val="10"/>
            <color rgb="FF000000"/>
            <rFont val="Tahoma"/>
            <family val="2"/>
          </rPr>
          <t>Keller, Zach:</t>
        </r>
        <r>
          <rPr>
            <sz val="10"/>
            <color rgb="FF000000"/>
            <rFont val="Tahoma"/>
            <family val="2"/>
          </rPr>
          <t xml:space="preserve">
Source: Sports Business Classroom luxury tax tracker (secondary), https://sportsbusinessclassroom.com/nba-2024-25-luxury-tax-tracker/</t>
        </r>
      </text>
    </comment>
    <comment ref="K118" authorId="0" shapeId="0" xr:uid="{606B2A7C-0668-5C4B-BA99-BECC5F6FB7C4}">
      <text>
        <r>
          <rPr>
            <b/>
            <sz val="10"/>
            <color rgb="FF000000"/>
            <rFont val="Tahoma"/>
            <family val="2"/>
          </rPr>
          <t>Keller, Zach:</t>
        </r>
        <r>
          <rPr>
            <sz val="10"/>
            <color rgb="FF000000"/>
            <rFont val="Tahoma"/>
            <family val="2"/>
          </rPr>
          <t xml:space="preserve">
Source: Sports Business Classroom luxury tax tracker (secondary), https://sportsbusinessclassroom.com/nba-2025-26-luxury-tax-tracker/</t>
        </r>
      </text>
    </comment>
    <comment ref="K119" authorId="0" shapeId="0" xr:uid="{9AB4A4FE-5B1F-4A42-8DF1-D4C3EBDD494C}">
      <text>
        <r>
          <rPr>
            <b/>
            <sz val="10"/>
            <color rgb="FF000000"/>
            <rFont val="Tahoma"/>
            <family val="2"/>
          </rPr>
          <t>Keller, Zach:</t>
        </r>
        <r>
          <rPr>
            <sz val="10"/>
            <color rgb="FF000000"/>
            <rFont val="Tahoma"/>
            <family val="2"/>
          </rPr>
          <t xml:space="preserve">
Source: Sports Business Classroom luxury tax tracker (secondary), https://sportsbusinessclassroom.com/nba-2025-26-luxury-tax-tracker/</t>
        </r>
      </text>
    </comment>
    <comment ref="B121" authorId="0" shapeId="0" xr:uid="{A6354636-7545-134E-8F50-5440FB8634BD}">
      <text>
        <r>
          <rPr>
            <b/>
            <sz val="10"/>
            <color rgb="FF000000"/>
            <rFont val="Tahoma"/>
            <family val="2"/>
          </rPr>
          <t>Keller, Zach:</t>
        </r>
        <r>
          <rPr>
            <sz val="10"/>
            <color rgb="FF000000"/>
            <rFont val="Tahoma"/>
            <family val="2"/>
          </rPr>
          <t xml:space="preserve">
Source: Forbes (Mark Deeks), A Complete History of NBA Luxury Tax Payments, https://www.forbes.com/sites/markdeeks/2022/07/01/a-complete-history-of-nba-luxury-tax-payments-20012022/</t>
        </r>
      </text>
    </comment>
    <comment ref="F121" authorId="0" shapeId="0" xr:uid="{7614BCFA-B443-6F4F-A16B-A8A507FA939B}">
      <text>
        <r>
          <rPr>
            <b/>
            <sz val="10"/>
            <color rgb="FF000000"/>
            <rFont val="Tahoma"/>
            <family val="2"/>
          </rPr>
          <t>Keller, Zach:</t>
        </r>
        <r>
          <rPr>
            <sz val="10"/>
            <color rgb="FF000000"/>
            <rFont val="Tahoma"/>
            <family val="2"/>
          </rPr>
          <t xml:space="preserve">
Source: HoopsHype (secondary), https://www.hoopshype.com/story/sports/nba/warriors/2021/08/27/nba-2021-22-season-largest-luxury-tax-payments-ever/82909372007/ – adjusted bills, rounded; GSW &amp; MIL exact from Forbes (Deeks); Utah amount not found</t>
        </r>
      </text>
    </comment>
    <comment ref="G121" authorId="0" shapeId="0" xr:uid="{94BBFE65-C038-C646-ABF2-A0CF057E3471}">
      <text>
        <r>
          <rPr>
            <b/>
            <sz val="10"/>
            <color rgb="FF000000"/>
            <rFont val="Tahoma"/>
            <family val="2"/>
          </rPr>
          <t>Keller, Zach:</t>
        </r>
        <r>
          <rPr>
            <sz val="10"/>
            <color rgb="FF000000"/>
            <rFont val="Tahoma"/>
            <family val="2"/>
          </rPr>
          <t xml:space="preserve">
Source: HoopsRumors (secondary), https://www.hoopsrumors.com/2022/06/warriors-nets-clippers-top-taxpaying-teams-for-2021-22.html</t>
        </r>
      </text>
    </comment>
    <comment ref="H121" authorId="0" shapeId="0" xr:uid="{26C61AD2-3F88-3E46-A12C-76451851DD33}">
      <text>
        <r>
          <rPr>
            <b/>
            <sz val="10"/>
            <color rgb="FF000000"/>
            <rFont val="Tahoma"/>
            <family val="2"/>
          </rPr>
          <t>Keller, Zach:</t>
        </r>
        <r>
          <rPr>
            <sz val="10"/>
            <color rgb="FF000000"/>
            <rFont val="Tahoma"/>
            <family val="2"/>
          </rPr>
          <t xml:space="preserve">
Source: Sports Business Classroom luxury tax tracker (secondary), https://sportsbusinessclassroom.com/nba-2022-23-luxury-tax-tracker/</t>
        </r>
      </text>
    </comment>
    <comment ref="I121" authorId="0" shapeId="0" xr:uid="{2C76A8F8-AE3F-6E4C-856B-82E187F9B4F8}">
      <text>
        <r>
          <rPr>
            <b/>
            <sz val="10"/>
            <color rgb="FF000000"/>
            <rFont val="Tahoma"/>
            <family val="2"/>
          </rPr>
          <t>Keller, Zach:</t>
        </r>
        <r>
          <rPr>
            <sz val="10"/>
            <color rgb="FF000000"/>
            <rFont val="Tahoma"/>
            <family val="2"/>
          </rPr>
          <t xml:space="preserve">
Source: Sports Business Classroom luxury tax tracker (secondary), https://sportsbusinessclassroom.com/nba-2023-24-luxury-tax-tracker/</t>
        </r>
      </text>
    </comment>
    <comment ref="K121" authorId="0" shapeId="0" xr:uid="{9DCEAB03-BC6A-9947-BA5F-552F3C4FAC68}">
      <text>
        <r>
          <rPr>
            <b/>
            <sz val="10"/>
            <color rgb="FF000000"/>
            <rFont val="Tahoma"/>
            <family val="2"/>
          </rPr>
          <t>Keller, Zach:</t>
        </r>
        <r>
          <rPr>
            <sz val="10"/>
            <color rgb="FF000000"/>
            <rFont val="Tahoma"/>
            <family val="2"/>
          </rPr>
          <t xml:space="preserve">
</t>
        </r>
        <r>
          <rPr>
            <sz val="10"/>
            <color rgb="FF000000"/>
            <rFont val="Tahoma"/>
            <family val="2"/>
          </rPr>
          <t>Source: Sports Business Classroom luxury tax tracker (secondary), https://sportsbusinessclassroom.com/nba-2025-26-luxury-tax-tracker/</t>
        </r>
      </text>
    </comment>
    <comment ref="F122" authorId="0" shapeId="0" xr:uid="{CD5314FA-81BC-E94A-9AE1-F173EBBDCE2D}">
      <text>
        <r>
          <rPr>
            <b/>
            <sz val="10"/>
            <color rgb="FF000000"/>
            <rFont val="Tahoma"/>
            <family val="2"/>
          </rPr>
          <t>Keller, Zach:</t>
        </r>
        <r>
          <rPr>
            <sz val="10"/>
            <color rgb="FF000000"/>
            <rFont val="Tahoma"/>
            <family val="2"/>
          </rPr>
          <t xml:space="preserve">
Source: HoopsHype (secondary), https://www.hoopshype.com/story/sports/nba/warriors/2021/08/27/nba-2021-22-season-largest-luxury-tax-payments-ever/82909372007/ – adjusted bills, rounded; GSW &amp; MIL exact from Forbes (Deeks); Utah amount not found</t>
        </r>
      </text>
    </comment>
    <comment ref="G122" authorId="0" shapeId="0" xr:uid="{446F7E4D-408D-604D-BB93-55FD810505AE}">
      <text>
        <r>
          <rPr>
            <b/>
            <sz val="10"/>
            <color rgb="FF000000"/>
            <rFont val="Tahoma"/>
            <family val="2"/>
          </rPr>
          <t>Keller, Zach:</t>
        </r>
        <r>
          <rPr>
            <sz val="10"/>
            <color rgb="FF000000"/>
            <rFont val="Tahoma"/>
            <family val="2"/>
          </rPr>
          <t xml:space="preserve">
Source: HoopsRumors (secondary), https://www.hoopsrumors.com/2022/06/warriors-nets-clippers-top-taxpaying-teams-for-2021-22.html</t>
        </r>
      </text>
    </comment>
    <comment ref="H122" authorId="0" shapeId="0" xr:uid="{0FEC6EDD-BC88-3D4B-9D60-38CDA562807C}">
      <text>
        <r>
          <rPr>
            <b/>
            <sz val="10"/>
            <color rgb="FF000000"/>
            <rFont val="Tahoma"/>
            <family val="2"/>
          </rPr>
          <t>Keller, Zach:</t>
        </r>
        <r>
          <rPr>
            <sz val="10"/>
            <color rgb="FF000000"/>
            <rFont val="Tahoma"/>
            <family val="2"/>
          </rPr>
          <t xml:space="preserve">
Source: Sports Business Classroom luxury tax tracker (secondary), https://sportsbusinessclassroom.com/nba-2022-23-luxury-tax-tracker/</t>
        </r>
      </text>
    </comment>
    <comment ref="I122" authorId="0" shapeId="0" xr:uid="{4C8A0622-ACD3-A04E-9781-E1F366B0846D}">
      <text>
        <r>
          <rPr>
            <b/>
            <sz val="10"/>
            <color rgb="FF000000"/>
            <rFont val="Tahoma"/>
            <family val="2"/>
          </rPr>
          <t>Keller, Zach:</t>
        </r>
        <r>
          <rPr>
            <sz val="10"/>
            <color rgb="FF000000"/>
            <rFont val="Tahoma"/>
            <family val="2"/>
          </rPr>
          <t xml:space="preserve">
Source: Sports Business Classroom luxury tax tracker (secondary), https://sportsbusinessclassroom.com/nba-2023-24-luxury-tax-tracker/</t>
        </r>
      </text>
    </comment>
    <comment ref="J122" authorId="0" shapeId="0" xr:uid="{2A56FD55-5350-C043-908D-889BEE5D7F91}">
      <text>
        <r>
          <rPr>
            <b/>
            <sz val="10"/>
            <color rgb="FF000000"/>
            <rFont val="Tahoma"/>
            <family val="2"/>
          </rPr>
          <t>Keller, Zach:</t>
        </r>
        <r>
          <rPr>
            <sz val="10"/>
            <color rgb="FF000000"/>
            <rFont val="Tahoma"/>
            <family val="2"/>
          </rPr>
          <t xml:space="preserve">
Source: Sports Business Classroom luxury tax tracker (secondary), https://sportsbusinessclassroom.com/nba-2024-25-luxury-tax-tracker/</t>
        </r>
      </text>
    </comment>
    <comment ref="K122" authorId="0" shapeId="0" xr:uid="{326EDE53-BDC4-8E4B-A82C-1E0EF235CC28}">
      <text>
        <r>
          <rPr>
            <b/>
            <sz val="10"/>
            <color rgb="FF000000"/>
            <rFont val="Tahoma"/>
            <family val="2"/>
          </rPr>
          <t>Keller, Zach:</t>
        </r>
        <r>
          <rPr>
            <sz val="10"/>
            <color rgb="FF000000"/>
            <rFont val="Tahoma"/>
            <family val="2"/>
          </rPr>
          <t xml:space="preserve">
Source: Sports Business Classroom luxury tax tracker (secondary), https://sportsbusinessclassroom.com/nba-2025-26-luxury-tax-tracker/</t>
        </r>
      </text>
    </comment>
    <comment ref="E124" authorId="0" shapeId="0" xr:uid="{A9C49022-E807-6B47-A975-4665A4DED0E3}">
      <text>
        <r>
          <rPr>
            <b/>
            <sz val="10"/>
            <color rgb="FF000000"/>
            <rFont val="Tahoma"/>
            <family val="2"/>
          </rPr>
          <t>Keller, Zach:</t>
        </r>
        <r>
          <rPr>
            <sz val="10"/>
            <color rgb="FF000000"/>
            <rFont val="Tahoma"/>
            <family val="2"/>
          </rPr>
          <t xml:space="preserve">
Source: HoopsRumors (secondary), https://www.hoopsrumors.com/2020/11/blazers-heat-thunder-wolves-paid-tax-for-201920.html</t>
        </r>
      </text>
    </comment>
    <comment ref="I124" authorId="0" shapeId="0" xr:uid="{38601358-B956-5B49-AC9F-E1863751319D}">
      <text>
        <r>
          <rPr>
            <b/>
            <sz val="10"/>
            <color rgb="FF000000"/>
            <rFont val="Tahoma"/>
            <family val="2"/>
          </rPr>
          <t>Keller, Zach:</t>
        </r>
        <r>
          <rPr>
            <sz val="10"/>
            <color rgb="FF000000"/>
            <rFont val="Tahoma"/>
            <family val="2"/>
          </rPr>
          <t xml:space="preserve">
Source: Sports Business Classroom luxury tax tracker (secondary), https://sportsbusinessclassroom.com/nba-2023-24-luxury-tax-tracker/</t>
        </r>
      </text>
    </comment>
    <comment ref="J124" authorId="0" shapeId="0" xr:uid="{D0CEBEE3-D8B6-5F41-9D3B-35854A61831B}">
      <text>
        <r>
          <rPr>
            <b/>
            <sz val="10"/>
            <color rgb="FF000000"/>
            <rFont val="Tahoma"/>
            <family val="2"/>
          </rPr>
          <t>Keller, Zach:</t>
        </r>
        <r>
          <rPr>
            <sz val="10"/>
            <color rgb="FF000000"/>
            <rFont val="Tahoma"/>
            <family val="2"/>
          </rPr>
          <t xml:space="preserve">
Source: Sports Business Classroom luxury tax tracker (secondary), https://sportsbusinessclassroom.com/nba-2024-25-luxury-tax-tracker/</t>
        </r>
      </text>
    </comment>
    <comment ref="F125" authorId="0" shapeId="0" xr:uid="{9B9216F8-4602-A544-A7B5-7AF09A852071}">
      <text>
        <r>
          <rPr>
            <b/>
            <sz val="10"/>
            <color rgb="FF000000"/>
            <rFont val="Tahoma"/>
            <family val="2"/>
          </rPr>
          <t>Keller, Zach:</t>
        </r>
        <r>
          <rPr>
            <sz val="10"/>
            <color rgb="FF000000"/>
            <rFont val="Tahoma"/>
            <family val="2"/>
          </rPr>
          <t xml:space="preserve">
Source: HoopsHype (secondary), https://www.hoopshype.com/story/sports/nba/warriors/2021/08/27/nba-2021-22-season-largest-luxury-tax-payments-ever/82909372007/ – adjusted bills, rounded; GSW &amp; MIL exact from Forbes (Deeks); Utah amount not found</t>
        </r>
      </text>
    </comment>
    <comment ref="G125" authorId="0" shapeId="0" xr:uid="{7DC8B293-ECAD-D641-A5F3-10BDBA1E50B3}">
      <text>
        <r>
          <rPr>
            <b/>
            <sz val="10"/>
            <color rgb="FF000000"/>
            <rFont val="Tahoma"/>
            <family val="2"/>
          </rPr>
          <t>Keller, Zach:</t>
        </r>
        <r>
          <rPr>
            <sz val="10"/>
            <color rgb="FF000000"/>
            <rFont val="Tahoma"/>
            <family val="2"/>
          </rPr>
          <t xml:space="preserve">
Source: HoopsRumors (secondary), https://www.hoopsrumors.com/2022/06/warriors-nets-clippers-top-taxpaying-teams-for-2021-22.html</t>
        </r>
      </text>
    </comment>
    <comment ref="H125" authorId="0" shapeId="0" xr:uid="{7D144847-74A3-C445-99F6-657F2B3158E5}">
      <text>
        <r>
          <rPr>
            <b/>
            <sz val="10"/>
            <color rgb="FF000000"/>
            <rFont val="Tahoma"/>
            <family val="2"/>
          </rPr>
          <t>Keller, Zach:</t>
        </r>
        <r>
          <rPr>
            <sz val="10"/>
            <color rgb="FF000000"/>
            <rFont val="Tahoma"/>
            <family val="2"/>
          </rPr>
          <t xml:space="preserve">
Source: Sports Business Classroom luxury tax tracker (secondary), https://sportsbusinessclassroom.com/nba-2022-23-luxury-tax-tracker/</t>
        </r>
      </text>
    </comment>
    <comment ref="I125" authorId="0" shapeId="0" xr:uid="{EA2ECCA8-3D25-F14E-9C64-17B54BF493B2}">
      <text>
        <r>
          <rPr>
            <b/>
            <sz val="10"/>
            <color rgb="FF000000"/>
            <rFont val="Tahoma"/>
            <family val="2"/>
          </rPr>
          <t>Keller, Zach:</t>
        </r>
        <r>
          <rPr>
            <sz val="10"/>
            <color rgb="FF000000"/>
            <rFont val="Tahoma"/>
            <family val="2"/>
          </rPr>
          <t xml:space="preserve">
Source: Sports Business Classroom luxury tax tracker (secondary), https://sportsbusinessclassroom.com/nba-2023-24-luxury-tax-tracker/</t>
        </r>
      </text>
    </comment>
    <comment ref="J125" authorId="0" shapeId="0" xr:uid="{321DD4DA-9FC8-5D4F-A680-5A62D9956E7A}">
      <text>
        <r>
          <rPr>
            <b/>
            <sz val="10"/>
            <color rgb="FF000000"/>
            <rFont val="Tahoma"/>
            <family val="2"/>
          </rPr>
          <t>Keller, Zach:</t>
        </r>
        <r>
          <rPr>
            <sz val="10"/>
            <color rgb="FF000000"/>
            <rFont val="Tahoma"/>
            <family val="2"/>
          </rPr>
          <t xml:space="preserve">
Source: Sports Business Classroom luxury tax tracker (secondary), https://sportsbusinessclassroom.com/nba-2024-25-luxury-tax-tracker/</t>
        </r>
      </text>
    </comment>
    <comment ref="E126" authorId="0" shapeId="0" xr:uid="{62FC9C7B-A4BC-C141-A399-2252A3B3E911}">
      <text>
        <r>
          <rPr>
            <b/>
            <sz val="10"/>
            <color rgb="FF000000"/>
            <rFont val="Tahoma"/>
            <family val="2"/>
          </rPr>
          <t>Keller, Zach:</t>
        </r>
        <r>
          <rPr>
            <sz val="10"/>
            <color rgb="FF000000"/>
            <rFont val="Tahoma"/>
            <family val="2"/>
          </rPr>
          <t xml:space="preserve">
Source: HoopsRumors (secondary), https://www.hoopsrumors.com/2020/11/blazers-heat-thunder-wolves-paid-tax-for-201920.html</t>
        </r>
      </text>
    </comment>
    <comment ref="J126" authorId="0" shapeId="0" xr:uid="{C6146D7C-1A09-824B-9E5F-E70DC1C7F5CD}">
      <text>
        <r>
          <rPr>
            <b/>
            <sz val="10"/>
            <color rgb="FF000000"/>
            <rFont val="Tahoma"/>
            <family val="2"/>
          </rPr>
          <t>Keller, Zach:</t>
        </r>
        <r>
          <rPr>
            <sz val="10"/>
            <color rgb="FF000000"/>
            <rFont val="Tahoma"/>
            <family val="2"/>
          </rPr>
          <t xml:space="preserve">
Source: Sports Business Classroom luxury tax tracker (secondary), https://sportsbusinessclassroom.com/nba-2024-25-luxury-tax-tracker/</t>
        </r>
      </text>
    </comment>
    <comment ref="K126" authorId="0" shapeId="0" xr:uid="{77972A5E-D617-4F4D-927A-7FE78E2E508C}">
      <text>
        <r>
          <rPr>
            <b/>
            <sz val="10"/>
            <color rgb="FF000000"/>
            <rFont val="Tahoma"/>
            <family val="2"/>
          </rPr>
          <t>Keller, Zach:</t>
        </r>
        <r>
          <rPr>
            <sz val="10"/>
            <color rgb="FF000000"/>
            <rFont val="Tahoma"/>
            <family val="2"/>
          </rPr>
          <t xml:space="preserve">
Source: Sports Business Classroom luxury tax tracker (secondary), https://sportsbusinessclassroom.com/nba-2025-26-luxury-tax-tracker/</t>
        </r>
      </text>
    </comment>
    <comment ref="J128" authorId="0" shapeId="0" xr:uid="{CDC5055D-A25E-8343-894A-59FEB4DC3806}">
      <text>
        <r>
          <rPr>
            <b/>
            <sz val="10"/>
            <color rgb="FF000000"/>
            <rFont val="Tahoma"/>
            <family val="2"/>
          </rPr>
          <t>Keller, Zach:</t>
        </r>
        <r>
          <rPr>
            <sz val="10"/>
            <color rgb="FF000000"/>
            <rFont val="Tahoma"/>
            <family val="2"/>
          </rPr>
          <t xml:space="preserve">
Source: Sports Business Classroom luxury tax tracker (secondary), https://sportsbusinessclassroom.com/nba-2024-25-luxury-tax-tracker/</t>
        </r>
      </text>
    </comment>
    <comment ref="K128" authorId="0" shapeId="0" xr:uid="{05533731-807D-7B43-A8A1-7E1ED8AC60C7}">
      <text>
        <r>
          <rPr>
            <b/>
            <sz val="10"/>
            <color rgb="FF000000"/>
            <rFont val="Tahoma"/>
            <family val="2"/>
          </rPr>
          <t>Keller, Zach:</t>
        </r>
        <r>
          <rPr>
            <sz val="10"/>
            <color rgb="FF000000"/>
            <rFont val="Tahoma"/>
            <family val="2"/>
          </rPr>
          <t xml:space="preserve">
Source: Sports Business Classroom luxury tax tracker (secondary), https://sportsbusinessclassroom.com/nba-2025-26-luxury-tax-tracker/</t>
        </r>
      </text>
    </comment>
    <comment ref="C129" authorId="0" shapeId="0" xr:uid="{58557541-6D68-CC43-9EDF-988F3FC993C4}">
      <text>
        <r>
          <rPr>
            <b/>
            <sz val="10"/>
            <color rgb="FF000000"/>
            <rFont val="Tahoma"/>
            <family val="2"/>
          </rPr>
          <t>Keller, Zach:</t>
        </r>
        <r>
          <rPr>
            <sz val="10"/>
            <color rgb="FF000000"/>
            <rFont val="Tahoma"/>
            <family val="2"/>
          </rPr>
          <t xml:space="preserve">
Source: HoopsRumors (secondary), https://www.hoopsrumors.com/2019/04/recent-history-of-nba-taxpaying-teams.html – rounded; GSW exact figure from Forbes (Deeks)</t>
        </r>
      </text>
    </comment>
    <comment ref="D129" authorId="0" shapeId="0" xr:uid="{8CF89443-9BDF-A442-9414-ED0B17B2C7DD}">
      <text>
        <r>
          <rPr>
            <b/>
            <sz val="10"/>
            <color rgb="FF000000"/>
            <rFont val="Tahoma"/>
            <family val="2"/>
          </rPr>
          <t>Keller, Zach:</t>
        </r>
        <r>
          <rPr>
            <sz val="10"/>
            <color rgb="FF000000"/>
            <rFont val="Tahoma"/>
            <family val="2"/>
          </rPr>
          <t xml:space="preserve">
Source: HoopsRumors (secondary, ESPN Bobby Marks estimates), https://www.hoopsrumors.com/2019/04/recent-history-of-nba-taxpaying-teams.html; OKC/TOR exact figures from Forbes (Deeks)</t>
        </r>
      </text>
    </comment>
    <comment ref="E129" authorId="0" shapeId="0" xr:uid="{E5DCBD4F-6D2A-FD4C-AB86-6CA6F7BE9B48}">
      <text>
        <r>
          <rPr>
            <b/>
            <sz val="10"/>
            <color rgb="FF000000"/>
            <rFont val="Tahoma"/>
            <family val="2"/>
          </rPr>
          <t>Keller, Zach:</t>
        </r>
        <r>
          <rPr>
            <sz val="10"/>
            <color rgb="FF000000"/>
            <rFont val="Tahoma"/>
            <family val="2"/>
          </rPr>
          <t xml:space="preserve">
Source: HoopsRumors (secondary), https://www.hoopsrumors.com/2020/11/blazers-heat-thunder-wolves-paid-tax-for-201920.html</t>
        </r>
      </text>
    </comment>
    <comment ref="F131" authorId="0" shapeId="0" xr:uid="{6D6EBC24-8C63-9747-979B-7E9D15D35C25}">
      <text>
        <r>
          <rPr>
            <b/>
            <sz val="10"/>
            <color rgb="FF000000"/>
            <rFont val="Tahoma"/>
            <family val="2"/>
          </rPr>
          <t>Keller, Zach:</t>
        </r>
        <r>
          <rPr>
            <sz val="10"/>
            <color rgb="FF000000"/>
            <rFont val="Tahoma"/>
            <family val="2"/>
          </rPr>
          <t xml:space="preserve">
Source: HoopsHype (secondary), https://www.hoopshype.com/story/sports/nba/warriors/2021/08/27/nba-2021-22-season-largest-luxury-tax-payments-ever/82909372007/ – adjusted bills, rounded; GSW &amp; MIL exact from Forbes (Deeks); Utah amount not found</t>
        </r>
      </text>
    </comment>
    <comment ref="G131" authorId="0" shapeId="0" xr:uid="{21E14278-C896-794F-9503-94B79342AF49}">
      <text>
        <r>
          <rPr>
            <b/>
            <sz val="10"/>
            <color rgb="FF000000"/>
            <rFont val="Tahoma"/>
            <family val="2"/>
          </rPr>
          <t>Keller, Zach:</t>
        </r>
        <r>
          <rPr>
            <sz val="10"/>
            <color rgb="FF000000"/>
            <rFont val="Tahoma"/>
            <family val="2"/>
          </rPr>
          <t xml:space="preserve">
Source: HoopsRumors (secondary), https://www.hoopsrumors.com/2022/06/warriors-nets-clippers-top-taxpaying-teams-for-2021-22.html</t>
        </r>
      </text>
    </comment>
    <comment ref="H132" authorId="0" shapeId="0" xr:uid="{9EB8B0B8-6D24-CB44-938F-8B34D9C5F666}">
      <text>
        <r>
          <rPr>
            <b/>
            <sz val="10"/>
            <color rgb="FF000000"/>
            <rFont val="Tahoma"/>
            <family val="2"/>
          </rPr>
          <t>Keller, Zach:</t>
        </r>
        <r>
          <rPr>
            <sz val="10"/>
            <color rgb="FF000000"/>
            <rFont val="Tahoma"/>
            <family val="2"/>
          </rPr>
          <t xml:space="preserve">
Source: Sports Business Classroom luxury tax tracker (secondary), https://sportsbusinessclassroom.com/nba-2022-23-luxury-tax-tracker/</t>
        </r>
      </text>
    </comment>
    <comment ref="I132" authorId="0" shapeId="0" xr:uid="{2B0A114D-955E-1945-8CE2-6597D6A69A4B}">
      <text>
        <r>
          <rPr>
            <b/>
            <sz val="10"/>
            <color rgb="FF000000"/>
            <rFont val="Tahoma"/>
            <family val="2"/>
          </rPr>
          <t>Keller, Zach:</t>
        </r>
        <r>
          <rPr>
            <sz val="10"/>
            <color rgb="FF000000"/>
            <rFont val="Tahoma"/>
            <family val="2"/>
          </rPr>
          <t xml:space="preserve">
Source: Sports Business Classroom luxury tax tracker (secondary), https://sportsbusinessclassroom.com/nba-2023-24-luxury-tax-tracker/</t>
        </r>
      </text>
    </comment>
    <comment ref="J132" authorId="0" shapeId="0" xr:uid="{1C8ED988-6F71-C148-B41C-AA8642D25001}">
      <text>
        <r>
          <rPr>
            <b/>
            <sz val="10"/>
            <color rgb="FF000000"/>
            <rFont val="Tahoma"/>
            <family val="2"/>
          </rPr>
          <t>Keller, Zach:</t>
        </r>
        <r>
          <rPr>
            <sz val="10"/>
            <color rgb="FF000000"/>
            <rFont val="Tahoma"/>
            <family val="2"/>
          </rPr>
          <t xml:space="preserve">
Source: Sports Business Classroom luxury tax tracker (secondary), https://sportsbusinessclassroom.com/nba-2024-25-luxury-tax-tracker/</t>
        </r>
      </text>
    </comment>
    <comment ref="D133" authorId="0" shapeId="0" xr:uid="{885B74A9-14B0-F840-8838-5065707770AD}">
      <text>
        <r>
          <rPr>
            <b/>
            <sz val="10"/>
            <color rgb="FF000000"/>
            <rFont val="Tahoma"/>
            <family val="2"/>
          </rPr>
          <t>Keller, Zach:</t>
        </r>
        <r>
          <rPr>
            <sz val="10"/>
            <color rgb="FF000000"/>
            <rFont val="Tahoma"/>
            <family val="2"/>
          </rPr>
          <t xml:space="preserve">
Source: HoopsRumors (secondary, ESPN Bobby Marks estimates), https://www.hoopsrumors.com/2019/04/recent-history-of-nba-taxpaying-teams.html; OKC/TOR exact figures from Forbes (Deeks)</t>
        </r>
      </text>
    </comment>
    <comment ref="E133" authorId="0" shapeId="0" xr:uid="{4BD74F18-7E57-8D4B-A6B9-9AE1AB7F4240}">
      <text>
        <r>
          <rPr>
            <b/>
            <sz val="10"/>
            <color rgb="FF000000"/>
            <rFont val="Tahoma"/>
            <family val="2"/>
          </rPr>
          <t>Keller, Zach:</t>
        </r>
        <r>
          <rPr>
            <sz val="10"/>
            <color rgb="FF000000"/>
            <rFont val="Tahoma"/>
            <family val="2"/>
          </rPr>
          <t xml:space="preserve">
Source: HoopsRumors (secondary), https://www.hoopsrumors.com/2020/11/blazers-heat-thunder-wolves-paid-tax-for-201920.html</t>
        </r>
      </text>
    </comment>
    <comment ref="D136" authorId="0" shapeId="0" xr:uid="{E089DD93-428B-FC40-A618-12D4BC4130D6}">
      <text>
        <r>
          <rPr>
            <b/>
            <sz val="10"/>
            <color rgb="FF000000"/>
            <rFont val="Tahoma"/>
            <family val="2"/>
          </rPr>
          <t>Keller, Zach:</t>
        </r>
        <r>
          <rPr>
            <sz val="10"/>
            <color rgb="FF000000"/>
            <rFont val="Tahoma"/>
            <family val="2"/>
          </rPr>
          <t xml:space="preserve">
Source: HoopsRumors (secondary, ESPN Bobby Marks estimates), https://www.hoopsrumors.com/2019/04/recent-history-of-nba-taxpaying-teams.html; OKC/TOR exact figures from Forbes (Deeks)</t>
        </r>
      </text>
    </comment>
    <comment ref="F137" authorId="0" shapeId="0" xr:uid="{E2090B22-29AC-7247-80DE-A2CB05815DAF}">
      <text>
        <r>
          <rPr>
            <b/>
            <sz val="10"/>
            <color rgb="FF000000"/>
            <rFont val="Tahoma"/>
            <family val="2"/>
          </rPr>
          <t>Keller, Zach:</t>
        </r>
        <r>
          <rPr>
            <sz val="10"/>
            <color rgb="FF000000"/>
            <rFont val="Tahoma"/>
            <family val="2"/>
          </rPr>
          <t xml:space="preserve">
ESTIMATE — not a reported payment. Source: Spotrac NBA Team Tax Tracker, 2020–21 season, 'Tax Bill (Estimated)' column for UTA = $5,509,202 (user screenshot), https://www.spotrac.com/nba/tax/_/year/2020/ . Entered at user's request; yellow = estimate. Prior note: HoopsHype reported Utah paid tax in 2020–21 but gave no amount.</t>
        </r>
      </text>
    </comment>
    <comment ref="G137" authorId="0" shapeId="0" xr:uid="{69296ADB-2770-FF44-A675-6BE60FE6B36E}">
      <text>
        <r>
          <rPr>
            <b/>
            <sz val="10"/>
            <color rgb="FF000000"/>
            <rFont val="Tahoma"/>
            <family val="2"/>
          </rPr>
          <t>Keller, Zach:</t>
        </r>
        <r>
          <rPr>
            <sz val="10"/>
            <color rgb="FF000000"/>
            <rFont val="Tahoma"/>
            <family val="2"/>
          </rPr>
          <t xml:space="preserve">
Source: HoopsRumors (secondary), https://www.hoopsrumors.com/2022/06/warriors-nets-clippers-top-taxpaying-teams-for-2021-22.html</t>
        </r>
      </text>
    </comment>
    <comment ref="C138" authorId="0" shapeId="0" xr:uid="{0915B049-6CB1-E045-B87F-3151148EEB96}">
      <text>
        <r>
          <rPr>
            <b/>
            <sz val="10"/>
            <color rgb="FF000000"/>
            <rFont val="Tahoma"/>
            <family val="2"/>
          </rPr>
          <t>Keller, Zach:</t>
        </r>
        <r>
          <rPr>
            <sz val="10"/>
            <color rgb="FF000000"/>
            <rFont val="Tahoma"/>
            <family val="2"/>
          </rPr>
          <t xml:space="preserve">
Source: HoopsRumors (secondary), https://www.hoopsrumors.com/2019/04/recent-history-of-nba-taxpaying-teams.html – rounded; GSW exact figure from Forbes (Deeks)</t>
        </r>
      </text>
    </comment>
    <comment ref="B143" authorId="0" shapeId="0" xr:uid="{49A0B608-3202-2F46-A270-3E41D53DF8F1}">
      <text>
        <r>
          <rPr>
            <b/>
            <sz val="10"/>
            <color rgb="FF000000"/>
            <rFont val="Tahoma"/>
            <family val="2"/>
          </rPr>
          <t>Keller, Zach:</t>
        </r>
        <r>
          <rPr>
            <sz val="10"/>
            <color rgb="FF000000"/>
            <rFont val="Tahoma"/>
            <family val="2"/>
          </rPr>
          <t xml:space="preserve">
Source: Spotrac NBA Team Tax Tracker, 2015–16 season (user screenshot), https://www.spotrac.com/nba/tax/_/year/2015/ . 'Salaries' column (tax payroll). Checked: Salaries + Space = 2015–16 tax line $84,740,000.</t>
        </r>
      </text>
    </comment>
    <comment ref="C143" authorId="0" shapeId="0" xr:uid="{49827E12-3DED-DE4F-9017-DF703D9308D8}">
      <text>
        <r>
          <rPr>
            <b/>
            <sz val="10"/>
            <color rgb="FF000000"/>
            <rFont val="Tahoma"/>
            <family val="2"/>
          </rPr>
          <t>Keller, Zach:</t>
        </r>
        <r>
          <rPr>
            <sz val="10"/>
            <color rgb="FF000000"/>
            <rFont val="Tahoma"/>
            <family val="2"/>
          </rPr>
          <t xml:space="preserve">
Source: Spotrac NBA Team Tax Tracker, 2015–16 season (user screenshot), https://www.spotrac.com/nba/tax/_/year/2015/ . 'Tax Bill (Estimated)' column shows '-' (under the tax line) → 0.</t>
        </r>
      </text>
    </comment>
    <comment ref="B144" authorId="0" shapeId="0" xr:uid="{BB59691E-D457-BF49-A0C3-08E6ED0CEAD9}">
      <text>
        <r>
          <rPr>
            <b/>
            <sz val="10"/>
            <color rgb="FF000000"/>
            <rFont val="Tahoma"/>
            <family val="2"/>
          </rPr>
          <t>Keller, Zach:</t>
        </r>
        <r>
          <rPr>
            <sz val="10"/>
            <color rgb="FF000000"/>
            <rFont val="Tahoma"/>
            <family val="2"/>
          </rPr>
          <t xml:space="preserve">
Source: Spotrac NBA Team Tax Tracker, 2015–16 season (user screenshot), https://www.spotrac.com/nba/tax/_/year/2015/ . 'Salaries' column (tax payroll). Checked: Salaries + Space = 2015–16 tax line $84,740,000.</t>
        </r>
      </text>
    </comment>
    <comment ref="C144" authorId="0" shapeId="0" xr:uid="{AC449FF6-5704-5748-A8D8-0E3F0E406DC0}">
      <text>
        <r>
          <rPr>
            <b/>
            <sz val="10"/>
            <color rgb="FF000000"/>
            <rFont val="Tahoma"/>
            <family val="2"/>
          </rPr>
          <t>Keller, Zach:</t>
        </r>
        <r>
          <rPr>
            <sz val="10"/>
            <color rgb="FF000000"/>
            <rFont val="Tahoma"/>
            <family val="2"/>
          </rPr>
          <t xml:space="preserve">
Source: Spotrac NBA Team Tax Tracker, 2015–16 season (user screenshot), https://www.spotrac.com/nba/tax/_/year/2015/ . 'Tax Bill (Estimated)' column shows '-' (under the tax line) → 0.</t>
        </r>
      </text>
    </comment>
    <comment ref="B145" authorId="0" shapeId="0" xr:uid="{59415F65-BD29-C747-8730-E7C3D96623A2}">
      <text>
        <r>
          <rPr>
            <b/>
            <sz val="10"/>
            <color rgb="FF000000"/>
            <rFont val="Tahoma"/>
            <family val="2"/>
          </rPr>
          <t>Keller, Zach:</t>
        </r>
        <r>
          <rPr>
            <sz val="10"/>
            <color rgb="FF000000"/>
            <rFont val="Tahoma"/>
            <family val="2"/>
          </rPr>
          <t xml:space="preserve">
Source: Spotrac NBA Team Tax Tracker, 2015–16 season (user screenshot), https://www.spotrac.com/nba/tax/_/year/2015/ . 'Salaries' column (tax payroll). Checked: Salaries + Space = 2015–16 tax line $84,740,000.</t>
        </r>
      </text>
    </comment>
    <comment ref="C145" authorId="0" shapeId="0" xr:uid="{B453AD2C-4313-4845-AAF8-E923683B4F9B}">
      <text>
        <r>
          <rPr>
            <b/>
            <sz val="10"/>
            <color rgb="FF000000"/>
            <rFont val="Tahoma"/>
            <family val="2"/>
          </rPr>
          <t>Keller, Zach:</t>
        </r>
        <r>
          <rPr>
            <sz val="10"/>
            <color rgb="FF000000"/>
            <rFont val="Tahoma"/>
            <family val="2"/>
          </rPr>
          <t xml:space="preserve">
Source: Spotrac NBA Team Tax Tracker, 2015–16 season (user screenshot), https://www.spotrac.com/nba/tax/_/year/2015/ . 'Tax Bill (Estimated)' column shows '-' (under the tax line) → 0.</t>
        </r>
      </text>
    </comment>
    <comment ref="B146" authorId="0" shapeId="0" xr:uid="{B63F6669-92C9-7145-856B-2265ABECF3DF}">
      <text>
        <r>
          <rPr>
            <b/>
            <sz val="10"/>
            <color rgb="FF000000"/>
            <rFont val="Tahoma"/>
            <family val="2"/>
          </rPr>
          <t>Keller, Zach:</t>
        </r>
        <r>
          <rPr>
            <sz val="10"/>
            <color rgb="FF000000"/>
            <rFont val="Tahoma"/>
            <family val="2"/>
          </rPr>
          <t xml:space="preserve">
Source: Spotrac NBA Team Tax Tracker, 2015–16 season (user screenshot), https://www.spotrac.com/nba/tax/_/year/2015/ . 'Salaries' column (tax payroll). Checked: Salaries + Space = 2015–16 tax line $84,740,000.</t>
        </r>
      </text>
    </comment>
    <comment ref="C146" authorId="0" shapeId="0" xr:uid="{29A45554-DC2F-C34B-9F51-8FDD43107725}">
      <text>
        <r>
          <rPr>
            <b/>
            <sz val="10"/>
            <color rgb="FF000000"/>
            <rFont val="Tahoma"/>
            <family val="2"/>
          </rPr>
          <t>Keller, Zach:</t>
        </r>
        <r>
          <rPr>
            <sz val="10"/>
            <color rgb="FF000000"/>
            <rFont val="Tahoma"/>
            <family val="2"/>
          </rPr>
          <t xml:space="preserve">
Source: Spotrac NBA Team Tax Tracker, 2015–16 season (user screenshot), https://www.spotrac.com/nba/tax/_/year/2015/ . 'Tax Bill (Estimated)' column shows '-' (under the tax line) → 0.</t>
        </r>
      </text>
    </comment>
    <comment ref="B147" authorId="0" shapeId="0" xr:uid="{F67FBA1E-F9A2-DB4A-9657-F6CC44EE765A}">
      <text>
        <r>
          <rPr>
            <b/>
            <sz val="10"/>
            <color rgb="FF000000"/>
            <rFont val="Tahoma"/>
            <family val="2"/>
          </rPr>
          <t>Keller, Zach:</t>
        </r>
        <r>
          <rPr>
            <sz val="10"/>
            <color rgb="FF000000"/>
            <rFont val="Tahoma"/>
            <family val="2"/>
          </rPr>
          <t xml:space="preserve">
Source: Spotrac NBA Team Tax Tracker, 2015–16 season (user screenshot), https://www.spotrac.com/nba/tax/_/year/2015/ . 'Salaries' column (tax payroll). Checked: Salaries + Space = 2015–16 tax line $84,740,000.</t>
        </r>
      </text>
    </comment>
    <comment ref="C147" authorId="0" shapeId="0" xr:uid="{063876E7-3D6C-314D-9D1E-A48CBD04D3D3}">
      <text>
        <r>
          <rPr>
            <b/>
            <sz val="10"/>
            <color rgb="FF000000"/>
            <rFont val="Tahoma"/>
            <family val="2"/>
          </rPr>
          <t>Keller, Zach:</t>
        </r>
        <r>
          <rPr>
            <sz val="10"/>
            <color rgb="FF000000"/>
            <rFont val="Tahoma"/>
            <family val="2"/>
          </rPr>
          <t xml:space="preserve">
Source: Spotrac NBA Team Tax Tracker, 2015–16 season (user screenshot), https://www.spotrac.com/nba/tax/_/year/2015/ . 'Tax Bill (Estimated)' column — Spotrac ESTIMATE, not a confirmed payment.</t>
        </r>
      </text>
    </comment>
    <comment ref="B148" authorId="0" shapeId="0" xr:uid="{C4A5727A-C99F-E445-856B-D08B72B2C509}">
      <text>
        <r>
          <rPr>
            <b/>
            <sz val="10"/>
            <color rgb="FF000000"/>
            <rFont val="Tahoma"/>
            <family val="2"/>
          </rPr>
          <t>Keller, Zach:</t>
        </r>
        <r>
          <rPr>
            <sz val="10"/>
            <color rgb="FF000000"/>
            <rFont val="Tahoma"/>
            <family val="2"/>
          </rPr>
          <t xml:space="preserve">
Source: Spotrac NBA Team Tax Tracker, 2015–16 season (user screenshot), https://www.spotrac.com/nba/tax/_/year/2015/ . 'Salaries' column (tax payroll). Checked: Salaries + Space = 2015–16 tax line $84,740,000.</t>
        </r>
      </text>
    </comment>
    <comment ref="C148" authorId="0" shapeId="0" xr:uid="{30F547CE-26D7-0347-8F45-531D770EA273}">
      <text>
        <r>
          <rPr>
            <b/>
            <sz val="10"/>
            <color rgb="FF000000"/>
            <rFont val="Tahoma"/>
            <family val="2"/>
          </rPr>
          <t>Keller, Zach:</t>
        </r>
        <r>
          <rPr>
            <sz val="10"/>
            <color rgb="FF000000"/>
            <rFont val="Tahoma"/>
            <family val="2"/>
          </rPr>
          <t xml:space="preserve">
Source: Spotrac NBA Team Tax Tracker, 2015–16 season (user screenshot), https://www.spotrac.com/nba/tax/_/year/2015/ . 'Tax Bill (Estimated)' column — Spotrac ESTIMATE, not a confirmed payment.</t>
        </r>
      </text>
    </comment>
    <comment ref="B149" authorId="0" shapeId="0" xr:uid="{D2D6E5BA-2191-5840-983C-D2E5143B5E82}">
      <text>
        <r>
          <rPr>
            <b/>
            <sz val="10"/>
            <color rgb="FF000000"/>
            <rFont val="Tahoma"/>
            <family val="2"/>
          </rPr>
          <t>Keller, Zach:</t>
        </r>
        <r>
          <rPr>
            <sz val="10"/>
            <color rgb="FF000000"/>
            <rFont val="Tahoma"/>
            <family val="2"/>
          </rPr>
          <t xml:space="preserve">
Source: Spotrac NBA Team Tax Tracker, 2015–16 season (user screenshot), https://www.spotrac.com/nba/tax/_/year/2015/ . 'Salaries' column (tax payroll). Checked: Salaries + Space = 2015–16 tax line $84,740,000.</t>
        </r>
      </text>
    </comment>
    <comment ref="C149" authorId="0" shapeId="0" xr:uid="{0EBFD0A5-BAA8-C04D-B7BC-F52AEF31136D}">
      <text>
        <r>
          <rPr>
            <b/>
            <sz val="10"/>
            <color rgb="FF000000"/>
            <rFont val="Tahoma"/>
            <family val="2"/>
          </rPr>
          <t>Keller, Zach:</t>
        </r>
        <r>
          <rPr>
            <sz val="10"/>
            <color rgb="FF000000"/>
            <rFont val="Tahoma"/>
            <family val="2"/>
          </rPr>
          <t xml:space="preserve">
Source: Spotrac NBA Team Tax Tracker, 2015–16 season (user screenshot), https://www.spotrac.com/nba/tax/_/year/2015/ . 'Tax Bill (Estimated)' column shows '-' (under the tax line) → 0.</t>
        </r>
      </text>
    </comment>
    <comment ref="B150" authorId="0" shapeId="0" xr:uid="{4B6A1698-030B-F048-8C96-9A56871211A6}">
      <text>
        <r>
          <rPr>
            <b/>
            <sz val="10"/>
            <color rgb="FF000000"/>
            <rFont val="Tahoma"/>
            <family val="2"/>
          </rPr>
          <t>Keller, Zach:</t>
        </r>
        <r>
          <rPr>
            <sz val="10"/>
            <color rgb="FF000000"/>
            <rFont val="Tahoma"/>
            <family val="2"/>
          </rPr>
          <t xml:space="preserve">
Source: Spotrac NBA Team Tax Tracker, 2015–16 season (user screenshot), https://www.spotrac.com/nba/tax/_/year/2015/ . 'Salaries' column (tax payroll). Checked: Salaries + Space = 2015–16 tax line $84,740,000.</t>
        </r>
      </text>
    </comment>
    <comment ref="C150" authorId="0" shapeId="0" xr:uid="{B37DEF05-E84D-2641-8F1B-253541B9D94F}">
      <text>
        <r>
          <rPr>
            <b/>
            <sz val="10"/>
            <color rgb="FF000000"/>
            <rFont val="Tahoma"/>
            <family val="2"/>
          </rPr>
          <t>Keller, Zach:</t>
        </r>
        <r>
          <rPr>
            <sz val="10"/>
            <color rgb="FF000000"/>
            <rFont val="Tahoma"/>
            <family val="2"/>
          </rPr>
          <t xml:space="preserve">
Source: Spotrac NBA Team Tax Tracker, 2015–16 season (user screenshot), https://www.spotrac.com/nba/tax/_/year/2015/ . 'Tax Bill (Estimated)' column shows '-' (under the tax line) → 0.</t>
        </r>
      </text>
    </comment>
    <comment ref="B151" authorId="0" shapeId="0" xr:uid="{A010BCE9-62B5-084A-A346-DACB908EB69F}">
      <text>
        <r>
          <rPr>
            <b/>
            <sz val="10"/>
            <color rgb="FF000000"/>
            <rFont val="Tahoma"/>
            <family val="2"/>
          </rPr>
          <t>Keller, Zach:</t>
        </r>
        <r>
          <rPr>
            <sz val="10"/>
            <color rgb="FF000000"/>
            <rFont val="Tahoma"/>
            <family val="2"/>
          </rPr>
          <t xml:space="preserve">
Source: Spotrac NBA Team Tax Tracker, 2015–16 season (user screenshot), https://www.spotrac.com/nba/tax/_/year/2015/ . 'Salaries' column (tax payroll). Checked: Salaries + Space = 2015–16 tax line $84,740,000.</t>
        </r>
      </text>
    </comment>
    <comment ref="C151" authorId="0" shapeId="0" xr:uid="{8A9E9816-04D4-8342-A345-26802E8236AC}">
      <text>
        <r>
          <rPr>
            <b/>
            <sz val="10"/>
            <color rgb="FF000000"/>
            <rFont val="Tahoma"/>
            <family val="2"/>
          </rPr>
          <t>Keller, Zach:</t>
        </r>
        <r>
          <rPr>
            <sz val="10"/>
            <color rgb="FF000000"/>
            <rFont val="Tahoma"/>
            <family val="2"/>
          </rPr>
          <t xml:space="preserve">
Source: Spotrac NBA Team Tax Tracker, 2015–16 season (user screenshot), https://www.spotrac.com/nba/tax/_/year/2015/ . 'Tax Bill (Estimated)' column shows '-' (under the tax line) → 0.</t>
        </r>
      </text>
    </comment>
    <comment ref="B152" authorId="0" shapeId="0" xr:uid="{AD013C10-2B25-9A4A-BD59-747B2BB33B3A}">
      <text>
        <r>
          <rPr>
            <b/>
            <sz val="10"/>
            <color rgb="FF000000"/>
            <rFont val="Tahoma"/>
            <family val="2"/>
          </rPr>
          <t>Keller, Zach:</t>
        </r>
        <r>
          <rPr>
            <sz val="10"/>
            <color rgb="FF000000"/>
            <rFont val="Tahoma"/>
            <family val="2"/>
          </rPr>
          <t xml:space="preserve">
Source: Spotrac NBA Team Tax Tracker, 2015–16 season (user screenshot), https://www.spotrac.com/nba/tax/_/year/2015/ . 'Salaries' column (tax payroll). Checked: Salaries + Space = 2015–16 tax line $84,740,000.</t>
        </r>
      </text>
    </comment>
    <comment ref="C152" authorId="0" shapeId="0" xr:uid="{6A814930-8C45-684B-BDCB-DE754BBA1CA4}">
      <text>
        <r>
          <rPr>
            <b/>
            <sz val="10"/>
            <color rgb="FF000000"/>
            <rFont val="Tahoma"/>
            <family val="2"/>
          </rPr>
          <t>Keller, Zach:</t>
        </r>
        <r>
          <rPr>
            <sz val="10"/>
            <color rgb="FF000000"/>
            <rFont val="Tahoma"/>
            <family val="2"/>
          </rPr>
          <t xml:space="preserve">
Source: Spotrac NBA Team Tax Tracker, 2015–16 season (user screenshot), https://www.spotrac.com/nba/tax/_/year/2015/ . 'Tax Bill (Estimated)' column — Spotrac ESTIMATE, not a confirmed payment.</t>
        </r>
      </text>
    </comment>
    <comment ref="B153" authorId="0" shapeId="0" xr:uid="{85239069-EBBA-4742-82D3-4456F74259D0}">
      <text>
        <r>
          <rPr>
            <b/>
            <sz val="10"/>
            <color rgb="FF000000"/>
            <rFont val="Tahoma"/>
            <family val="2"/>
          </rPr>
          <t>Keller, Zach:</t>
        </r>
        <r>
          <rPr>
            <sz val="10"/>
            <color rgb="FF000000"/>
            <rFont val="Tahoma"/>
            <family val="2"/>
          </rPr>
          <t xml:space="preserve">
Source: Spotrac NBA Team Tax Tracker, 2015–16 season (user screenshot), https://www.spotrac.com/nba/tax/_/year/2015/ . 'Salaries' column (tax payroll). Checked: Salaries + Space = 2015–16 tax line $84,740,000.</t>
        </r>
      </text>
    </comment>
    <comment ref="C153" authorId="0" shapeId="0" xr:uid="{669EB623-FDDE-FC44-BA82-5F021CE966B6}">
      <text>
        <r>
          <rPr>
            <b/>
            <sz val="10"/>
            <color rgb="FF000000"/>
            <rFont val="Tahoma"/>
            <family val="2"/>
          </rPr>
          <t>Keller, Zach:</t>
        </r>
        <r>
          <rPr>
            <sz val="10"/>
            <color rgb="FF000000"/>
            <rFont val="Tahoma"/>
            <family val="2"/>
          </rPr>
          <t xml:space="preserve">
Source: Spotrac NBA Team Tax Tracker, 2015–16 season (user screenshot), https://www.spotrac.com/nba/tax/_/year/2015/ . 'Tax Bill (Estimated)' column — Spotrac ESTIMATE, not a confirmed payment.</t>
        </r>
      </text>
    </comment>
    <comment ref="B154" authorId="0" shapeId="0" xr:uid="{B0F425D4-14F6-4A4A-8C32-8CEA814AEEB1}">
      <text>
        <r>
          <rPr>
            <b/>
            <sz val="10"/>
            <color rgb="FF000000"/>
            <rFont val="Tahoma"/>
            <family val="2"/>
          </rPr>
          <t>Keller, Zach:</t>
        </r>
        <r>
          <rPr>
            <sz val="10"/>
            <color rgb="FF000000"/>
            <rFont val="Tahoma"/>
            <family val="2"/>
          </rPr>
          <t xml:space="preserve">
Source: Spotrac NBA Team Tax Tracker, 2015–16 season (user screenshot), https://www.spotrac.com/nba/tax/_/year/2015/ . 'Salaries' column (tax payroll). Checked: Salaries + Space = 2015–16 tax line $84,740,000.</t>
        </r>
      </text>
    </comment>
    <comment ref="C154" authorId="0" shapeId="0" xr:uid="{BA0B55A8-85D2-AA4A-94F1-577A73DB71B2}">
      <text>
        <r>
          <rPr>
            <b/>
            <sz val="10"/>
            <color rgb="FF000000"/>
            <rFont val="Tahoma"/>
            <family val="2"/>
          </rPr>
          <t>Keller, Zach:</t>
        </r>
        <r>
          <rPr>
            <sz val="10"/>
            <color rgb="FF000000"/>
            <rFont val="Tahoma"/>
            <family val="2"/>
          </rPr>
          <t xml:space="preserve">
Source: Spotrac NBA Team Tax Tracker, 2015–16 season (user screenshot), https://www.spotrac.com/nba/tax/_/year/2015/ . 'Tax Bill (Estimated)' column shows '-' (under the tax line) → 0.</t>
        </r>
      </text>
    </comment>
    <comment ref="B155" authorId="0" shapeId="0" xr:uid="{EE5DAB09-959A-644A-9FC9-A82D1F03C745}">
      <text>
        <r>
          <rPr>
            <b/>
            <sz val="10"/>
            <color rgb="FF000000"/>
            <rFont val="Tahoma"/>
            <family val="2"/>
          </rPr>
          <t>Keller, Zach:</t>
        </r>
        <r>
          <rPr>
            <sz val="10"/>
            <color rgb="FF000000"/>
            <rFont val="Tahoma"/>
            <family val="2"/>
          </rPr>
          <t xml:space="preserve">
Source: Spotrac NBA Team Tax Tracker, 2015–16 season (user screenshot), https://www.spotrac.com/nba/tax/_/year/2015/ . 'Salaries' column (tax payroll). Checked: Salaries + Space = 2015–16 tax line $84,740,000.</t>
        </r>
      </text>
    </comment>
    <comment ref="C155" authorId="0" shapeId="0" xr:uid="{7A23F51A-A4B6-1041-85FC-9762DBF5820D}">
      <text>
        <r>
          <rPr>
            <b/>
            <sz val="10"/>
            <color rgb="FF000000"/>
            <rFont val="Tahoma"/>
            <family val="2"/>
          </rPr>
          <t>Keller, Zach:</t>
        </r>
        <r>
          <rPr>
            <sz val="10"/>
            <color rgb="FF000000"/>
            <rFont val="Tahoma"/>
            <family val="2"/>
          </rPr>
          <t xml:space="preserve">
Source: Spotrac NBA Team Tax Tracker, 2015–16 season (user screenshot), https://www.spotrac.com/nba/tax/_/year/2015/ . 'Tax Bill (Estimated)' column — Spotrac ESTIMATE, not a confirmed payment.</t>
        </r>
      </text>
    </comment>
    <comment ref="B156" authorId="0" shapeId="0" xr:uid="{D7D4E61F-670E-2348-862B-38B0F132FD64}">
      <text>
        <r>
          <rPr>
            <b/>
            <sz val="10"/>
            <color rgb="FF000000"/>
            <rFont val="Tahoma"/>
            <family val="2"/>
          </rPr>
          <t>Keller, Zach:</t>
        </r>
        <r>
          <rPr>
            <sz val="10"/>
            <color rgb="FF000000"/>
            <rFont val="Tahoma"/>
            <family val="2"/>
          </rPr>
          <t xml:space="preserve">
Source: Spotrac NBA Team Tax Tracker, 2015–16 season (user screenshot), https://www.spotrac.com/nba/tax/_/year/2015/ . 'Salaries' column (tax payroll). Checked: Salaries + Space = 2015–16 tax line $84,740,000.</t>
        </r>
      </text>
    </comment>
    <comment ref="C156" authorId="0" shapeId="0" xr:uid="{2E8C9FFB-4CD3-6B47-AF21-9705B3250462}">
      <text>
        <r>
          <rPr>
            <b/>
            <sz val="10"/>
            <color rgb="FF000000"/>
            <rFont val="Tahoma"/>
            <family val="2"/>
          </rPr>
          <t>Keller, Zach:</t>
        </r>
        <r>
          <rPr>
            <sz val="10"/>
            <color rgb="FF000000"/>
            <rFont val="Tahoma"/>
            <family val="2"/>
          </rPr>
          <t xml:space="preserve">
Source: Spotrac NBA Team Tax Tracker, 2015–16 season (user screenshot), https://www.spotrac.com/nba/tax/_/year/2015/ . 'Tax Bill (Estimated)' column shows '-' (under the tax line) → 0.</t>
        </r>
      </text>
    </comment>
    <comment ref="B157" authorId="0" shapeId="0" xr:uid="{EDE4AD41-03A9-444A-8EEE-297317F31235}">
      <text>
        <r>
          <rPr>
            <b/>
            <sz val="10"/>
            <color rgb="FF000000"/>
            <rFont val="Tahoma"/>
            <family val="2"/>
          </rPr>
          <t>Keller, Zach:</t>
        </r>
        <r>
          <rPr>
            <sz val="10"/>
            <color rgb="FF000000"/>
            <rFont val="Tahoma"/>
            <family val="2"/>
          </rPr>
          <t xml:space="preserve">
Source: Spotrac NBA Team Tax Tracker, 2015–16 season (user screenshot), https://www.spotrac.com/nba/tax/_/year/2015/ . 'Salaries' column (tax payroll). Checked: Salaries + Space = 2015–16 tax line $84,740,000.</t>
        </r>
      </text>
    </comment>
    <comment ref="C157" authorId="0" shapeId="0" xr:uid="{5392C19E-CC3B-244D-84AB-013C3001E3E0}">
      <text>
        <r>
          <rPr>
            <b/>
            <sz val="10"/>
            <color rgb="FF000000"/>
            <rFont val="Tahoma"/>
            <family val="2"/>
          </rPr>
          <t>Keller, Zach:</t>
        </r>
        <r>
          <rPr>
            <sz val="10"/>
            <color rgb="FF000000"/>
            <rFont val="Tahoma"/>
            <family val="2"/>
          </rPr>
          <t xml:space="preserve">
Source: Spotrac NBA Team Tax Tracker, 2015–16 season (user screenshot), https://www.spotrac.com/nba/tax/_/year/2015/ . 'Tax Bill (Estimated)' column shows '-' (under the tax line) → 0.</t>
        </r>
      </text>
    </comment>
    <comment ref="B158" authorId="0" shapeId="0" xr:uid="{D0E14948-BFAB-EA45-9940-253ADDAFBA28}">
      <text>
        <r>
          <rPr>
            <b/>
            <sz val="10"/>
            <color rgb="FF000000"/>
            <rFont val="Tahoma"/>
            <family val="2"/>
          </rPr>
          <t>Keller, Zach:</t>
        </r>
        <r>
          <rPr>
            <sz val="10"/>
            <color rgb="FF000000"/>
            <rFont val="Tahoma"/>
            <family val="2"/>
          </rPr>
          <t xml:space="preserve">
Source: Spotrac NBA Team Tax Tracker, 2015–16 season (user screenshot), https://www.spotrac.com/nba/tax/_/year/2015/ . 'Salaries' column (tax payroll). Checked: Salaries + Space = 2015–16 tax line $84,740,000.</t>
        </r>
      </text>
    </comment>
    <comment ref="C158" authorId="0" shapeId="0" xr:uid="{F0234DC8-D4B7-914E-9A80-525E900A2074}">
      <text>
        <r>
          <rPr>
            <b/>
            <sz val="10"/>
            <color rgb="FF000000"/>
            <rFont val="Tahoma"/>
            <family val="2"/>
          </rPr>
          <t>Keller, Zach:</t>
        </r>
        <r>
          <rPr>
            <sz val="10"/>
            <color rgb="FF000000"/>
            <rFont val="Tahoma"/>
            <family val="2"/>
          </rPr>
          <t xml:space="preserve">
Source: Spotrac NBA Team Tax Tracker, 2015–16 season (user screenshot), https://www.spotrac.com/nba/tax/_/year/2015/ . 'Tax Bill (Estimated)' column shows '-' (under the tax line) → 0.</t>
        </r>
      </text>
    </comment>
    <comment ref="B159" authorId="0" shapeId="0" xr:uid="{D65B3271-0612-2941-AB34-335811D5FAA2}">
      <text>
        <r>
          <rPr>
            <b/>
            <sz val="10"/>
            <color rgb="FF000000"/>
            <rFont val="Tahoma"/>
            <family val="2"/>
          </rPr>
          <t>Keller, Zach:</t>
        </r>
        <r>
          <rPr>
            <sz val="10"/>
            <color rgb="FF000000"/>
            <rFont val="Tahoma"/>
            <family val="2"/>
          </rPr>
          <t xml:space="preserve">
Source: Spotrac NBA Team Tax Tracker, 2015–16 season (user screenshot), https://www.spotrac.com/nba/tax/_/year/2015/ . 'Salaries' column (tax payroll). Checked: Salaries + Space = 2015–16 tax line $84,740,000.</t>
        </r>
      </text>
    </comment>
    <comment ref="C159" authorId="0" shapeId="0" xr:uid="{E80E3530-AF52-8444-87D0-E4014ADE6FC2}">
      <text>
        <r>
          <rPr>
            <b/>
            <sz val="10"/>
            <color rgb="FF000000"/>
            <rFont val="Tahoma"/>
            <family val="2"/>
          </rPr>
          <t>Keller, Zach:</t>
        </r>
        <r>
          <rPr>
            <sz val="10"/>
            <color rgb="FF000000"/>
            <rFont val="Tahoma"/>
            <family val="2"/>
          </rPr>
          <t xml:space="preserve">
Source: Spotrac NBA Team Tax Tracker, 2015–16 season (user screenshot), https://www.spotrac.com/nba/tax/_/year/2015/ . 'Tax Bill (Estimated)' column shows '-' (under the tax line) → 0.</t>
        </r>
      </text>
    </comment>
    <comment ref="B160" authorId="0" shapeId="0" xr:uid="{41FB52A6-9FD7-654C-AED7-BFB84FACB361}">
      <text>
        <r>
          <rPr>
            <b/>
            <sz val="10"/>
            <color rgb="FF000000"/>
            <rFont val="Tahoma"/>
            <family val="2"/>
          </rPr>
          <t>Keller, Zach:</t>
        </r>
        <r>
          <rPr>
            <sz val="10"/>
            <color rgb="FF000000"/>
            <rFont val="Tahoma"/>
            <family val="2"/>
          </rPr>
          <t xml:space="preserve">
Source: Spotrac NBA Team Tax Tracker, 2015–16 season (user screenshot), https://www.spotrac.com/nba/tax/_/year/2015/ . 'Salaries' column (tax payroll). Checked: Salaries + Space = 2015–16 tax line $84,740,000.</t>
        </r>
      </text>
    </comment>
    <comment ref="C160" authorId="0" shapeId="0" xr:uid="{94941A01-4512-944D-AC42-0B1307C0191C}">
      <text>
        <r>
          <rPr>
            <b/>
            <sz val="10"/>
            <color rgb="FF000000"/>
            <rFont val="Tahoma"/>
            <family val="2"/>
          </rPr>
          <t>Keller, Zach:</t>
        </r>
        <r>
          <rPr>
            <sz val="10"/>
            <color rgb="FF000000"/>
            <rFont val="Tahoma"/>
            <family val="2"/>
          </rPr>
          <t xml:space="preserve">
Source: Spotrac NBA Team Tax Tracker, 2015–16 season (user screenshot), https://www.spotrac.com/nba/tax/_/year/2015/ . 'Tax Bill (Estimated)' column shows '-' (under the tax line) → 0.</t>
        </r>
      </text>
    </comment>
    <comment ref="B161" authorId="0" shapeId="0" xr:uid="{0B396EC2-DA96-A847-8231-D1696C120603}">
      <text>
        <r>
          <rPr>
            <b/>
            <sz val="10"/>
            <color rgb="FF000000"/>
            <rFont val="Tahoma"/>
            <family val="2"/>
          </rPr>
          <t>Keller, Zach:</t>
        </r>
        <r>
          <rPr>
            <sz val="10"/>
            <color rgb="FF000000"/>
            <rFont val="Tahoma"/>
            <family val="2"/>
          </rPr>
          <t xml:space="preserve">
Source: Spotrac NBA Team Tax Tracker, 2015–16 season (user screenshot), https://www.spotrac.com/nba/tax/_/year/2015/ . 'Salaries' column (tax payroll). Checked: Salaries + Space = 2015–16 tax line $84,740,000.</t>
        </r>
      </text>
    </comment>
    <comment ref="C161" authorId="0" shapeId="0" xr:uid="{0388E17E-A1A4-8D45-A909-094D9D3FB985}">
      <text>
        <r>
          <rPr>
            <b/>
            <sz val="10"/>
            <color rgb="FF000000"/>
            <rFont val="Tahoma"/>
            <family val="2"/>
          </rPr>
          <t>Keller, Zach:</t>
        </r>
        <r>
          <rPr>
            <sz val="10"/>
            <color rgb="FF000000"/>
            <rFont val="Tahoma"/>
            <family val="2"/>
          </rPr>
          <t xml:space="preserve">
Source: Spotrac NBA Team Tax Tracker, 2015–16 season (user screenshot), https://www.spotrac.com/nba/tax/_/year/2015/ . 'Tax Bill (Estimated)' column shows '-' (under the tax line) → 0.</t>
        </r>
      </text>
    </comment>
    <comment ref="B162" authorId="0" shapeId="0" xr:uid="{BA5A3151-F44E-A64A-8C9D-1EF5F4301623}">
      <text>
        <r>
          <rPr>
            <b/>
            <sz val="10"/>
            <color rgb="FF000000"/>
            <rFont val="Tahoma"/>
            <family val="2"/>
          </rPr>
          <t>Keller, Zach:</t>
        </r>
        <r>
          <rPr>
            <sz val="10"/>
            <color rgb="FF000000"/>
            <rFont val="Tahoma"/>
            <family val="2"/>
          </rPr>
          <t xml:space="preserve">
Source: Spotrac NBA Team Tax Tracker, 2015–16 season (user screenshot), https://www.spotrac.com/nba/tax/_/year/2015/ . 'Salaries' column (tax payroll). Checked: Salaries + Space = 2015–16 tax line $84,740,000.</t>
        </r>
      </text>
    </comment>
    <comment ref="C162" authorId="0" shapeId="0" xr:uid="{3AD40E8A-2C87-C64F-8FBE-AD8C220A16D5}">
      <text>
        <r>
          <rPr>
            <b/>
            <sz val="10"/>
            <color rgb="FF000000"/>
            <rFont val="Tahoma"/>
            <family val="2"/>
          </rPr>
          <t>Keller, Zach:</t>
        </r>
        <r>
          <rPr>
            <sz val="10"/>
            <color rgb="FF000000"/>
            <rFont val="Tahoma"/>
            <family val="2"/>
          </rPr>
          <t xml:space="preserve">
Source: Spotrac NBA Team Tax Tracker, 2015–16 season (user screenshot), https://www.spotrac.com/nba/tax/_/year/2015/ . 'Tax Bill (Estimated)' column shows '-' (under the tax line) → 0.</t>
        </r>
      </text>
    </comment>
    <comment ref="B163" authorId="0" shapeId="0" xr:uid="{8D9FDD8B-55CA-F64D-9920-71DA58A11FB0}">
      <text>
        <r>
          <rPr>
            <b/>
            <sz val="10"/>
            <color rgb="FF000000"/>
            <rFont val="Tahoma"/>
            <family val="2"/>
          </rPr>
          <t>Keller, Zach:</t>
        </r>
        <r>
          <rPr>
            <sz val="10"/>
            <color rgb="FF000000"/>
            <rFont val="Tahoma"/>
            <family val="2"/>
          </rPr>
          <t xml:space="preserve">
Source: Spotrac NBA Team Tax Tracker, 2015–16 season (user screenshot), https://www.spotrac.com/nba/tax/_/year/2015/ . 'Salaries' column (tax payroll). Checked: Salaries + Space = 2015–16 tax line $84,740,000.</t>
        </r>
      </text>
    </comment>
    <comment ref="C163" authorId="0" shapeId="0" xr:uid="{25440204-ACD2-C943-9353-C916BF3308F6}">
      <text>
        <r>
          <rPr>
            <b/>
            <sz val="10"/>
            <color rgb="FF000000"/>
            <rFont val="Tahoma"/>
            <family val="2"/>
          </rPr>
          <t>Keller, Zach:</t>
        </r>
        <r>
          <rPr>
            <sz val="10"/>
            <color rgb="FF000000"/>
            <rFont val="Tahoma"/>
            <family val="2"/>
          </rPr>
          <t xml:space="preserve">
Source: Spotrac NBA Team Tax Tracker, 2015–16 season (user screenshot), https://www.spotrac.com/nba/tax/_/year/2015/ . 'Tax Bill (Estimated)' column — Spotrac ESTIMATE, not a confirmed payment.</t>
        </r>
      </text>
    </comment>
    <comment ref="B164" authorId="0" shapeId="0" xr:uid="{EF662A15-0722-D144-9F07-DF87A66AF148}">
      <text>
        <r>
          <rPr>
            <b/>
            <sz val="10"/>
            <color rgb="FF000000"/>
            <rFont val="Tahoma"/>
            <family val="2"/>
          </rPr>
          <t>Keller, Zach:</t>
        </r>
        <r>
          <rPr>
            <sz val="10"/>
            <color rgb="FF000000"/>
            <rFont val="Tahoma"/>
            <family val="2"/>
          </rPr>
          <t xml:space="preserve">
Source: Spotrac NBA Team Tax Tracker, 2015–16 season (user screenshot), https://www.spotrac.com/nba/tax/_/year/2015/ . 'Salaries' column (tax payroll). Checked: Salaries + Space = 2015–16 tax line $84,740,000.</t>
        </r>
      </text>
    </comment>
    <comment ref="C164" authorId="0" shapeId="0" xr:uid="{17F4E429-BC2A-9248-8805-DD3B0AE823F9}">
      <text>
        <r>
          <rPr>
            <b/>
            <sz val="10"/>
            <color rgb="FF000000"/>
            <rFont val="Tahoma"/>
            <family val="2"/>
          </rPr>
          <t>Keller, Zach:</t>
        </r>
        <r>
          <rPr>
            <sz val="10"/>
            <color rgb="FF000000"/>
            <rFont val="Tahoma"/>
            <family val="2"/>
          </rPr>
          <t xml:space="preserve">
Source: Spotrac NBA Team Tax Tracker, 2015–16 season (user screenshot), https://www.spotrac.com/nba/tax/_/year/2015/ . 'Tax Bill (Estimated)' column shows '-' (under the tax line) → 0.</t>
        </r>
      </text>
    </comment>
    <comment ref="B165" authorId="0" shapeId="0" xr:uid="{E40D4486-A9A8-2948-8B6F-EDDA1DCC15F0}">
      <text>
        <r>
          <rPr>
            <b/>
            <sz val="10"/>
            <color rgb="FF000000"/>
            <rFont val="Tahoma"/>
            <family val="2"/>
          </rPr>
          <t>Keller, Zach:</t>
        </r>
        <r>
          <rPr>
            <sz val="10"/>
            <color rgb="FF000000"/>
            <rFont val="Tahoma"/>
            <family val="2"/>
          </rPr>
          <t xml:space="preserve">
Source: Spotrac NBA Team Tax Tracker, 2015–16 season (user screenshot), https://www.spotrac.com/nba/tax/_/year/2015/ . 'Salaries' column (tax payroll). Checked: Salaries + Space = 2015–16 tax line $84,740,000.</t>
        </r>
      </text>
    </comment>
    <comment ref="C165" authorId="0" shapeId="0" xr:uid="{B2CD4556-B15F-F74B-8373-CF076CB2840F}">
      <text>
        <r>
          <rPr>
            <b/>
            <sz val="10"/>
            <color rgb="FF000000"/>
            <rFont val="Tahoma"/>
            <family val="2"/>
          </rPr>
          <t>Keller, Zach:</t>
        </r>
        <r>
          <rPr>
            <sz val="10"/>
            <color rgb="FF000000"/>
            <rFont val="Tahoma"/>
            <family val="2"/>
          </rPr>
          <t xml:space="preserve">
Source: Spotrac NBA Team Tax Tracker, 2015–16 season (user screenshot), https://www.spotrac.com/nba/tax/_/year/2015/ . 'Tax Bill (Estimated)' column shows '-' (under the tax line) → 0.</t>
        </r>
      </text>
    </comment>
    <comment ref="B166" authorId="0" shapeId="0" xr:uid="{4BDF314C-4386-2843-94A0-0471BB967EA5}">
      <text>
        <r>
          <rPr>
            <b/>
            <sz val="10"/>
            <color rgb="FF000000"/>
            <rFont val="Tahoma"/>
            <family val="2"/>
          </rPr>
          <t>Keller, Zach:</t>
        </r>
        <r>
          <rPr>
            <sz val="10"/>
            <color rgb="FF000000"/>
            <rFont val="Tahoma"/>
            <family val="2"/>
          </rPr>
          <t xml:space="preserve">
Source: Spotrac NBA Team Tax Tracker, 2015–16 season (user screenshot), https://www.spotrac.com/nba/tax/_/year/2015/ . 'Salaries' column (tax payroll). Checked: Salaries + Space = 2015–16 tax line $84,740,000.</t>
        </r>
      </text>
    </comment>
    <comment ref="C166" authorId="0" shapeId="0" xr:uid="{753B9E08-0A1B-B745-9010-4D3B7298310B}">
      <text>
        <r>
          <rPr>
            <b/>
            <sz val="10"/>
            <color rgb="FF000000"/>
            <rFont val="Tahoma"/>
            <family val="2"/>
          </rPr>
          <t>Keller, Zach:</t>
        </r>
        <r>
          <rPr>
            <sz val="10"/>
            <color rgb="FF000000"/>
            <rFont val="Tahoma"/>
            <family val="2"/>
          </rPr>
          <t xml:space="preserve">
Source: Spotrac NBA Team Tax Tracker, 2015–16 season (user screenshot), https://www.spotrac.com/nba/tax/_/year/2015/ . 'Tax Bill (Estimated)' column shows '-' (under the tax line) → 0.</t>
        </r>
      </text>
    </comment>
    <comment ref="B167" authorId="0" shapeId="0" xr:uid="{BB277A4F-918C-E445-A397-030CD6A4CBE3}">
      <text>
        <r>
          <rPr>
            <b/>
            <sz val="10"/>
            <color rgb="FF000000"/>
            <rFont val="Tahoma"/>
            <family val="2"/>
          </rPr>
          <t>Keller, Zach:</t>
        </r>
        <r>
          <rPr>
            <sz val="10"/>
            <color rgb="FF000000"/>
            <rFont val="Tahoma"/>
            <family val="2"/>
          </rPr>
          <t xml:space="preserve">
Source: Spotrac NBA Team Tax Tracker, 2015–16 season (user screenshot), https://www.spotrac.com/nba/tax/_/year/2015/ . 'Salaries' column (tax payroll). Checked: Salaries + Space = 2015–16 tax line $84,740,000.</t>
        </r>
      </text>
    </comment>
    <comment ref="C167" authorId="0" shapeId="0" xr:uid="{D8422148-F8C8-4E4D-B4F4-07A1D6D991D4}">
      <text>
        <r>
          <rPr>
            <b/>
            <sz val="10"/>
            <color rgb="FF000000"/>
            <rFont val="Tahoma"/>
            <family val="2"/>
          </rPr>
          <t>Keller, Zach:</t>
        </r>
        <r>
          <rPr>
            <sz val="10"/>
            <color rgb="FF000000"/>
            <rFont val="Tahoma"/>
            <family val="2"/>
          </rPr>
          <t xml:space="preserve">
Source: Spotrac NBA Team Tax Tracker, 2015–16 season (user screenshot), https://www.spotrac.com/nba/tax/_/year/2015/ . 'Tax Bill (Estimated)' column shows '-' (under the tax line) → 0.</t>
        </r>
      </text>
    </comment>
    <comment ref="B168" authorId="0" shapeId="0" xr:uid="{155DD699-40DB-FE41-BCA9-48A47E176DEE}">
      <text>
        <r>
          <rPr>
            <b/>
            <sz val="10"/>
            <color rgb="FF000000"/>
            <rFont val="Tahoma"/>
            <family val="2"/>
          </rPr>
          <t>Keller, Zach:</t>
        </r>
        <r>
          <rPr>
            <sz val="10"/>
            <color rgb="FF000000"/>
            <rFont val="Tahoma"/>
            <family val="2"/>
          </rPr>
          <t xml:space="preserve">
Source: Spotrac NBA Team Tax Tracker, 2015–16 season (user screenshot), https://www.spotrac.com/nba/tax/_/year/2015/ . 'Salaries' column (tax payroll). Checked: Salaries + Space = 2015–16 tax line $84,740,000.</t>
        </r>
      </text>
    </comment>
    <comment ref="C168" authorId="0" shapeId="0" xr:uid="{528E1B5A-51AA-6A42-92FC-6B3442C0CC4A}">
      <text>
        <r>
          <rPr>
            <b/>
            <sz val="10"/>
            <color rgb="FF000000"/>
            <rFont val="Tahoma"/>
            <family val="2"/>
          </rPr>
          <t>Keller, Zach:</t>
        </r>
        <r>
          <rPr>
            <sz val="10"/>
            <color rgb="FF000000"/>
            <rFont val="Tahoma"/>
            <family val="2"/>
          </rPr>
          <t xml:space="preserve">
Source: Spotrac NBA Team Tax Tracker, 2015–16 season (user screenshot), https://www.spotrac.com/nba/tax/_/year/2015/ . 'Tax Bill (Estimated)' column shows '-' (under the tax line) → 0.</t>
        </r>
      </text>
    </comment>
    <comment ref="B169" authorId="0" shapeId="0" xr:uid="{400B449B-E6E7-6A47-8E3E-6151C5432321}">
      <text>
        <r>
          <rPr>
            <b/>
            <sz val="10"/>
            <color rgb="FF000000"/>
            <rFont val="Tahoma"/>
            <family val="2"/>
          </rPr>
          <t>Keller, Zach:</t>
        </r>
        <r>
          <rPr>
            <sz val="10"/>
            <color rgb="FF000000"/>
            <rFont val="Tahoma"/>
            <family val="2"/>
          </rPr>
          <t xml:space="preserve">
Source: Spotrac NBA Team Tax Tracker, 2015–16 season (user screenshot), https://www.spotrac.com/nba/tax/_/year/2015/ . 'Salaries' column (tax payroll). Checked: Salaries + Space = 2015–16 tax line $84,740,000.</t>
        </r>
      </text>
    </comment>
    <comment ref="C169" authorId="0" shapeId="0" xr:uid="{B1DA2537-9AE3-6C42-BF86-FD6849381789}">
      <text>
        <r>
          <rPr>
            <b/>
            <sz val="10"/>
            <color rgb="FF000000"/>
            <rFont val="Tahoma"/>
            <family val="2"/>
          </rPr>
          <t>Keller, Zach:</t>
        </r>
        <r>
          <rPr>
            <sz val="10"/>
            <color rgb="FF000000"/>
            <rFont val="Tahoma"/>
            <family val="2"/>
          </rPr>
          <t xml:space="preserve">
Source: Spotrac NBA Team Tax Tracker, 2015–16 season (user screenshot), https://www.spotrac.com/nba/tax/_/year/2015/ . 'Tax Bill (Estimated)' column — Spotrac ESTIMATE, not a confirmed payment.</t>
        </r>
      </text>
    </comment>
    <comment ref="B170" authorId="0" shapeId="0" xr:uid="{6FA2EBC2-0665-2442-A7F3-B5F488342318}">
      <text>
        <r>
          <rPr>
            <b/>
            <sz val="10"/>
            <color rgb="FF000000"/>
            <rFont val="Tahoma"/>
            <family val="2"/>
          </rPr>
          <t>Keller, Zach:</t>
        </r>
        <r>
          <rPr>
            <sz val="10"/>
            <color rgb="FF000000"/>
            <rFont val="Tahoma"/>
            <family val="2"/>
          </rPr>
          <t xml:space="preserve">
Source: Spotrac NBA Team Tax Tracker, 2015–16 season (user screenshot), https://www.spotrac.com/nba/tax/_/year/2015/ . 'Salaries' column (tax payroll). Checked: Salaries + Space = 2015–16 tax line $84,740,000.</t>
        </r>
      </text>
    </comment>
    <comment ref="C170" authorId="0" shapeId="0" xr:uid="{D33B0366-33B2-C447-BD6B-71B7681526E2}">
      <text>
        <r>
          <rPr>
            <b/>
            <sz val="10"/>
            <color rgb="FF000000"/>
            <rFont val="Tahoma"/>
            <family val="2"/>
          </rPr>
          <t>Keller, Zach:</t>
        </r>
        <r>
          <rPr>
            <sz val="10"/>
            <color rgb="FF000000"/>
            <rFont val="Tahoma"/>
            <family val="2"/>
          </rPr>
          <t xml:space="preserve">
Source: Spotrac NBA Team Tax Tracker, 2015–16 season (user screenshot), https://www.spotrac.com/nba/tax/_/year/2015/ . 'Tax Bill (Estimated)' column shows '-' (under the tax line) → 0.</t>
        </r>
      </text>
    </comment>
    <comment ref="B171" authorId="0" shapeId="0" xr:uid="{66A4CCF3-0B24-C841-A5A0-D2951A1C5A2A}">
      <text>
        <r>
          <rPr>
            <b/>
            <sz val="10"/>
            <color rgb="FF000000"/>
            <rFont val="Tahoma"/>
            <family val="2"/>
          </rPr>
          <t>Keller, Zach:</t>
        </r>
        <r>
          <rPr>
            <sz val="10"/>
            <color rgb="FF000000"/>
            <rFont val="Tahoma"/>
            <family val="2"/>
          </rPr>
          <t xml:space="preserve">
Source: Spotrac NBA Team Tax Tracker, 2015–16 season (user screenshot), https://www.spotrac.com/nba/tax/_/year/2015/ . 'Salaries' column (tax payroll). Checked: Salaries + Space = 2015–16 tax line $84,740,000.</t>
        </r>
      </text>
    </comment>
    <comment ref="C171" authorId="0" shapeId="0" xr:uid="{BAA752E9-B73F-F94B-A40F-490B84DE3D51}">
      <text>
        <r>
          <rPr>
            <b/>
            <sz val="10"/>
            <color rgb="FF000000"/>
            <rFont val="Tahoma"/>
            <family val="2"/>
          </rPr>
          <t>Keller, Zach:</t>
        </r>
        <r>
          <rPr>
            <sz val="10"/>
            <color rgb="FF000000"/>
            <rFont val="Tahoma"/>
            <family val="2"/>
          </rPr>
          <t xml:space="preserve">
Source: Spotrac NBA Team Tax Tracker, 2015–16 season (user screenshot), https://www.spotrac.com/nba/tax/_/year/2015/ . 'Tax Bill (Estimated)' column shows '-' (under the tax line) → 0.</t>
        </r>
      </text>
    </comment>
    <comment ref="B172" authorId="0" shapeId="0" xr:uid="{89C030F9-0B8B-1D41-BAC9-45C4284A9B86}">
      <text>
        <r>
          <rPr>
            <b/>
            <sz val="10"/>
            <color rgb="FF000000"/>
            <rFont val="Tahoma"/>
            <family val="2"/>
          </rPr>
          <t>Keller, Zach:</t>
        </r>
        <r>
          <rPr>
            <sz val="10"/>
            <color rgb="FF000000"/>
            <rFont val="Tahoma"/>
            <family val="2"/>
          </rPr>
          <t xml:space="preserve">
Source: Spotrac NBA Team Tax Tracker, 2015–16 season (user screenshot), https://www.spotrac.com/nba/tax/_/year/2015/ . 'Salaries' column (tax payroll). Checked: Salaries + Space = 2015–16 tax line $84,740,000.</t>
        </r>
      </text>
    </comment>
    <comment ref="C172" authorId="0" shapeId="0" xr:uid="{25756F62-D464-B34D-8501-E8C508D15428}">
      <text>
        <r>
          <rPr>
            <b/>
            <sz val="10"/>
            <color rgb="FF000000"/>
            <rFont val="Tahoma"/>
            <family val="2"/>
          </rPr>
          <t>Keller, Zach:</t>
        </r>
        <r>
          <rPr>
            <sz val="10"/>
            <color rgb="FF000000"/>
            <rFont val="Tahoma"/>
            <family val="2"/>
          </rPr>
          <t xml:space="preserve">
Source: Spotrac NBA Team Tax Tracker, 2015–16 season (user screenshot), https://www.spotrac.com/nba/tax/_/year/2015/ . 'Tax Bill (Estimated)' column shows '-' (under the tax line) → 0.</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Keller, Zach</author>
  </authors>
  <commentList>
    <comment ref="B6" authorId="0" shapeId="0" xr:uid="{72FFAD93-C0D1-F74F-AECB-1F0D601B393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6" authorId="0" shapeId="0" xr:uid="{C76F3B84-7642-F043-8052-C60DC73BDB3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6" authorId="0" shapeId="0" xr:uid="{33F78DF6-D780-B242-AD4D-C5BE78D513D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6" authorId="0" shapeId="0" xr:uid="{DB698C9A-9841-FF44-98C5-B6AF55EEF27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6" authorId="0" shapeId="0" xr:uid="{ED7EEEAA-AF69-2C4F-BA54-082DD9705CF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6" authorId="0" shapeId="0" xr:uid="{71856ABE-ED6A-224D-B9B9-66D79B3C106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6" authorId="0" shapeId="0" xr:uid="{C1B07F09-204D-BF46-838D-F3720874690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6" authorId="0" shapeId="0" xr:uid="{965F9992-6E0A-8048-AB38-C6C1B14DBE9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6" authorId="0" shapeId="0" xr:uid="{07B6BD73-D479-1141-A265-53419287E92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6" authorId="0" shapeId="0" xr:uid="{ECA9D1B6-FBA1-4A40-A015-9CE3FCB8B67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7" authorId="0" shapeId="0" xr:uid="{CCE56037-A530-5A42-802E-14F55F3D7FE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7" authorId="0" shapeId="0" xr:uid="{8CD90D30-02DE-E248-80BE-6D62B04A9C8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7" authorId="0" shapeId="0" xr:uid="{7A897D53-C4C1-544B-9320-A4536AAA85E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7" authorId="0" shapeId="0" xr:uid="{23FD17EF-59B5-D848-BC3A-0535BD4F692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7" authorId="0" shapeId="0" xr:uid="{4D2951C2-4906-E04A-B72C-DB3BFBEE0D0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7" authorId="0" shapeId="0" xr:uid="{89ABBB81-64AE-E14F-B8A1-7B75B9FAC4D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7" authorId="0" shapeId="0" xr:uid="{A08ACC33-DDF9-EA4B-AC59-01A9C67274E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7" authorId="0" shapeId="0" xr:uid="{96F6905D-5B19-B149-9844-3CAE9CD888A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7" authorId="0" shapeId="0" xr:uid="{165B3F3A-14E3-FA4B-B7D4-C89129E761E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7" authorId="0" shapeId="0" xr:uid="{EBDB651C-F219-174D-B43C-3778D717610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8" authorId="0" shapeId="0" xr:uid="{8FDD615F-BDD5-3C4B-9B70-A8FC82A2A7E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8" authorId="0" shapeId="0" xr:uid="{799C76E9-51C3-A44C-8D55-DF278A26575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8" authorId="0" shapeId="0" xr:uid="{62C75E6D-8B96-1B48-91FD-5A5D10ABFE6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8" authorId="0" shapeId="0" xr:uid="{80FBD60B-41A8-7340-ADE5-5B61D36C61C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8" authorId="0" shapeId="0" xr:uid="{F82572AE-07B0-1E4E-82FA-47698090F03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8" authorId="0" shapeId="0" xr:uid="{EF0A13E6-1F83-1F40-BCB0-B95170CA3A8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8" authorId="0" shapeId="0" xr:uid="{30D1E0F6-8403-DB4C-B96D-B550B5ECC53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8" authorId="0" shapeId="0" xr:uid="{385F8608-4023-AA4E-8C69-9066C04807C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8" authorId="0" shapeId="0" xr:uid="{5500FE2E-985B-0248-B63A-11A9F48ABF6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8" authorId="0" shapeId="0" xr:uid="{14A0F6FC-1630-A246-88CC-799FDA30F62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9" authorId="0" shapeId="0" xr:uid="{0F741A6C-7AAB-B54D-8833-811E8EF0B3E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9" authorId="0" shapeId="0" xr:uid="{5E61E5B4-DA41-2541-B1CA-8384CF461F3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9" authorId="0" shapeId="0" xr:uid="{2824E3FE-8A5A-004D-A910-E2B03CA75E0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9" authorId="0" shapeId="0" xr:uid="{D160BF33-CB62-6A4D-8260-9478ABDC593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9" authorId="0" shapeId="0" xr:uid="{3C4CB9D2-C67D-F741-B0E1-85BB887C4CD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9" authorId="0" shapeId="0" xr:uid="{1FEBBF56-BE13-3744-85FE-98A2847FF99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9" authorId="0" shapeId="0" xr:uid="{6DC4D6AC-8030-F04F-A91C-5549629EDE7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9" authorId="0" shapeId="0" xr:uid="{78D2AE28-3080-2449-A554-E50376006F3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9" authorId="0" shapeId="0" xr:uid="{C5127B68-67C9-234B-AABF-B6A30AB5734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9" authorId="0" shapeId="0" xr:uid="{CC079513-D468-6348-8554-A974F8AEE7C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0" authorId="0" shapeId="0" xr:uid="{ABEB2F4B-EAAE-1440-9118-919D68C499B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0" authorId="0" shapeId="0" xr:uid="{72A39BC6-F06A-BB48-80DD-C913F1E6FBD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0" authorId="0" shapeId="0" xr:uid="{98255020-3B85-3747-B067-3D5E7C2C120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0" authorId="0" shapeId="0" xr:uid="{EED50752-1D8C-5B4A-91B8-DD38AC76FAE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0" authorId="0" shapeId="0" xr:uid="{A32FCC22-3A2D-A746-AF28-CA3BC2180BE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0" authorId="0" shapeId="0" xr:uid="{1907E800-29EF-5946-A253-6AFE2212209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0" authorId="0" shapeId="0" xr:uid="{15C029E8-D262-504F-95FC-4B4B996B7D8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0" authorId="0" shapeId="0" xr:uid="{2A6BF63B-9EB7-2D49-9C80-0CA1EADE6AE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0" authorId="0" shapeId="0" xr:uid="{8B0B7DA9-6ED7-7B44-9E41-8E4D03A7800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0" authorId="0" shapeId="0" xr:uid="{4A88E584-0DF2-5C41-AC64-3D2ACE18EFA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1" authorId="0" shapeId="0" xr:uid="{9C532F4F-CD54-B347-8436-CF4BA53F7EA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1" authorId="0" shapeId="0" xr:uid="{6094F4F8-EFAD-6049-BEC5-297426234DB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1" authorId="0" shapeId="0" xr:uid="{DE646F69-7FF8-3C4B-B929-3F5230D462F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1" authorId="0" shapeId="0" xr:uid="{B940E8CD-263B-6F41-90F4-7FF25D6A6C9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1" authorId="0" shapeId="0" xr:uid="{39501DB4-6012-1242-A0D1-9CE92B7B612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1" authorId="0" shapeId="0" xr:uid="{84227794-942C-DC4C-B694-DC49193A7126}">
      <text>
        <r>
          <rPr>
            <b/>
            <sz val="10"/>
            <color rgb="FF000000"/>
            <rFont val="Tahoma"/>
            <family val="2"/>
          </rPr>
          <t>Keller, Zach:</t>
        </r>
        <r>
          <rPr>
            <sz val="10"/>
            <color rgb="FF000000"/>
            <rFont val="Tahoma"/>
            <family val="2"/>
          </rPr>
          <t xml:space="preserve">
</t>
        </r>
        <r>
          <rPr>
            <sz val="10"/>
            <color rgb="FF000000"/>
            <rFont val="Tahoma"/>
            <family val="2"/>
          </rPr>
          <t>Source: ChampsOrChumps.us (secondary site; season standings &amp; playoff results), https://champsorchumps.us/summary/nba/2022</t>
        </r>
      </text>
    </comment>
    <comment ref="H11" authorId="0" shapeId="0" xr:uid="{7D28F1DD-22ED-EA4A-BBCA-5EF5733D1A4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1" authorId="0" shapeId="0" xr:uid="{2CBCA4A0-C68B-6141-B09F-3440AC4AD9F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1" authorId="0" shapeId="0" xr:uid="{0088A630-D4EB-1C4D-90EE-74EEE5FE102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1" authorId="0" shapeId="0" xr:uid="{56B3B45A-03B0-A644-8049-9F0DF9D7B35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2" authorId="0" shapeId="0" xr:uid="{79A5DF42-6F24-6A40-A02B-D5E7BB21731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2" authorId="0" shapeId="0" xr:uid="{795866C3-44D4-A44D-9CF6-B105F01782A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2" authorId="0" shapeId="0" xr:uid="{80159B0D-97FE-DC45-9C52-739EE7B2245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2" authorId="0" shapeId="0" xr:uid="{C7A1196B-6589-E843-B73B-4EFBCC14F22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2" authorId="0" shapeId="0" xr:uid="{24BDBF11-FAF2-854C-8C20-15BD509E0FF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2" authorId="0" shapeId="0" xr:uid="{72E4814B-5BE8-0240-A1A6-E8D7F632FC1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2" authorId="0" shapeId="0" xr:uid="{FA816F88-BE80-BA4D-AB5B-02571D31A52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2" authorId="0" shapeId="0" xr:uid="{DC33139A-F47C-0149-91FC-08BD3EF4DB9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2" authorId="0" shapeId="0" xr:uid="{8BF06CF3-E77E-3F44-AE83-77F1904D2E9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2" authorId="0" shapeId="0" xr:uid="{41BE0ADC-D037-8440-A313-0CC7A956B16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3" authorId="0" shapeId="0" xr:uid="{D48B8F8F-30ED-D943-9254-595745702D4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3" authorId="0" shapeId="0" xr:uid="{B41A9283-806F-4847-A662-05D18CBE584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3" authorId="0" shapeId="0" xr:uid="{8B4770D0-1596-094E-B918-E9B7700C37A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3" authorId="0" shapeId="0" xr:uid="{A0EF912E-3845-2F47-B734-FFA777CA915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3" authorId="0" shapeId="0" xr:uid="{89D0E7F5-84D2-044A-9A7B-B526C26F4CF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3" authorId="0" shapeId="0" xr:uid="{BA271E6E-1591-C14E-B112-98C8EC790D3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3" authorId="0" shapeId="0" xr:uid="{18B41D36-118C-8443-B8F4-13C67FBA4CB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3" authorId="0" shapeId="0" xr:uid="{DE3D441B-D476-7644-82FE-127DA75FA4F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3" authorId="0" shapeId="0" xr:uid="{182356A6-D9EF-DB43-BDC3-5E993E36751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3" authorId="0" shapeId="0" xr:uid="{4BC1A720-4E94-DF47-A8D0-4E5FC62A06A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4" authorId="0" shapeId="0" xr:uid="{D50DB676-A0BA-AB4C-BE11-F7E38F1F790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4" authorId="0" shapeId="0" xr:uid="{C14EA0F2-472E-4A49-89C7-A3DEB4554BA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4" authorId="0" shapeId="0" xr:uid="{E3B431B4-9165-9C45-A3C7-24D0FCE0AB4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4" authorId="0" shapeId="0" xr:uid="{583CAF6F-9F3D-534C-B0B8-CE08396946C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4" authorId="0" shapeId="0" xr:uid="{89CEA486-FAB8-D648-8C30-063EABECEA6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4" authorId="0" shapeId="0" xr:uid="{074FA7DF-EBE8-064B-BA5E-9333E2F2F6D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4" authorId="0" shapeId="0" xr:uid="{43504551-1F95-5C4D-A729-149B975AEC4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4" authorId="0" shapeId="0" xr:uid="{234420E4-5CE9-1F4F-97BB-E660C6ADBC9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4" authorId="0" shapeId="0" xr:uid="{80743959-505B-DA48-B462-E7B53F283CC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4" authorId="0" shapeId="0" xr:uid="{6C2ADD86-BE33-A544-A564-3BDF207DFEF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5" authorId="0" shapeId="0" xr:uid="{C25A83D1-806C-4945-845D-F058754414B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5" authorId="0" shapeId="0" xr:uid="{102A68AF-FFAE-3D4B-BA54-15519059B28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5" authorId="0" shapeId="0" xr:uid="{EAEA55A7-3EFA-1F40-BE74-80618907DA0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5" authorId="0" shapeId="0" xr:uid="{E99BB4ED-61B3-B248-9923-6CBE22479F5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5" authorId="0" shapeId="0" xr:uid="{F8FD5243-0129-0F41-A767-AEDC395A20D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5" authorId="0" shapeId="0" xr:uid="{E80D7830-A6FA-AB4E-8FEE-758A09E2C45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5" authorId="0" shapeId="0" xr:uid="{4AF51D4C-C62F-C44C-A3DC-149126958D5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5" authorId="0" shapeId="0" xr:uid="{1441ECCF-0ACB-0840-964F-1D1E9978980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5" authorId="0" shapeId="0" xr:uid="{09FBD8E6-28BF-8048-BA22-98FFBB2EFAB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5" authorId="0" shapeId="0" xr:uid="{6404E659-B485-9E41-9184-69B874AC464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6" authorId="0" shapeId="0" xr:uid="{A0E470EE-5890-B240-98EE-037236B1961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6" authorId="0" shapeId="0" xr:uid="{5911A85A-FE85-F14E-8B35-A2D127C52A5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6" authorId="0" shapeId="0" xr:uid="{53D918CD-6569-5840-B407-2B9EC3E95AA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6" authorId="0" shapeId="0" xr:uid="{18D9FA92-2647-934D-8427-3C10171DE28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6" authorId="0" shapeId="0" xr:uid="{BC265F1C-D531-5D43-973C-9C939A41DFC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6" authorId="0" shapeId="0" xr:uid="{D6C18B43-A9EB-7845-A7E8-D59539BC1CC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6" authorId="0" shapeId="0" xr:uid="{CFF79751-0AC6-E143-B163-214ED4C1F87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6" authorId="0" shapeId="0" xr:uid="{577FC387-F3C8-6247-9625-1A5182F3302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6" authorId="0" shapeId="0" xr:uid="{2886FE4B-EFD5-9449-91B6-87E170ADFFA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6" authorId="0" shapeId="0" xr:uid="{1B482B76-1303-6D43-9FDF-835CCEF4A4B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7" authorId="0" shapeId="0" xr:uid="{5B363D4A-CC6D-244C-A237-7843665BE36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7" authorId="0" shapeId="0" xr:uid="{F79BA1B7-4C0F-8A4A-A796-6A46BB44DD3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7" authorId="0" shapeId="0" xr:uid="{5E04FA1B-8A11-1545-ADC5-063C2E36B59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7" authorId="0" shapeId="0" xr:uid="{6701C568-1212-F149-8302-2BE7011047A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7" authorId="0" shapeId="0" xr:uid="{8E7059D5-005E-514A-A998-53F97E5A281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7" authorId="0" shapeId="0" xr:uid="{EDF4C800-EFB0-CB4C-BE73-44B9D3DC83F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7" authorId="0" shapeId="0" xr:uid="{432B416F-FA4F-D545-BA67-C38FF9DB3C2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7" authorId="0" shapeId="0" xr:uid="{6C095EC8-9186-8040-8137-9BFB7795AEC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7" authorId="0" shapeId="0" xr:uid="{7676074E-A73B-994B-AE53-DE5E2CE6581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7" authorId="0" shapeId="0" xr:uid="{D937B1DC-93CD-3C45-B0CE-42649211BC5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8" authorId="0" shapeId="0" xr:uid="{567DCC7B-1198-9C4E-940F-6EB0107EA3F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8" authorId="0" shapeId="0" xr:uid="{000F4588-045A-674C-8116-ABE6E0159C3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8" authorId="0" shapeId="0" xr:uid="{281D4B1F-5E62-0D4B-97E1-A024DB25111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8" authorId="0" shapeId="0" xr:uid="{E8CA2460-5172-DC4B-9BF2-E1B2ABFB53B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8" authorId="0" shapeId="0" xr:uid="{92E08E5E-911A-FD49-A974-32A3935157A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8" authorId="0" shapeId="0" xr:uid="{CA62591A-4003-3140-9CED-D4A00DA1E24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8" authorId="0" shapeId="0" xr:uid="{C85D4472-C488-7647-BE7A-C83A19968DF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8" authorId="0" shapeId="0" xr:uid="{30B79A50-F8F2-8040-B5FC-FB42DDFC52B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8" authorId="0" shapeId="0" xr:uid="{21D4DF53-F2F8-D644-A94B-961755694DE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8" authorId="0" shapeId="0" xr:uid="{9C05CB51-6C88-7949-A546-40CFBD597F5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9" authorId="0" shapeId="0" xr:uid="{61BDFD3A-85ED-FD4D-A61F-DC2085E75E2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9" authorId="0" shapeId="0" xr:uid="{C86ACF5F-3A23-6C47-BF86-A19D4282804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9" authorId="0" shapeId="0" xr:uid="{C231365E-911F-C942-B5EE-F9A51CCB266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9" authorId="0" shapeId="0" xr:uid="{743766C4-DD8B-8A47-B2A8-99794C1A46C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9" authorId="0" shapeId="0" xr:uid="{A916C7D4-A447-154C-B9FF-954B0796906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9" authorId="0" shapeId="0" xr:uid="{14705BBC-1B43-0F47-AD45-3255E750444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9" authorId="0" shapeId="0" xr:uid="{6A316DEC-ACC3-6E40-9DAD-5D6965F9E37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9" authorId="0" shapeId="0" xr:uid="{A57BA5C4-0B28-C441-BBC5-2BDF7659DB7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9" authorId="0" shapeId="0" xr:uid="{610A1890-F768-F042-86D5-D620B834D8B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9" authorId="0" shapeId="0" xr:uid="{FD3DBC00-2B22-804B-B99E-EC0E9A63CA3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20" authorId="0" shapeId="0" xr:uid="{BF79BE1B-B0D7-5547-AB28-FD175438F94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20" authorId="0" shapeId="0" xr:uid="{66F19461-BDC4-6249-8408-4A7897EC833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20" authorId="0" shapeId="0" xr:uid="{C42F1FC8-07D0-E141-A703-2366C9A3B15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20" authorId="0" shapeId="0" xr:uid="{87DE9FB2-B242-A341-94A6-E9F0EC82925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20" authorId="0" shapeId="0" xr:uid="{DF0D50FE-D183-7F4F-BF02-A674F3EC8C9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20" authorId="0" shapeId="0" xr:uid="{FD7CAEA7-EF24-8F4E-9EF6-772EC0B1AFE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20" authorId="0" shapeId="0" xr:uid="{6F8929B1-B0AA-9240-AD91-D2E72ED3D90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20" authorId="0" shapeId="0" xr:uid="{F113331F-615E-4741-AA68-005F434CDCA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20" authorId="0" shapeId="0" xr:uid="{5974699F-5127-6A47-BC39-AFFB7091F2B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20" authorId="0" shapeId="0" xr:uid="{7378AB74-B01B-A548-B7FF-4CC37B05018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21" authorId="0" shapeId="0" xr:uid="{08B166B4-433D-F544-9078-485A8DF45A1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21" authorId="0" shapeId="0" xr:uid="{036C9184-51D8-9D4E-A266-CC82E7A1EAE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21" authorId="0" shapeId="0" xr:uid="{36D8E61D-6A8C-4747-B5E0-F62546B556C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21" authorId="0" shapeId="0" xr:uid="{03AE58EF-BDF3-BA44-8DC7-014DFFB791E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21" authorId="0" shapeId="0" xr:uid="{CC12DB87-D1C3-BF40-9917-7703ADCFF94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21" authorId="0" shapeId="0" xr:uid="{41F8EF3A-CA60-5C4A-981C-D4860D09E52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21" authorId="0" shapeId="0" xr:uid="{66AD13F9-8595-C543-B7FA-75FD7EE2A4F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21" authorId="0" shapeId="0" xr:uid="{78B229F7-0A41-AB48-AE16-66CBBD1A199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21" authorId="0" shapeId="0" xr:uid="{A9AFC8ED-8AF1-D94C-90BF-CEE44B2E021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21" authorId="0" shapeId="0" xr:uid="{1071456C-858D-E442-8DE2-E2ED7F8DF12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22" authorId="0" shapeId="0" xr:uid="{71736DD0-46F1-974D-9F7E-E714BC21BFF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22" authorId="0" shapeId="0" xr:uid="{34EC6E34-0DE1-E04E-A8AA-82307146A92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22" authorId="0" shapeId="0" xr:uid="{6643B748-FF6F-FE41-BB2D-169C644280D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22" authorId="0" shapeId="0" xr:uid="{B04D34E3-2EB2-0348-91B7-9A97712FC49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22" authorId="0" shapeId="0" xr:uid="{839E7ABD-A5A3-ED4F-B169-241066CE279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22" authorId="0" shapeId="0" xr:uid="{9D674F91-8A98-3247-8990-C0C78E3C0F4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22" authorId="0" shapeId="0" xr:uid="{194170FF-6759-A944-8E92-B32E970590E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22" authorId="0" shapeId="0" xr:uid="{59AA2190-7C7E-EB44-9663-2B6352F61E4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22" authorId="0" shapeId="0" xr:uid="{4BC6885E-824E-F649-9BE2-1B1104445EA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22" authorId="0" shapeId="0" xr:uid="{9F25B839-9077-9840-80F5-4F4410CF66C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23" authorId="0" shapeId="0" xr:uid="{8D3AB994-DF9D-334B-9E42-A6AD7AAA534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23" authorId="0" shapeId="0" xr:uid="{C04130D0-CDB3-2A4A-BB73-F68806BD1DF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23" authorId="0" shapeId="0" xr:uid="{9F6CE516-C0D5-354C-B102-E7FF1C30878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23" authorId="0" shapeId="0" xr:uid="{F6B9DE23-1601-3942-A679-2D9D3EE9BF0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23" authorId="0" shapeId="0" xr:uid="{43F90350-4529-094D-8A49-085F308F35A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23" authorId="0" shapeId="0" xr:uid="{906B3583-FA03-114C-8269-16FE1527AB3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23" authorId="0" shapeId="0" xr:uid="{AC824725-3601-9A4B-ACC6-786F88C8BB7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23" authorId="0" shapeId="0" xr:uid="{A7DF1721-D3E6-CD42-9832-3F83014EB0A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23" authorId="0" shapeId="0" xr:uid="{F580F09D-632C-8946-8D73-2831EC6BFF9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23" authorId="0" shapeId="0" xr:uid="{F9BA51F5-E80F-E94E-A695-E89B9CB5E61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24" authorId="0" shapeId="0" xr:uid="{A3861E87-0902-CC49-B809-D3EA2945ADA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24" authorId="0" shapeId="0" xr:uid="{2D1453C3-CA50-704B-8B9F-CE91BBF2E2D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24" authorId="0" shapeId="0" xr:uid="{519D2028-93A6-6D49-AE18-EF853802CC9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24" authorId="0" shapeId="0" xr:uid="{761E9584-F961-E34B-90CF-258E9A86ED8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24" authorId="0" shapeId="0" xr:uid="{9BC8DCDB-C9E3-184F-82E2-D2E28385C7A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24" authorId="0" shapeId="0" xr:uid="{A3642644-CD79-374D-9C78-1EF3625DDC4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24" authorId="0" shapeId="0" xr:uid="{60252F20-DCEF-6C4D-881A-7544759A76B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24" authorId="0" shapeId="0" xr:uid="{C07D798E-CD68-5443-A8F6-A04F50FA530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24" authorId="0" shapeId="0" xr:uid="{A6FC0A64-76C5-824C-B342-FF5AF262B3F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24" authorId="0" shapeId="0" xr:uid="{96754591-4280-A043-B09E-C9933CE7890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25" authorId="0" shapeId="0" xr:uid="{715E092B-B16B-E74E-9478-423D58B3C72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25" authorId="0" shapeId="0" xr:uid="{CF82CA41-527F-6F49-A125-1E2F673C099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25" authorId="0" shapeId="0" xr:uid="{18C65A55-6959-9946-B578-C2DD4A1562B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25" authorId="0" shapeId="0" xr:uid="{0BE959ED-7DE7-C84F-AB5C-06E79DD5F79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25" authorId="0" shapeId="0" xr:uid="{F856134A-8202-5547-8CCC-6866C4093CE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25" authorId="0" shapeId="0" xr:uid="{54221519-25D7-0142-8264-C9F1E57EB60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25" authorId="0" shapeId="0" xr:uid="{0F5505A0-FE53-224C-B927-CD1199A0F66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25" authorId="0" shapeId="0" xr:uid="{04EF709F-805A-A940-AB93-BFC1ABB132B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25" authorId="0" shapeId="0" xr:uid="{9959A1FB-3796-7B4C-BAC9-994322533D3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25" authorId="0" shapeId="0" xr:uid="{465A046D-BA4B-7C40-970E-4E36D06EC9DA}">
      <text>
        <r>
          <rPr>
            <b/>
            <sz val="10"/>
            <color rgb="FF000000"/>
            <rFont val="Tahoma"/>
            <family val="2"/>
          </rPr>
          <t>Keller, Zach:</t>
        </r>
        <r>
          <rPr>
            <sz val="10"/>
            <color rgb="FF000000"/>
            <rFont val="Tahoma"/>
            <family val="2"/>
          </rPr>
          <t xml:space="preserve">
</t>
        </r>
        <r>
          <rPr>
            <sz val="10"/>
            <color rgb="FF000000"/>
            <rFont val="Tahoma"/>
            <family val="2"/>
          </rPr>
          <t>Source: ChampsOrChumps.us (secondary site; season standings &amp; playoff results), https://champsorchumps.us/summary/nba/2026</t>
        </r>
      </text>
    </comment>
    <comment ref="B26" authorId="0" shapeId="0" xr:uid="{F642C8E1-530D-ED41-8012-9DA2F95E4C1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26" authorId="0" shapeId="0" xr:uid="{92DC0749-39C1-C748-A5A5-B3BFBD3068F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26" authorId="0" shapeId="0" xr:uid="{5BE2FB83-1DE8-7047-9BB0-892FEC86D52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26" authorId="0" shapeId="0" xr:uid="{256D65DC-5440-DB4D-9226-0E7E98BB3CC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26" authorId="0" shapeId="0" xr:uid="{9E904FDF-D8C6-0A41-B3FF-BD08ED2DEDB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26" authorId="0" shapeId="0" xr:uid="{1008300C-A3E1-C245-B152-12A0EC771A0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26" authorId="0" shapeId="0" xr:uid="{20411D37-CAF3-8545-BEE4-EE0AF818358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26" authorId="0" shapeId="0" xr:uid="{BC7212DC-A477-4047-9C46-CD5FF3D3997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26" authorId="0" shapeId="0" xr:uid="{FCEBFEBC-0C88-D04C-A2AF-92FC3027E59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26" authorId="0" shapeId="0" xr:uid="{81F3162C-E55B-1B48-A09F-9EC659391E8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27" authorId="0" shapeId="0" xr:uid="{0F947A58-3AE1-D446-A222-75C71B03CEB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27" authorId="0" shapeId="0" xr:uid="{AB0EBF66-8215-A441-9A21-86654420B7E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27" authorId="0" shapeId="0" xr:uid="{D1D1DA43-DFF7-AD43-8537-2E8BBD76CC4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27" authorId="0" shapeId="0" xr:uid="{49079A11-B52B-8B48-A51F-9AEEB66A9F7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27" authorId="0" shapeId="0" xr:uid="{E6E853E1-F737-994B-973C-73C1556D02B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27" authorId="0" shapeId="0" xr:uid="{12942ABE-D5F3-BA40-AED1-794FC08CD4E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27" authorId="0" shapeId="0" xr:uid="{1380527E-A53C-2642-AC22-1AEEAA9C53D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27" authorId="0" shapeId="0" xr:uid="{23C55AEC-ED07-654B-96A2-EEC26859B36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27" authorId="0" shapeId="0" xr:uid="{C2C557C7-0D4D-0E45-ADD2-58D950646CF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27" authorId="0" shapeId="0" xr:uid="{C1EB8F57-F6D5-1B42-A8A9-FAF30F46445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28" authorId="0" shapeId="0" xr:uid="{4FF82AD4-D0CF-8643-9A1D-B954074ECCC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28" authorId="0" shapeId="0" xr:uid="{58879B45-FC57-BD4D-947B-FBE08695E80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28" authorId="0" shapeId="0" xr:uid="{60B458C6-41D8-F144-9C76-F097820313F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28" authorId="0" shapeId="0" xr:uid="{F520F758-14B3-4443-8D00-EAF727ACF81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28" authorId="0" shapeId="0" xr:uid="{0E3264A6-B524-2244-B569-139804DB0F9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28" authorId="0" shapeId="0" xr:uid="{D325F0D3-5681-AA49-96E4-094571C6DA6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28" authorId="0" shapeId="0" xr:uid="{C3670118-C190-0946-A4C4-3E77FA16B62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28" authorId="0" shapeId="0" xr:uid="{F12EDC31-648D-CA47-B805-84BBA84B2FF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28" authorId="0" shapeId="0" xr:uid="{C90D8B39-32F3-0F4F-A0D5-26BA4F37F7A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28" authorId="0" shapeId="0" xr:uid="{ACF76065-5ADF-9947-B0B9-3C6697C8D14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M28" authorId="0" shapeId="0" xr:uid="{9C0AF3EF-D686-E74D-9E19-095FEB5F721D}">
      <text>
        <r>
          <rPr>
            <b/>
            <sz val="10"/>
            <color rgb="FF000000"/>
            <rFont val="Tahoma"/>
            <family val="2"/>
          </rPr>
          <t>Keller, Zach:</t>
        </r>
        <r>
          <rPr>
            <sz val="10"/>
            <color rgb="FF000000"/>
            <rFont val="Tahoma"/>
            <family val="2"/>
          </rPr>
          <t xml:space="preserve">
</t>
        </r>
        <r>
          <rPr>
            <sz val="10"/>
            <color rgb="FF000000"/>
            <rFont val="Tahoma"/>
            <family val="2"/>
          </rPr>
          <t>Helper: removes the 2022–23 Denver Nuggets (title won during the Oct 2023 Forbes re-valuation; growth in H180, vs-league in H214) from the champion average. Assumes the Nuggets are one of the Won Finals team-seasons counted in row 27.</t>
        </r>
      </text>
    </comment>
    <comment ref="B29" authorId="0" shapeId="0" xr:uid="{69A87D84-D8E3-D14C-8B30-873ED7F3C5D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29" authorId="0" shapeId="0" xr:uid="{4F188817-94D7-674F-BD8C-39AFA91450F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29" authorId="0" shapeId="0" xr:uid="{94592BD0-3E2D-5343-A726-5A99619903A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29" authorId="0" shapeId="0" xr:uid="{A485D954-12BA-0242-82BC-B8AD30FD511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29" authorId="0" shapeId="0" xr:uid="{D0EF18B8-F8A2-CE4D-BB07-B2BEF6500A3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29" authorId="0" shapeId="0" xr:uid="{3A43242D-3795-D047-AA82-AA2F4BF1108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29" authorId="0" shapeId="0" xr:uid="{12BF67CB-E7EB-CE45-9736-8D5144619132}">
      <text>
        <r>
          <rPr>
            <b/>
            <sz val="10"/>
            <color rgb="FF000000"/>
            <rFont val="Tahoma"/>
            <family val="2"/>
          </rPr>
          <t>Keller, Zach:</t>
        </r>
        <r>
          <rPr>
            <sz val="10"/>
            <color rgb="FF000000"/>
            <rFont val="Tahoma"/>
            <family val="2"/>
          </rPr>
          <t xml:space="preserve">
</t>
        </r>
        <r>
          <rPr>
            <sz val="10"/>
            <color rgb="FF000000"/>
            <rFont val="Tahoma"/>
            <family val="2"/>
          </rPr>
          <t>Source: ChampsOrChumps.us (secondary site; season standings &amp; playoff results), https://champsorchumps.us/summary/nba/2023</t>
        </r>
      </text>
    </comment>
    <comment ref="I29" authorId="0" shapeId="0" xr:uid="{725B89C9-378D-424C-A3CD-B6835FECB41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29" authorId="0" shapeId="0" xr:uid="{7B512B9E-36AC-B344-AA22-A1265BB0541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29" authorId="0" shapeId="0" xr:uid="{4C43FCEA-F478-784A-B9E5-BA6ECB1E0A3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30" authorId="0" shapeId="0" xr:uid="{7EAEDD44-3C83-5040-B704-250EDA3EFE0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30" authorId="0" shapeId="0" xr:uid="{5D509B97-828C-D24B-BF34-DD3C0571039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30" authorId="0" shapeId="0" xr:uid="{AC17A965-129A-6A4E-87EE-9220407D44C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30" authorId="0" shapeId="0" xr:uid="{901113A2-60DD-4646-BAFB-0EA4D94F3E5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30" authorId="0" shapeId="0" xr:uid="{D4575D8C-124C-C34D-96F6-5A385AD8F1E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30" authorId="0" shapeId="0" xr:uid="{6C5AE0FA-975F-614E-9DB8-AFD713288A2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30" authorId="0" shapeId="0" xr:uid="{7A93A149-5F03-ED4C-84B1-7A573908E42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30" authorId="0" shapeId="0" xr:uid="{FE5D003E-A524-6C40-923D-1207F726D91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30" authorId="0" shapeId="0" xr:uid="{3439B784-AB1E-6349-BB8F-293CE5002DD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30" authorId="0" shapeId="0" xr:uid="{B8BCFF32-FDE0-124B-B363-413F1CD69B4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31" authorId="0" shapeId="0" xr:uid="{17564A24-0C4E-1D45-A17A-AE24B9F8C41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31" authorId="0" shapeId="0" xr:uid="{449507E9-D064-D741-86E7-F8A5E5A1EE3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31" authorId="0" shapeId="0" xr:uid="{5A43170F-FA31-8847-9A86-5BCA0A6C874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31" authorId="0" shapeId="0" xr:uid="{F5E23575-58F2-E64F-896F-0CDE9DAAABC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31" authorId="0" shapeId="0" xr:uid="{DF682F7A-4D34-C440-A922-D6D0B40205F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31" authorId="0" shapeId="0" xr:uid="{BF299618-98E8-244D-809D-B76B801BE96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31" authorId="0" shapeId="0" xr:uid="{161F346A-9736-C84A-B096-5156D8CA28D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31" authorId="0" shapeId="0" xr:uid="{E3CCCF96-2678-AF43-9BB3-7F290B6B0F7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31" authorId="0" shapeId="0" xr:uid="{B794A755-5E14-694B-9CD5-68436E9C24A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31" authorId="0" shapeId="0" xr:uid="{58E17E22-DD87-7645-94BD-E6B78D8BB71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32" authorId="0" shapeId="0" xr:uid="{3EB5A3DD-E2CC-AD40-A5AB-61143282997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32" authorId="0" shapeId="0" xr:uid="{CF606B17-C076-D448-A7E1-D86D0D8AB19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32" authorId="0" shapeId="0" xr:uid="{5EEAA5CC-1D64-CE47-8FD5-B6AA482F88F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32" authorId="0" shapeId="0" xr:uid="{4F67C817-68D7-0046-AF6C-B2DE9F9B3EE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32" authorId="0" shapeId="0" xr:uid="{7EF56954-B187-CB4E-80FE-2C7C4701C18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32" authorId="0" shapeId="0" xr:uid="{D26095D2-3543-7F4B-A83C-024E594FD0E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32" authorId="0" shapeId="0" xr:uid="{892D133C-0AB6-D044-ACB4-0659A447C0E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32" authorId="0" shapeId="0" xr:uid="{A68DF07D-86D2-BA41-AE62-7231FA3B83B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32" authorId="0" shapeId="0" xr:uid="{F5112A4F-254A-5149-A453-CD784A95E1B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32" authorId="0" shapeId="0" xr:uid="{85F80640-C4CF-CD48-9980-A60FC935F24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33" authorId="0" shapeId="0" xr:uid="{A1CF9ADA-6BBB-A341-922D-BC252C81C48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33" authorId="0" shapeId="0" xr:uid="{8C95A0BB-AEFC-5E49-8448-4B20E5784E2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33" authorId="0" shapeId="0" xr:uid="{FC8AC3AE-523C-644A-ABEB-010C355315A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33" authorId="0" shapeId="0" xr:uid="{850C119E-86E1-5649-B096-840638C9754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33" authorId="0" shapeId="0" xr:uid="{7475BA45-85E2-D940-8B4A-849E56AD48A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33" authorId="0" shapeId="0" xr:uid="{CB6FF728-FA22-9C4B-8C4D-7B7CDCA8141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33" authorId="0" shapeId="0" xr:uid="{0FD494DF-BA64-0049-B748-9FDD3A0009D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33" authorId="0" shapeId="0" xr:uid="{F4E1E341-CC64-9B4E-A737-FE9196B1C73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33" authorId="0" shapeId="0" xr:uid="{46797E8B-10D0-F941-A487-761E19A3C19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33" authorId="0" shapeId="0" xr:uid="{63DB6AE8-06AD-394C-8000-2B5D7C7F253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34" authorId="0" shapeId="0" xr:uid="{911BA237-3282-0B46-BB35-9B39664070B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34" authorId="0" shapeId="0" xr:uid="{6C69B454-CF83-064C-98EC-1E218DCC050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34" authorId="0" shapeId="0" xr:uid="{065564F9-E8B9-B346-8004-8556636EEF5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34" authorId="0" shapeId="0" xr:uid="{8AE76467-6C56-604C-8A61-117B0FE67E8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34" authorId="0" shapeId="0" xr:uid="{5639568A-A656-404C-9361-12FC5B71C35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34" authorId="0" shapeId="0" xr:uid="{1D400DC8-1AF4-A040-8024-D3457FAACD5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34" authorId="0" shapeId="0" xr:uid="{BA710FB6-72A0-D145-9FE4-E1018DF2C76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34" authorId="0" shapeId="0" xr:uid="{45300C7B-9F23-534E-8B0E-92BA4F271D4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34" authorId="0" shapeId="0" xr:uid="{CB7F7CDF-D48A-8B4C-B39E-417BFC75AFC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34" authorId="0" shapeId="0" xr:uid="{4FC6256B-7834-4443-9CD1-5E2D9245F9F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35" authorId="0" shapeId="0" xr:uid="{686EB28F-BFF3-8744-A361-C7320498EA4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35" authorId="0" shapeId="0" xr:uid="{88AA4C2C-77E2-4D4B-97BC-2A0B6509F7C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35" authorId="0" shapeId="0" xr:uid="{127D5F20-1661-5F40-BC5F-BAAEB1C68C7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35" authorId="0" shapeId="0" xr:uid="{F960C5CF-346F-1F48-A929-C75DD7C3A74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35" authorId="0" shapeId="0" xr:uid="{13BAD93A-401F-D346-9EB9-651D6C5F1CE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35" authorId="0" shapeId="0" xr:uid="{C49FAC7B-0344-6F40-9289-1634C90FCDE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35" authorId="0" shapeId="0" xr:uid="{9F5BE04E-AC58-364E-9F54-955EC913171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35" authorId="0" shapeId="0" xr:uid="{F6319C95-85ED-134A-AAD0-720367C34B4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35" authorId="0" shapeId="0" xr:uid="{0D9B4CD1-DCC4-EC48-A0B2-840AEA8AFF5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35" authorId="0" shapeId="0" xr:uid="{B83620D4-225E-2549-991A-44602F20BBE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39" authorId="0" shapeId="0" xr:uid="{E5CE58B1-0CC8-E84B-AD9D-235389C77E7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39" authorId="0" shapeId="0" xr:uid="{2AACDE66-F21D-CD47-AEDA-38CF86AA0FE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39" authorId="0" shapeId="0" xr:uid="{FE60DD2C-33EF-594C-803F-9D04C0FDE6E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39" authorId="0" shapeId="0" xr:uid="{D51A31A0-D05A-CA4F-B703-8C81E3BA9F2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39" authorId="0" shapeId="0" xr:uid="{E291E270-88F3-9B42-A8F0-F057433744A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39" authorId="0" shapeId="0" xr:uid="{B2839575-B2DC-A740-897A-54453BDBCA4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39" authorId="0" shapeId="0" xr:uid="{628366D4-B5B4-9140-ACC5-D91C71D60DA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39" authorId="0" shapeId="0" xr:uid="{334F85DF-A64D-4B48-8FA7-D3732E4352E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39" authorId="0" shapeId="0" xr:uid="{2C450B6B-DB64-264F-8B36-A0AC4929B40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39" authorId="0" shapeId="0" xr:uid="{87EC0FCE-3873-FB49-B2D6-FCD51E59E75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40" authorId="0" shapeId="0" xr:uid="{0251BF6D-EBAC-F646-8715-A92E336BAA1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40" authorId="0" shapeId="0" xr:uid="{765A4C67-F50B-804D-96D9-51A22328800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40" authorId="0" shapeId="0" xr:uid="{DEF62453-90B7-8C44-8B76-58333F4C1C0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40" authorId="0" shapeId="0" xr:uid="{0C9B5456-EA11-A047-92E9-D9309274B28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40" authorId="0" shapeId="0" xr:uid="{D85D7420-9D89-1D46-913A-FEEFF269A0F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40" authorId="0" shapeId="0" xr:uid="{0CCEDD5E-ACCB-924A-901C-ED090B5F97C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40" authorId="0" shapeId="0" xr:uid="{88E53835-DB31-F848-8525-C54159E1682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40" authorId="0" shapeId="0" xr:uid="{CC583B73-5437-9D4C-AFA1-45C23D6CD13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40" authorId="0" shapeId="0" xr:uid="{E998D4FF-323C-3F42-8430-505452D1F93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40" authorId="0" shapeId="0" xr:uid="{2856663F-8459-E94C-9587-2D4F4284F33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41" authorId="0" shapeId="0" xr:uid="{87DBDE21-7626-A24C-B896-B43BE407B51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41" authorId="0" shapeId="0" xr:uid="{6A50F767-EFF8-554A-A475-3E25880BB41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41" authorId="0" shapeId="0" xr:uid="{D3A15741-119F-0D4C-A3E3-D36B5A6138D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41" authorId="0" shapeId="0" xr:uid="{787FEC73-04FB-524C-95E8-04B305A9B03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41" authorId="0" shapeId="0" xr:uid="{3D1C3BB0-DE73-CE4D-8561-2FC7965761A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41" authorId="0" shapeId="0" xr:uid="{6A9A0485-DDE2-A642-8621-3EAB398F9AC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41" authorId="0" shapeId="0" xr:uid="{1AE59333-A996-5844-8E15-12F03C54D52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41" authorId="0" shapeId="0" xr:uid="{03D4ED2D-BC55-2D4B-8111-1E06B2654B9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41" authorId="0" shapeId="0" xr:uid="{A7471BF7-4A06-BE41-B12D-10D76A40783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41" authorId="0" shapeId="0" xr:uid="{70130067-FAA1-044B-A02C-9A89DA8C3C1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42" authorId="0" shapeId="0" xr:uid="{D6349A83-93A0-7C40-9CA3-8B0E95F739F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42" authorId="0" shapeId="0" xr:uid="{F4FB82F0-AFAA-BF44-9BCB-3BED15A0125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42" authorId="0" shapeId="0" xr:uid="{45725B97-AC4E-BD4F-A4CD-87FD8D79959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42" authorId="0" shapeId="0" xr:uid="{07FD6BB1-25C5-BE43-9D96-63DD83C1E9F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42" authorId="0" shapeId="0" xr:uid="{B461F257-26E8-4945-9CB2-48518E8E99F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42" authorId="0" shapeId="0" xr:uid="{F7DD2ADB-CAE7-7E44-B4B4-FEA180D8EAD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42" authorId="0" shapeId="0" xr:uid="{680481C5-5CFE-824B-9CC4-2FC114A1A75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42" authorId="0" shapeId="0" xr:uid="{D71376B1-8EAE-5C48-A0DD-F5706FDF3C1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42" authorId="0" shapeId="0" xr:uid="{AB88EEB8-7F5B-D346-9FCA-CC8216AED20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42" authorId="0" shapeId="0" xr:uid="{BAD350AE-1740-F540-84D8-1E1CA41BB1F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43" authorId="0" shapeId="0" xr:uid="{7B0D9940-1B7F-4348-8276-573E753F982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43" authorId="0" shapeId="0" xr:uid="{2B2242DD-664D-1E42-AC73-C725B190F30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43" authorId="0" shapeId="0" xr:uid="{58490F32-F268-7747-9BC1-22E0F4989E4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43" authorId="0" shapeId="0" xr:uid="{D5373064-2126-5349-B509-9395F1A6D82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43" authorId="0" shapeId="0" xr:uid="{B8843886-8B40-1843-85E2-01D4BBF426B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43" authorId="0" shapeId="0" xr:uid="{A0E84187-FDBE-7043-8D24-43A5F51AFCE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43" authorId="0" shapeId="0" xr:uid="{B505C227-F9F3-B645-B4A4-72184A0849A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43" authorId="0" shapeId="0" xr:uid="{9B6B2FCD-737B-6C48-8F8D-6C3E72093E9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43" authorId="0" shapeId="0" xr:uid="{BD2BD9B5-9F8E-9F41-99FF-BE6BA84F659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43" authorId="0" shapeId="0" xr:uid="{EAC45193-D26D-D340-B32C-5F29155C90E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44" authorId="0" shapeId="0" xr:uid="{C2F35E9E-3840-C747-9BAF-948E9010D75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44" authorId="0" shapeId="0" xr:uid="{54787439-5EE5-AF4D-BC25-A8D3F6096B7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44" authorId="0" shapeId="0" xr:uid="{ECFF792C-B07D-A645-9ABA-4601A6657F0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44" authorId="0" shapeId="0" xr:uid="{E2981B3B-666A-6B4C-AAFA-8750181A68E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44" authorId="0" shapeId="0" xr:uid="{24291197-742A-BA43-9A3D-B4D2048FD08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44" authorId="0" shapeId="0" xr:uid="{9957B8AC-B5F8-CC43-841B-A4683C8F371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44" authorId="0" shapeId="0" xr:uid="{35AA8E7C-ACA7-B94F-A50A-16FF1141BFE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44" authorId="0" shapeId="0" xr:uid="{996170EB-CB59-FA4B-9F49-538FAD56E41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44" authorId="0" shapeId="0" xr:uid="{CFCABA87-C445-534B-99B9-C7F69D583B4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44" authorId="0" shapeId="0" xr:uid="{618CB372-AB98-BF4F-900C-19B1BDC1EF8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45" authorId="0" shapeId="0" xr:uid="{8620FD99-8E27-BC4C-A75E-FE12898B5DE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45" authorId="0" shapeId="0" xr:uid="{CE2D0121-A645-9041-A45F-E4FAC634896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45" authorId="0" shapeId="0" xr:uid="{CEB1AFB9-75FE-9F41-BEEC-E2D07CC1E78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45" authorId="0" shapeId="0" xr:uid="{58A65C23-C722-7545-8882-185BA79A6B2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45" authorId="0" shapeId="0" xr:uid="{9C2E09CC-68A6-FD40-95F1-86BE066448F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45" authorId="0" shapeId="0" xr:uid="{4F51E0EC-282E-CE4A-82DF-B89AF656CB6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45" authorId="0" shapeId="0" xr:uid="{4E9B44BC-7A94-5542-8243-DCF3B7814EE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45" authorId="0" shapeId="0" xr:uid="{81DE749E-801C-9644-88AC-253A2673F7B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45" authorId="0" shapeId="0" xr:uid="{1B8A10B8-66DE-9740-9DD0-8B1F5D24160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45" authorId="0" shapeId="0" xr:uid="{112B6C77-8D0A-AB4A-9DA6-1A2C1C68986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46" authorId="0" shapeId="0" xr:uid="{AFAA64A9-25FD-934B-B948-167BBA9F494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46" authorId="0" shapeId="0" xr:uid="{7E879C86-DF53-3647-A5D9-036E1CA8082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46" authorId="0" shapeId="0" xr:uid="{89882178-3A5F-AF4C-BB2B-A61512F40B2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46" authorId="0" shapeId="0" xr:uid="{F5E8AFD2-B072-F74A-8701-F36A785A32D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46" authorId="0" shapeId="0" xr:uid="{1C5B7FD2-421D-E241-801A-E637A2FD9EC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46" authorId="0" shapeId="0" xr:uid="{437B1935-6DC7-C847-BBAF-6B6570B0FBE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46" authorId="0" shapeId="0" xr:uid="{88D946D5-55B8-B44F-818E-1E5ACFA6054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46" authorId="0" shapeId="0" xr:uid="{2219A270-D2A2-2640-BA43-C61B9C7BCD7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46" authorId="0" shapeId="0" xr:uid="{69AFE839-B62B-F74F-8C5F-40825EA8D8E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46" authorId="0" shapeId="0" xr:uid="{057A0649-0134-EA46-9069-4A3BC58FA0A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47" authorId="0" shapeId="0" xr:uid="{3A0AC5D8-26C7-814D-B78F-8527E91034A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47" authorId="0" shapeId="0" xr:uid="{A434FE89-595E-9548-AE7E-7629689D000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47" authorId="0" shapeId="0" xr:uid="{25E192EF-118B-4447-BF6D-997EE4FB588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47" authorId="0" shapeId="0" xr:uid="{6296E59A-ECE9-DD4F-96A2-A92BDD867A1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47" authorId="0" shapeId="0" xr:uid="{D3FDE6FF-085D-8E46-AAF4-740742A152E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47" authorId="0" shapeId="0" xr:uid="{35D406A7-BFB0-0B4B-9998-A82D7D40E99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47" authorId="0" shapeId="0" xr:uid="{72DB8012-2DED-9042-BBB0-2CD2129774D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47" authorId="0" shapeId="0" xr:uid="{0F40C2BC-FE1C-7C46-8325-28954A1EE5B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47" authorId="0" shapeId="0" xr:uid="{81FBE0E1-C731-9C49-80C4-118BC58013B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47" authorId="0" shapeId="0" xr:uid="{1F98EDE2-F843-774E-BEFC-DF526C1F32B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48" authorId="0" shapeId="0" xr:uid="{F1FEE77E-2492-ED47-9113-A5F321D819D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48" authorId="0" shapeId="0" xr:uid="{E96EA980-2CD2-7B46-94A5-88BE5AD8AF3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48" authorId="0" shapeId="0" xr:uid="{38D59AC5-404C-5343-B211-361264E61CF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48" authorId="0" shapeId="0" xr:uid="{F7C0D738-F46A-5E4D-895B-17DCFCEC16A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48" authorId="0" shapeId="0" xr:uid="{473ED684-E45F-6D48-8F86-15C57283B00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48" authorId="0" shapeId="0" xr:uid="{CEB4AF01-A0CB-C045-8DD8-C011B2B4A0B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48" authorId="0" shapeId="0" xr:uid="{46ABB312-287E-F54D-82B5-0F4ECCDC5F4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48" authorId="0" shapeId="0" xr:uid="{C4803AB3-B695-D94E-9674-44D6D10FEDF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48" authorId="0" shapeId="0" xr:uid="{BDF21EDC-8B46-F245-AAE6-8CA231AFF66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48" authorId="0" shapeId="0" xr:uid="{6D248D47-DAC3-2940-877F-3905A83E7DD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49" authorId="0" shapeId="0" xr:uid="{EC26958C-9EF5-944B-9FE5-FF8A6319850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49" authorId="0" shapeId="0" xr:uid="{1398EFBD-83A5-5642-908F-926C2BDF7FF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49" authorId="0" shapeId="0" xr:uid="{B32C0CCB-8D39-2F4E-84FB-66C10ACCDF7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49" authorId="0" shapeId="0" xr:uid="{1E00DF75-F500-274D-8BA2-61990D8B2DB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49" authorId="0" shapeId="0" xr:uid="{546D10AE-6EF8-354F-9635-8F1821CC4C7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49" authorId="0" shapeId="0" xr:uid="{7CE09306-BF7A-774A-BE84-52FB26E33A7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49" authorId="0" shapeId="0" xr:uid="{D112FFC7-90A1-6740-AD29-E41A9918BF7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49" authorId="0" shapeId="0" xr:uid="{7CD53518-4C2D-A641-B022-12A325F384C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49" authorId="0" shapeId="0" xr:uid="{30A9CF52-2D5A-D341-AF39-3E49615A82D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49" authorId="0" shapeId="0" xr:uid="{C974F3CF-99AE-EA40-99C0-2496E8C031F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50" authorId="0" shapeId="0" xr:uid="{93DDA2E5-1E74-CB43-B115-44BB7E5AC1F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50" authorId="0" shapeId="0" xr:uid="{E0D5DD81-78DF-564F-A499-6141A3D711C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50" authorId="0" shapeId="0" xr:uid="{EB100074-9D3A-9344-8443-99D7847C2B9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50" authorId="0" shapeId="0" xr:uid="{87C621D8-A788-BB4D-8CB3-CCAC3D02767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50" authorId="0" shapeId="0" xr:uid="{276E4984-D098-244C-930F-18D5809D413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50" authorId="0" shapeId="0" xr:uid="{8710E3A5-8975-8847-BB5E-8D2C22DE113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50" authorId="0" shapeId="0" xr:uid="{26413BBC-C737-8F49-ABE5-60C0C94958A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50" authorId="0" shapeId="0" xr:uid="{E94B4558-1586-864D-B512-B820F5259BB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50" authorId="0" shapeId="0" xr:uid="{EFE65D5C-7183-0D42-BC7F-5404D9F0B69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50" authorId="0" shapeId="0" xr:uid="{9FFA65ED-B6EE-E345-8399-4EBEEE519A9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51" authorId="0" shapeId="0" xr:uid="{0CF1BF70-4AA2-1548-B5AF-8C5FC20D28E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51" authorId="0" shapeId="0" xr:uid="{6AA335C8-3CF7-4A49-8260-DD4FA7A1732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51" authorId="0" shapeId="0" xr:uid="{43A6245F-DE3C-0343-A088-120257B29F3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51" authorId="0" shapeId="0" xr:uid="{C10F608C-1977-0649-BC70-41587DDEFE1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51" authorId="0" shapeId="0" xr:uid="{14E969FC-FD50-8245-8E0C-84D7F190B03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51" authorId="0" shapeId="0" xr:uid="{9AFD8D36-FBA6-DE4D-8C12-22F030FF72E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51" authorId="0" shapeId="0" xr:uid="{67C91C3C-BDC0-304B-B6BE-262F682FDFE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51" authorId="0" shapeId="0" xr:uid="{FC6CA941-1B35-B04D-A585-F83FF57255A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51" authorId="0" shapeId="0" xr:uid="{74A2A7CF-6312-9547-84C1-374D88FD4CC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51" authorId="0" shapeId="0" xr:uid="{289263C5-6156-0241-A3E1-FC37A934A13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52" authorId="0" shapeId="0" xr:uid="{C581B495-2B9B-2644-A0F2-66E25C8D5C4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52" authorId="0" shapeId="0" xr:uid="{051FD926-D6B5-2F4E-A69F-9857C4CCEE2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52" authorId="0" shapeId="0" xr:uid="{60A77A98-94C6-A442-8DB6-DBC1CD803E5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52" authorId="0" shapeId="0" xr:uid="{9AF453DA-DAE4-1640-B3AE-360C180B797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52" authorId="0" shapeId="0" xr:uid="{F1C09CF8-440D-FC44-BC85-0B00429C358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52" authorId="0" shapeId="0" xr:uid="{22AB773F-FFDA-B24F-82EA-8CA1689BFB9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52" authorId="0" shapeId="0" xr:uid="{AC922263-3AA2-1248-8A70-4D1630517EA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52" authorId="0" shapeId="0" xr:uid="{81D93E3E-FD8F-1A42-82FF-D1F7C614316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52" authorId="0" shapeId="0" xr:uid="{6B34712B-DEF8-564E-8AF0-509220C06F5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52" authorId="0" shapeId="0" xr:uid="{829459B0-E82A-4741-A267-D9FA3ECF720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53" authorId="0" shapeId="0" xr:uid="{4E7F68C7-CA95-A74D-BD93-993D6F88113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53" authorId="0" shapeId="0" xr:uid="{46FEDF7A-4124-C545-A8BA-6560C77ED51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53" authorId="0" shapeId="0" xr:uid="{11A92F48-D1D8-0E46-8384-8785C7724B7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53" authorId="0" shapeId="0" xr:uid="{5C9105E1-21C6-AE4A-A235-12A33562BF7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53" authorId="0" shapeId="0" xr:uid="{883C8325-D004-B64D-B220-E70B39AAC11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53" authorId="0" shapeId="0" xr:uid="{37490732-D3D4-F645-B163-C43BB523464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53" authorId="0" shapeId="0" xr:uid="{115F38FA-72F6-1A41-A5C1-661840852BA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53" authorId="0" shapeId="0" xr:uid="{4C39933D-D6DD-5347-9866-C5813BABA29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53" authorId="0" shapeId="0" xr:uid="{EBBDEE76-6378-5E4F-85C1-9A9D36A6302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53" authorId="0" shapeId="0" xr:uid="{510F73DC-D7FB-5241-9C37-933EB68903B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54" authorId="0" shapeId="0" xr:uid="{A0FE30B6-01B7-C246-B01B-2A5BB358DE6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54" authorId="0" shapeId="0" xr:uid="{AC07214F-2396-4642-A814-3FE443F9230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54" authorId="0" shapeId="0" xr:uid="{47D88CA0-96DB-F641-855D-794F288D1ED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54" authorId="0" shapeId="0" xr:uid="{037AAB2C-AB2F-C34B-B905-87AB6528838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54" authorId="0" shapeId="0" xr:uid="{B97C0053-4336-1249-A83E-685096A4B99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54" authorId="0" shapeId="0" xr:uid="{B0817ACD-6918-A94F-9096-465AF09B081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54" authorId="0" shapeId="0" xr:uid="{D3C92740-9E9B-1B4E-BF24-8074604CB4F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54" authorId="0" shapeId="0" xr:uid="{0405D766-AD71-E04A-A49E-2F950FCDBC7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54" authorId="0" shapeId="0" xr:uid="{C9696108-1D26-A447-993C-D29CA125BE5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54" authorId="0" shapeId="0" xr:uid="{D0E2C04D-D922-FB44-8EB1-CEB70D837BF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55" authorId="0" shapeId="0" xr:uid="{EC53C9D5-8C03-B54F-8FF1-9158A85D798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55" authorId="0" shapeId="0" xr:uid="{DD522365-1F8A-1D4A-834A-CB4D02303F7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55" authorId="0" shapeId="0" xr:uid="{C062358A-FF16-014A-BB04-E3CAF4287EE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55" authorId="0" shapeId="0" xr:uid="{E32BF2E2-6EFB-664A-B81A-91A4783488C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55" authorId="0" shapeId="0" xr:uid="{F8441B1A-97A2-DF4C-A024-F40EC4EF17E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55" authorId="0" shapeId="0" xr:uid="{80A2A6C8-1A3B-F24D-BA87-B1DABF1E1DB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55" authorId="0" shapeId="0" xr:uid="{4608963C-144E-3E4F-B6FA-CEF8D46B565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55" authorId="0" shapeId="0" xr:uid="{3313D5CE-51D3-BE45-95E3-C21D54A24CA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55" authorId="0" shapeId="0" xr:uid="{F443812F-86F9-5346-BAA9-6F1B58C9966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55" authorId="0" shapeId="0" xr:uid="{ED495CBB-E4AE-7C46-97CE-100E08A7348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56" authorId="0" shapeId="0" xr:uid="{9EAC7FE3-32A6-6E48-ADFA-C78351BC71C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56" authorId="0" shapeId="0" xr:uid="{867D6118-FB99-3E41-A6D4-9C4720E2A39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56" authorId="0" shapeId="0" xr:uid="{FD2C3C14-4F17-E442-91F4-D33C9ABBAFC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56" authorId="0" shapeId="0" xr:uid="{2E2202A7-8EB2-284C-B691-9AF9B47FA57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56" authorId="0" shapeId="0" xr:uid="{81FD9E1E-4B97-4846-88F9-026F7673A25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56" authorId="0" shapeId="0" xr:uid="{4B27C019-079E-054A-899F-004CF20CAFF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56" authorId="0" shapeId="0" xr:uid="{135ECB80-4D5B-D047-879C-6E4478F5B6F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56" authorId="0" shapeId="0" xr:uid="{05C7F437-5A2D-694C-BB6E-0286C20C791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56" authorId="0" shapeId="0" xr:uid="{8D224704-2716-BD41-8BE4-D253B1ACE38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56" authorId="0" shapeId="0" xr:uid="{CCA70A78-5786-6C41-83B4-355D4C43E36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57" authorId="0" shapeId="0" xr:uid="{6023C887-669E-E348-BE0F-213E0E7298B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57" authorId="0" shapeId="0" xr:uid="{E1DE4965-E10D-164A-B1C0-23A80EBE805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57" authorId="0" shapeId="0" xr:uid="{1561CA15-9AA6-1D44-A056-76585A51BEE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57" authorId="0" shapeId="0" xr:uid="{83603347-73C5-3B46-B788-75E9B654AD9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57" authorId="0" shapeId="0" xr:uid="{EA8B7CF2-4D2E-8440-A1AB-D553C2ACCC9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57" authorId="0" shapeId="0" xr:uid="{6A0EEF83-A4E7-514A-92FB-F020E312B2B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57" authorId="0" shapeId="0" xr:uid="{9EA8CF24-875D-9441-AA1D-71C8D29C4B4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57" authorId="0" shapeId="0" xr:uid="{3FCF5ADD-FE45-B943-A98B-DB353D3C190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57" authorId="0" shapeId="0" xr:uid="{09259B95-5F22-BD4E-9F0B-3E283DE3AE8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57" authorId="0" shapeId="0" xr:uid="{B29B13E9-23B4-064D-BC61-41DE80BB1D4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58" authorId="0" shapeId="0" xr:uid="{3DD1BEC8-7984-2444-9621-CD64CA47A85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58" authorId="0" shapeId="0" xr:uid="{1923B651-C2A1-534F-8ACB-5F40223FB2E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58" authorId="0" shapeId="0" xr:uid="{AD9BD48F-B429-9C4C-A589-B694645826A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58" authorId="0" shapeId="0" xr:uid="{C6BFB74D-0220-B346-A926-404BCC9714D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58" authorId="0" shapeId="0" xr:uid="{C2DD837B-97F7-604C-901A-44A01F0625B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58" authorId="0" shapeId="0" xr:uid="{042DD4FA-C11B-DA46-AD56-188E5CFFD88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58" authorId="0" shapeId="0" xr:uid="{3D9F6B96-4CC7-6A4A-A6AB-C6CFFC8AD87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58" authorId="0" shapeId="0" xr:uid="{3691A84A-3EB0-BD41-B8A2-FFDE2F15219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58" authorId="0" shapeId="0" xr:uid="{6C880A8D-76DF-7344-9116-D9AD425ACC3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58" authorId="0" shapeId="0" xr:uid="{C79727B7-D9CA-5D4D-8C0E-9769D63EE5F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59" authorId="0" shapeId="0" xr:uid="{ED4D757A-BC58-664F-9F23-41836FBB9D1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59" authorId="0" shapeId="0" xr:uid="{A6C36086-568F-5440-AAB0-9C38E86A5AA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59" authorId="0" shapeId="0" xr:uid="{D3F48F5E-FC4B-C543-A356-3864CD3BECA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59" authorId="0" shapeId="0" xr:uid="{EDF573C9-CD5E-7C48-9057-E2692254956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59" authorId="0" shapeId="0" xr:uid="{5382659D-85FC-DA45-8216-7463418A598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59" authorId="0" shapeId="0" xr:uid="{C59152D5-DE19-EC43-B53F-378F9AFC92D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59" authorId="0" shapeId="0" xr:uid="{D5C9CF5D-92B1-4D48-A103-5038CFDFDE0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59" authorId="0" shapeId="0" xr:uid="{C42E4D21-46EE-DC48-8F97-1A3800F4118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59" authorId="0" shapeId="0" xr:uid="{17720CD9-928F-CC43-BC0B-0BBCD10A949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59" authorId="0" shapeId="0" xr:uid="{BD900B95-207C-D048-91E9-823F74953E4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60" authorId="0" shapeId="0" xr:uid="{126DDAD2-F719-ED44-A0F5-5E3D5BA8562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60" authorId="0" shapeId="0" xr:uid="{606AD4DE-B655-3E48-80F5-F2972A4C1E3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60" authorId="0" shapeId="0" xr:uid="{07E321F2-ABC6-DA4E-8777-8614E4C09AC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60" authorId="0" shapeId="0" xr:uid="{42024EE5-7104-4D4B-BC81-EDE65AD7D34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60" authorId="0" shapeId="0" xr:uid="{AE5F7AD8-938D-D64A-8885-AF74FC74C6F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60" authorId="0" shapeId="0" xr:uid="{4999C027-8B04-C841-917E-A820CE08350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60" authorId="0" shapeId="0" xr:uid="{8A06D188-2114-4542-86C6-EBE3A42EFD8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60" authorId="0" shapeId="0" xr:uid="{F920B28D-B62E-1243-B620-E036B854E90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60" authorId="0" shapeId="0" xr:uid="{03F62156-3DE2-7844-82A2-4B40C6F3916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60" authorId="0" shapeId="0" xr:uid="{B2F26B89-0736-1D47-92AE-ACF017DBAE8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61" authorId="0" shapeId="0" xr:uid="{32C59E80-B054-5B42-B6EC-E05711A93E3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61" authorId="0" shapeId="0" xr:uid="{1499B6AD-FE6F-654F-81A4-2710C343073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61" authorId="0" shapeId="0" xr:uid="{6EE722FA-4BC9-1447-8E75-592FE2147B6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61" authorId="0" shapeId="0" xr:uid="{336ADAE4-1764-584F-9B0F-EF8E860D065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61" authorId="0" shapeId="0" xr:uid="{1286E05F-FC8E-1844-9304-91592FF147D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61" authorId="0" shapeId="0" xr:uid="{2126B295-41B8-2242-B268-50353FE87A8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61" authorId="0" shapeId="0" xr:uid="{D78CDACD-B74B-8C41-9AC9-0ED161E5A81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61" authorId="0" shapeId="0" xr:uid="{DEF5E419-C2CB-7349-9AEB-468138FE74C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61" authorId="0" shapeId="0" xr:uid="{9B8B0A32-39C2-E547-B788-F4844F80C52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61" authorId="0" shapeId="0" xr:uid="{0A4AC7DD-B9DE-9749-B009-58640E718C7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62" authorId="0" shapeId="0" xr:uid="{72D4970E-B190-6A4F-9ECA-3994D873FFF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62" authorId="0" shapeId="0" xr:uid="{52C0F421-9C76-9747-AC0D-F30B3508152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62" authorId="0" shapeId="0" xr:uid="{52A7AC40-B6DF-E241-A3F3-B94F56425FD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62" authorId="0" shapeId="0" xr:uid="{97A0EEE0-2B98-BE42-8226-98F4D37EC76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62" authorId="0" shapeId="0" xr:uid="{E5C21FED-3362-8049-99BC-0F620E422ED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62" authorId="0" shapeId="0" xr:uid="{E9493D32-A774-9648-B6E6-C5C89979450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62" authorId="0" shapeId="0" xr:uid="{CEAB0913-EB34-0443-8EEA-1F943AC6A3A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62" authorId="0" shapeId="0" xr:uid="{3AD1E795-318A-374D-B75E-46F4450107A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62" authorId="0" shapeId="0" xr:uid="{4C3D7D76-1292-EB43-BF4C-B2CAFC5EB6C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62" authorId="0" shapeId="0" xr:uid="{9A84BB1F-4A3F-274F-A7FE-2B6D69DC043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63" authorId="0" shapeId="0" xr:uid="{FF599765-8E03-3645-80AD-BC5E709DE03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63" authorId="0" shapeId="0" xr:uid="{CB36C415-65B6-6B43-AFE2-D6B7ED67CB8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63" authorId="0" shapeId="0" xr:uid="{B811FD69-C4D0-F74F-98E8-AF904C7FB5F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63" authorId="0" shapeId="0" xr:uid="{9CD42A7C-5750-884C-B750-A15604C9CAA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63" authorId="0" shapeId="0" xr:uid="{5579298E-A51D-664E-9ED8-2745F3F6C4A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63" authorId="0" shapeId="0" xr:uid="{A6DB35CF-9E2C-0547-B2A9-19939F1A6A1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63" authorId="0" shapeId="0" xr:uid="{D2C6A1E6-EC49-2945-BDE7-60219B5F47C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63" authorId="0" shapeId="0" xr:uid="{8F916430-B297-B64E-A243-8D7CE1CE61D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63" authorId="0" shapeId="0" xr:uid="{D2C758A2-C0A8-974B-9DF5-86803767935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63" authorId="0" shapeId="0" xr:uid="{076FF7EC-E291-7146-BF87-0B81C0E359C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64" authorId="0" shapeId="0" xr:uid="{169A8D14-A2F4-9C40-9BA9-9F63E9AE1F2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64" authorId="0" shapeId="0" xr:uid="{5EF82D34-9C27-9F49-8023-9B9C486D48C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64" authorId="0" shapeId="0" xr:uid="{814E9D3A-F47D-6047-A71D-85306CDB4A0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64" authorId="0" shapeId="0" xr:uid="{3445C827-2C24-714A-B84E-580D17452B8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64" authorId="0" shapeId="0" xr:uid="{55C38A68-DF21-5749-ABB7-DD3867FDF06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64" authorId="0" shapeId="0" xr:uid="{B700F0D1-81CF-1B47-8C0C-2A07D876762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64" authorId="0" shapeId="0" xr:uid="{3E986D58-4D6F-9749-BB58-0E8F7EA16B0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64" authorId="0" shapeId="0" xr:uid="{1EB741CC-D479-7147-91B4-6BD66B5596E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64" authorId="0" shapeId="0" xr:uid="{9E129246-6EA3-AA4A-8129-26401F66BD9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64" authorId="0" shapeId="0" xr:uid="{B88468C5-B176-5D4A-9358-F9F92A82935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65" authorId="0" shapeId="0" xr:uid="{00C20859-FB86-B24F-8445-A0A907D6DB3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65" authorId="0" shapeId="0" xr:uid="{7C0D97F3-DA49-6C45-9480-0360F3832B6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65" authorId="0" shapeId="0" xr:uid="{BA8CCB63-9FD8-964C-B3E6-CBE1FA00D3C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65" authorId="0" shapeId="0" xr:uid="{5078A3A3-6DF9-9E4A-9EC3-3467F13BC12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65" authorId="0" shapeId="0" xr:uid="{6D8D2717-A976-5A41-8AA9-154A76F59B6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65" authorId="0" shapeId="0" xr:uid="{F2E7F7E6-3D15-ED45-A7B9-BB1964D0803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65" authorId="0" shapeId="0" xr:uid="{D966286E-C6E5-9640-8F55-0EF8C5E396D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65" authorId="0" shapeId="0" xr:uid="{6857E743-9C19-834E-A2B2-2F79B88AE7E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65" authorId="0" shapeId="0" xr:uid="{CC53DF38-4948-9E49-B4DE-9A7915ADB96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65" authorId="0" shapeId="0" xr:uid="{7EE6D3B6-E2E5-6149-BFC4-48F3E6872AD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66" authorId="0" shapeId="0" xr:uid="{3CF33911-3EE9-A847-922D-3AAD27E30F2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66" authorId="0" shapeId="0" xr:uid="{F56E4E46-6245-1341-9DB0-782F771749B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66" authorId="0" shapeId="0" xr:uid="{DB73C6DC-5347-104A-922E-0DF7D35F1E9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66" authorId="0" shapeId="0" xr:uid="{F2AB05AE-0196-7B41-85E1-7A08E6594B0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66" authorId="0" shapeId="0" xr:uid="{E39DB7E2-6B54-C746-A499-E319F02E889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66" authorId="0" shapeId="0" xr:uid="{6DBA69E4-7594-074C-9765-D7B1D60BD98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66" authorId="0" shapeId="0" xr:uid="{6A6412FB-F969-B247-968D-2758FDDF03F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66" authorId="0" shapeId="0" xr:uid="{18CA1E66-D644-9C40-A6E9-CC4EA8CFEB3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66" authorId="0" shapeId="0" xr:uid="{3CEF05E3-0AF0-7A43-B457-4BF25AB5DF7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66" authorId="0" shapeId="0" xr:uid="{8E784649-7E50-3A4B-9FF4-ED542A771AB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67" authorId="0" shapeId="0" xr:uid="{D1ECE954-7801-9641-B40E-C59D77B6B5A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67" authorId="0" shapeId="0" xr:uid="{7F28F05F-8B20-9C48-87D3-F8D630D1166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67" authorId="0" shapeId="0" xr:uid="{C49C18AF-EBF2-D741-A594-893A75FC22F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67" authorId="0" shapeId="0" xr:uid="{1EA4975F-11CE-6D4A-859D-5671ECDCE95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67" authorId="0" shapeId="0" xr:uid="{7543B8CF-4F0F-A745-B79E-97A184D6EFD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67" authorId="0" shapeId="0" xr:uid="{3801A8E4-AC02-E84C-925E-950C6C5A509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67" authorId="0" shapeId="0" xr:uid="{4DE98575-D14A-4849-9FFE-C1B81E58A30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67" authorId="0" shapeId="0" xr:uid="{5BF47AF9-3D2C-384E-B4B0-05D6231396C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67" authorId="0" shapeId="0" xr:uid="{500FC513-7E80-C342-B56E-3025F1CA237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67" authorId="0" shapeId="0" xr:uid="{A2B61998-042C-EE40-B463-3B892575D05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68" authorId="0" shapeId="0" xr:uid="{05D838DC-8874-B840-A6F1-47BB35D71BA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68" authorId="0" shapeId="0" xr:uid="{35E1B0D8-0D71-344E-B95D-6F383C9C25E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68" authorId="0" shapeId="0" xr:uid="{C2D28C01-B922-BD4F-A58C-E27CFD59587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68" authorId="0" shapeId="0" xr:uid="{D57EA5CB-B282-484A-8D84-85CFC63495B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68" authorId="0" shapeId="0" xr:uid="{68E405F6-12BD-994F-A541-1DE83E17F0E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68" authorId="0" shapeId="0" xr:uid="{DF2C858D-5954-9B45-8790-4DD02971770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68" authorId="0" shapeId="0" xr:uid="{44304FCB-5D29-4845-A2CA-6283F2716A9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68" authorId="0" shapeId="0" xr:uid="{F2634D73-BCD5-A043-93E6-A4704C935DF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68" authorId="0" shapeId="0" xr:uid="{AEBFA9E5-0789-394A-9F00-6273AF89285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68" authorId="0" shapeId="0" xr:uid="{F7C393F2-7129-784F-BF82-BD1BA3EE9F8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07" authorId="0" shapeId="0" xr:uid="{7EF42C61-D08D-BE4A-85AF-B8FAB8AB320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07" authorId="0" shapeId="0" xr:uid="{859D6983-A8A4-ED44-8616-1CAAFADF6D4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07" authorId="0" shapeId="0" xr:uid="{DEA6352F-57C2-BC44-9493-62041614775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07" authorId="0" shapeId="0" xr:uid="{974E2BB9-1C7C-0A4F-A686-6AFCC5D4AAE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07" authorId="0" shapeId="0" xr:uid="{9B419BF0-A98B-C941-9B39-BB3D5B17763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07" authorId="0" shapeId="0" xr:uid="{921ADA83-9D8D-B247-9D96-E7E6080A413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07" authorId="0" shapeId="0" xr:uid="{0126AA13-58BD-9E43-B465-58C8BB1DEE1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07" authorId="0" shapeId="0" xr:uid="{283F45C4-8E83-4D46-A86B-5C153AF77A2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07" authorId="0" shapeId="0" xr:uid="{ADE06246-0653-8F43-90BF-BA2C1FEF454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07" authorId="0" shapeId="0" xr:uid="{F5D8E8FC-714C-0240-9BF3-3A91BEED90F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08" authorId="0" shapeId="0" xr:uid="{B11A6CCF-625A-2543-AD92-CACC68C7A64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08" authorId="0" shapeId="0" xr:uid="{3B49A343-329F-DC4C-B522-F8B6C20C686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08" authorId="0" shapeId="0" xr:uid="{49DAA343-2A0B-9948-8509-BA69C9D2F57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08" authorId="0" shapeId="0" xr:uid="{4DC41B00-F778-D948-9398-0E9BF696F58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08" authorId="0" shapeId="0" xr:uid="{AC3B1B74-6762-E34E-AC21-B525A9A226A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08" authorId="0" shapeId="0" xr:uid="{F0F97B7E-E99E-2C4F-902C-C9FAEB35A3F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08" authorId="0" shapeId="0" xr:uid="{5B00334C-03CD-374C-B4C6-E00C596DA86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08" authorId="0" shapeId="0" xr:uid="{EBD0B2C1-55DC-614A-AE1C-DB219ECC530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08" authorId="0" shapeId="0" xr:uid="{1231D964-350E-0E45-9CF1-3348A43C091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08" authorId="0" shapeId="0" xr:uid="{D473388F-FE1A-D74A-9A36-74AC07684DB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09" authorId="0" shapeId="0" xr:uid="{37655B0C-E32E-A945-AA97-B235B026352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09" authorId="0" shapeId="0" xr:uid="{FDFF5073-0B01-4C4E-B78A-53AAE4AA731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09" authorId="0" shapeId="0" xr:uid="{CC9A22D3-4126-BA48-AC67-E48D8DBCC57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09" authorId="0" shapeId="0" xr:uid="{BB9A5CC1-F82E-8B4C-BD2F-BCDFEB3BCA6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09" authorId="0" shapeId="0" xr:uid="{4A9364CC-B768-A643-9A56-34981FDC9C8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09" authorId="0" shapeId="0" xr:uid="{2523B1D3-7301-474D-B5E5-167EF29BA6C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09" authorId="0" shapeId="0" xr:uid="{84825428-7A48-FF4E-9A4A-DED7D04FA05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09" authorId="0" shapeId="0" xr:uid="{9CF111AB-1EDF-784F-89F5-9263532C663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09" authorId="0" shapeId="0" xr:uid="{7B121A29-CE11-E64A-AEED-BAD6238E60A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09" authorId="0" shapeId="0" xr:uid="{73098E5C-4AB4-2E48-9BCB-A133A7C9115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10" authorId="0" shapeId="0" xr:uid="{CBE2B1A8-E02E-F247-9F54-91F50BF2D3C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10" authorId="0" shapeId="0" xr:uid="{AC99A0D1-CF59-CA42-BA18-FE7212BE0D7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10" authorId="0" shapeId="0" xr:uid="{B449AC79-E314-CF46-9578-B08215F788E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10" authorId="0" shapeId="0" xr:uid="{61CBB88E-8EC6-3C4B-AE06-36CD56DEDEF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10" authorId="0" shapeId="0" xr:uid="{22F082B6-9705-9943-987F-8CC1096F915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10" authorId="0" shapeId="0" xr:uid="{29D006D3-0BD6-0146-B208-17E9F57498A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10" authorId="0" shapeId="0" xr:uid="{D21B2FA4-8EF3-C744-B9DD-9A006FBEB71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10" authorId="0" shapeId="0" xr:uid="{4E0F142B-28DE-C64A-AF85-97D0A575A46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10" authorId="0" shapeId="0" xr:uid="{D80113E9-4CB5-2141-891D-1E5C39A8E39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10" authorId="0" shapeId="0" xr:uid="{0157F204-E46D-6C41-975C-89835471412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11" authorId="0" shapeId="0" xr:uid="{22FD0ACA-4FC4-E743-B844-54ED97E20F7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11" authorId="0" shapeId="0" xr:uid="{7C8D03F9-FD34-744C-90ED-E3B6E64DE37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11" authorId="0" shapeId="0" xr:uid="{10F3791D-47CA-994E-BEF1-D5AD5536505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11" authorId="0" shapeId="0" xr:uid="{D7276ACE-A4E8-AF43-BAE0-BDA0335BC21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11" authorId="0" shapeId="0" xr:uid="{7E760CCB-8E00-184A-A59E-AAE2A7E3EF2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11" authorId="0" shapeId="0" xr:uid="{E7729C91-F65E-7E4B-93D9-717EBB6FA3C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11" authorId="0" shapeId="0" xr:uid="{C47D8D22-F726-AE44-9BDF-98EC31400CF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11" authorId="0" shapeId="0" xr:uid="{16D56413-6D4E-104C-8F74-731A2A8EF4C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11" authorId="0" shapeId="0" xr:uid="{ED47966D-20AC-EB4B-B17E-B611DF13D4A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11" authorId="0" shapeId="0" xr:uid="{811D5125-5E68-4C4C-A1A3-22C074B8319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12" authorId="0" shapeId="0" xr:uid="{1E3AECF6-8F00-8141-93F6-07DDF3A1837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12" authorId="0" shapeId="0" xr:uid="{8F0D09A9-59A9-3249-BFAC-B18F6B4663B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12" authorId="0" shapeId="0" xr:uid="{938BE879-3E28-BA47-89F3-43BC0DA0B25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12" authorId="0" shapeId="0" xr:uid="{72B296B5-727F-7C4C-8D42-D49CA652EBB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12" authorId="0" shapeId="0" xr:uid="{6416C5B3-CDD3-8949-AA8B-CFCFEE115CC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12" authorId="0" shapeId="0" xr:uid="{020EBD3D-12A5-414A-BE43-1C0EDBC734A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12" authorId="0" shapeId="0" xr:uid="{D9E113DD-1B63-BB48-9304-68D31C449FC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12" authorId="0" shapeId="0" xr:uid="{8907C1F7-536F-2941-9E53-99519AF6038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12" authorId="0" shapeId="0" xr:uid="{E30CF4EA-AEDB-B842-9DCE-B7126FB3B65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12" authorId="0" shapeId="0" xr:uid="{849384D8-BA20-2E40-9C96-48BB78A8F0A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13" authorId="0" shapeId="0" xr:uid="{065CB94B-88F6-6047-B727-236E0729ECE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13" authorId="0" shapeId="0" xr:uid="{DE27E76C-0049-A64A-97FB-6662A1AAF3E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13" authorId="0" shapeId="0" xr:uid="{E8AC8642-DCEA-D745-84E0-1EECBC3B841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13" authorId="0" shapeId="0" xr:uid="{C6BCCA6E-6418-0C4E-B34E-305198D43DB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13" authorId="0" shapeId="0" xr:uid="{5619ED55-3806-3142-BBB1-7AE3B2C10B7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13" authorId="0" shapeId="0" xr:uid="{D0C25CD0-4848-994B-B2A1-E653CF181B1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13" authorId="0" shapeId="0" xr:uid="{98314BA2-F013-9E46-97F5-F204D0AEE6A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13" authorId="0" shapeId="0" xr:uid="{95A4C15F-219A-C04F-9658-30C7480FB57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13" authorId="0" shapeId="0" xr:uid="{58687C62-25F9-3242-9659-7A2D0ABFC66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13" authorId="0" shapeId="0" xr:uid="{D11397A0-EDFA-A64A-BAB0-533D632FFE1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14" authorId="0" shapeId="0" xr:uid="{D5BC1FAC-D35F-FF41-ADF0-C90E50A3A4E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14" authorId="0" shapeId="0" xr:uid="{4F1AB6DC-D63A-0046-8042-EEED567D5EC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14" authorId="0" shapeId="0" xr:uid="{0B940246-2AA4-AD44-81D5-D091218FC1B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14" authorId="0" shapeId="0" xr:uid="{3FE83414-A500-B741-BF05-92AB61B0B69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14" authorId="0" shapeId="0" xr:uid="{BED04BB5-8B31-274F-BFDD-83C9E463A7A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14" authorId="0" shapeId="0" xr:uid="{101A6C02-6163-DF4C-8DBC-D197653FC80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14" authorId="0" shapeId="0" xr:uid="{18242ADD-65F5-6948-874D-33B5D84498A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14" authorId="0" shapeId="0" xr:uid="{C6A32F41-AB32-614A-A060-CBAA05B8478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14" authorId="0" shapeId="0" xr:uid="{C62AD7BA-D8C8-4E48-AE64-9B462928CB2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14" authorId="0" shapeId="0" xr:uid="{3FCAFB80-CB63-284E-8E8E-F60C89453B0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15" authorId="0" shapeId="0" xr:uid="{F05A4F29-26B4-5343-9A8E-95C8ED15A01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15" authorId="0" shapeId="0" xr:uid="{066B1997-3FDB-A048-AD77-E1E90E29A1A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15" authorId="0" shapeId="0" xr:uid="{93DBA0E5-982B-5746-A295-04948940794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15" authorId="0" shapeId="0" xr:uid="{E70B1B46-6FE2-384F-82BD-ECE0FD29540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15" authorId="0" shapeId="0" xr:uid="{0EAB14D9-D7EC-FA47-AFD3-3574533DAA8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15" authorId="0" shapeId="0" xr:uid="{F70B235C-63AB-9347-BFBE-9D8A15D8743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15" authorId="0" shapeId="0" xr:uid="{A0C47C57-736F-6543-8CE6-505EE870166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15" authorId="0" shapeId="0" xr:uid="{B1EDE76C-A98C-C64D-9B2C-E3AD8A09529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15" authorId="0" shapeId="0" xr:uid="{7223C71F-EA8C-074D-AB2D-79FB07366F6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15" authorId="0" shapeId="0" xr:uid="{58638C2A-7DF5-B742-8CDA-77F256C2BC4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16" authorId="0" shapeId="0" xr:uid="{3C410BE7-DCAC-514D-BEA7-98922B0EFA0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16" authorId="0" shapeId="0" xr:uid="{CCD318F5-4ECA-BA48-82CB-F75ACE6491F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16" authorId="0" shapeId="0" xr:uid="{00615AB4-9BA5-2B4A-9B2F-3BABE3EFFB7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16" authorId="0" shapeId="0" xr:uid="{F37EA561-9592-BB45-A39A-2CB0DA9D120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16" authorId="0" shapeId="0" xr:uid="{79154B50-EB72-0F43-8CFD-DC8A60EF415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16" authorId="0" shapeId="0" xr:uid="{1A92FEA5-A3E7-064C-B435-438E012DED1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16" authorId="0" shapeId="0" xr:uid="{DE71401B-1A6B-A244-82FC-1C9C2631308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16" authorId="0" shapeId="0" xr:uid="{38C8A867-C349-E043-81FE-A532D6526D1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16" authorId="0" shapeId="0" xr:uid="{ABCDA63F-9BED-2743-8E2C-1EF5FF5CB9D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16" authorId="0" shapeId="0" xr:uid="{E37B74A2-555B-F84A-B572-90B2377E134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17" authorId="0" shapeId="0" xr:uid="{5A364D7A-2A16-E84F-AD94-8F3620D632A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17" authorId="0" shapeId="0" xr:uid="{CA3FC6F3-C928-5844-AE08-37CE8C2C407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17" authorId="0" shapeId="0" xr:uid="{173F3BD1-956C-DE45-8F0B-D2782AB80C4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17" authorId="0" shapeId="0" xr:uid="{73733A42-02B1-3544-AFA2-26B0BE2AD7B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17" authorId="0" shapeId="0" xr:uid="{9F98B7A6-F955-0C4D-83AF-E05E02828A2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17" authorId="0" shapeId="0" xr:uid="{0E014F22-9870-9B42-904E-60F9CC13075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17" authorId="0" shapeId="0" xr:uid="{D23B9661-007F-0B47-B9BF-611EB355BCD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17" authorId="0" shapeId="0" xr:uid="{40F06A46-A927-784F-B7A1-0F0EE5D763F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17" authorId="0" shapeId="0" xr:uid="{B0F949D2-DC1B-F645-8486-FD1A07C2C56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17" authorId="0" shapeId="0" xr:uid="{94D09DBB-8FF4-A746-95DC-B55EA52DCFC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18" authorId="0" shapeId="0" xr:uid="{72A3F8D8-F251-F148-9061-06878BDAFDB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18" authorId="0" shapeId="0" xr:uid="{34200A90-6357-2E4F-AEA3-246144EF61C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18" authorId="0" shapeId="0" xr:uid="{5EC20A14-8FCE-BE49-8EA4-B277F2D6A1E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18" authorId="0" shapeId="0" xr:uid="{71342EA2-8D6E-664C-95BF-7B8BE12D417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18" authorId="0" shapeId="0" xr:uid="{D62DA422-2C13-7343-9209-17676E64256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18" authorId="0" shapeId="0" xr:uid="{BFE21A61-A224-974C-B5ED-C5978AB2833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18" authorId="0" shapeId="0" xr:uid="{97F3CA73-E706-2B46-9581-38E4358FEE2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18" authorId="0" shapeId="0" xr:uid="{A1ED41E7-D2BE-6941-9D63-944C6BF5437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18" authorId="0" shapeId="0" xr:uid="{AD9DF40B-D114-3F41-975A-9A8AA1F9BA4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18" authorId="0" shapeId="0" xr:uid="{AD37E6F4-CDFF-9249-837B-F1A102CFF26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19" authorId="0" shapeId="0" xr:uid="{E5943413-C872-B244-86DD-A178D91DA79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19" authorId="0" shapeId="0" xr:uid="{DBB8D3F2-93C9-5043-BEEF-1FF3D754E44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19" authorId="0" shapeId="0" xr:uid="{965741CF-7BB1-8A41-9590-A3F75F45464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19" authorId="0" shapeId="0" xr:uid="{F2E7E773-1C4A-3444-BAFD-5B4533234CE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19" authorId="0" shapeId="0" xr:uid="{52DFD8A1-A146-ED42-8CC6-292CCFAE912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19" authorId="0" shapeId="0" xr:uid="{A17D78EA-79E4-7C4E-AD31-12FABEF9060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19" authorId="0" shapeId="0" xr:uid="{BD83BC44-0C58-6F43-BB01-4FC41BB83E0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19" authorId="0" shapeId="0" xr:uid="{94ABB565-FAE4-A94C-B94C-3583A68159C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19" authorId="0" shapeId="0" xr:uid="{2F3F2F02-FCBB-ED4B-8058-DB561064231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19" authorId="0" shapeId="0" xr:uid="{CFD778D0-A1FE-704D-8644-C82B3B1D303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20" authorId="0" shapeId="0" xr:uid="{5F1B899B-5171-FE4B-B3D5-4712CC18DEE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20" authorId="0" shapeId="0" xr:uid="{E246C4D5-94CC-024B-84F0-205C37E5219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20" authorId="0" shapeId="0" xr:uid="{4969B336-B4F8-9B45-A471-246EB92A79F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20" authorId="0" shapeId="0" xr:uid="{CB322DDD-0242-1543-B115-21544809FB9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20" authorId="0" shapeId="0" xr:uid="{CD99DB36-B1C0-4A48-8E21-03A65702AC3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20" authorId="0" shapeId="0" xr:uid="{83AAAEE7-35C2-024A-9AF5-5834582FB57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20" authorId="0" shapeId="0" xr:uid="{DAF79CAF-3C79-904D-9C37-3A4A1515F1E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20" authorId="0" shapeId="0" xr:uid="{C104DFDF-4FC8-9748-A2FD-44B30FA6BB7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20" authorId="0" shapeId="0" xr:uid="{540EA255-B691-9345-A7A1-055DA84B2D0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20" authorId="0" shapeId="0" xr:uid="{5A1F3D1B-172F-9A49-BB7E-F38E0CE1393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21" authorId="0" shapeId="0" xr:uid="{ADE7CDC3-3AA7-1948-AF9F-46B16FC8790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21" authorId="0" shapeId="0" xr:uid="{64A5595F-6EC4-724C-A444-737238C9524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21" authorId="0" shapeId="0" xr:uid="{E32B7514-60F0-C84D-933A-D1466E295BA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21" authorId="0" shapeId="0" xr:uid="{8E6249A7-F25D-AA41-9298-11A408935B0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21" authorId="0" shapeId="0" xr:uid="{7E5D3180-5839-4042-B058-78A64D86109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21" authorId="0" shapeId="0" xr:uid="{34230F91-EAEC-014E-AFB4-0A9F71BF4A7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21" authorId="0" shapeId="0" xr:uid="{5669AC7D-F7D1-D34B-B009-3B6A9CAB97F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21" authorId="0" shapeId="0" xr:uid="{6EBB1BE3-E517-A047-824D-2325803A3B5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21" authorId="0" shapeId="0" xr:uid="{23B1B5B3-3748-BB46-BC76-A770E894EF2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21" authorId="0" shapeId="0" xr:uid="{280ABA28-29C2-4E4A-9896-42DE3E830DB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22" authorId="0" shapeId="0" xr:uid="{2FCF3B38-D7C9-D740-A401-534F0D89DBF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22" authorId="0" shapeId="0" xr:uid="{2BADAFDF-A127-B246-AF05-33E1E116655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22" authorId="0" shapeId="0" xr:uid="{E2B636B4-F0C4-A74E-B2A9-3CEBF687FA0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22" authorId="0" shapeId="0" xr:uid="{B46C5972-9DD7-0747-B4C4-816C856DC5E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22" authorId="0" shapeId="0" xr:uid="{68D193FA-BE00-D744-9FD0-165D36006B9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22" authorId="0" shapeId="0" xr:uid="{F7551033-3333-EA4C-9F41-C74E04BD345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22" authorId="0" shapeId="0" xr:uid="{B005CB13-31A0-2B4C-82F7-BAF504CC2F4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22" authorId="0" shapeId="0" xr:uid="{88D77DFA-AD86-C34D-8868-64717DA6000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22" authorId="0" shapeId="0" xr:uid="{0F0CE79C-5E01-3040-9E85-3F707143A83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22" authorId="0" shapeId="0" xr:uid="{3AB73A54-0BD4-354C-B59B-6CC31D3E016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23" authorId="0" shapeId="0" xr:uid="{72E03CF7-DB5F-144E-A6F8-3E52BD47A4D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23" authorId="0" shapeId="0" xr:uid="{A3AA0843-4234-B240-9616-4FBB7133568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23" authorId="0" shapeId="0" xr:uid="{CCC7B91B-CD00-2447-BEDC-5AAC621107C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23" authorId="0" shapeId="0" xr:uid="{64D452C1-A487-CC4A-BECC-7E9F80F60A7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23" authorId="0" shapeId="0" xr:uid="{7A86FC00-C92F-B94C-A795-D8143B13B8C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23" authorId="0" shapeId="0" xr:uid="{368AA61A-6CF2-FB40-8FE4-4231AEB02EB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23" authorId="0" shapeId="0" xr:uid="{523D2852-3E1B-0846-8742-8D4E38964DD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23" authorId="0" shapeId="0" xr:uid="{E65E8E26-D21F-AE4C-88CD-803DD8EEA470}">
      <text>
        <r>
          <rPr>
            <b/>
            <sz val="10"/>
            <color rgb="FF000000"/>
            <rFont val="Tahoma"/>
            <family val="2"/>
          </rPr>
          <t>Keller, Zach:</t>
        </r>
        <r>
          <rPr>
            <sz val="10"/>
            <color rgb="FF000000"/>
            <rFont val="Tahoma"/>
            <family val="2"/>
          </rPr>
          <t xml:space="preserve">
</t>
        </r>
        <r>
          <rPr>
            <sz val="10"/>
            <color rgb="FF000000"/>
            <rFont val="Tahoma"/>
            <family val="2"/>
          </rPr>
          <t>Source: ChampsOrChumps.us (secondary site; season standings &amp; playoff results), https://champsorchumps.us/summary/nba/2024</t>
        </r>
      </text>
    </comment>
    <comment ref="J123" authorId="0" shapeId="0" xr:uid="{EB7A86FD-288B-3145-A94B-7A32607B0C3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23" authorId="0" shapeId="0" xr:uid="{4DE861BD-59B6-F543-9A82-9D630048135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24" authorId="0" shapeId="0" xr:uid="{66783183-5EBC-9543-9646-E73413D95FA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24" authorId="0" shapeId="0" xr:uid="{DDF426E2-84D2-CC44-83BC-296D4980C94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24" authorId="0" shapeId="0" xr:uid="{328840BE-BED3-514A-86AD-D6CBF381E68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24" authorId="0" shapeId="0" xr:uid="{F4A01435-EE3D-0946-88F1-24FF834FF13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24" authorId="0" shapeId="0" xr:uid="{832EF13C-AB60-2249-BA2F-6637BC4AA36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24" authorId="0" shapeId="0" xr:uid="{725D240B-2CD2-7B42-B9AD-D653CC98876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24" authorId="0" shapeId="0" xr:uid="{7421D3F9-1F09-9F4A-9632-36A4DBE6668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24" authorId="0" shapeId="0" xr:uid="{CE41DFAF-909C-6046-96B4-866DD6C19EF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24" authorId="0" shapeId="0" xr:uid="{BF5D0766-366F-1441-B6B5-0F593470BA8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24" authorId="0" shapeId="0" xr:uid="{A8BB8B15-64EA-584F-BF6D-22AA4BD4416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25" authorId="0" shapeId="0" xr:uid="{7157178B-6C9E-AD4A-9D19-006B3B07D82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25" authorId="0" shapeId="0" xr:uid="{CD81E442-33B6-5340-BE01-E3761E76A6A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25" authorId="0" shapeId="0" xr:uid="{C0E24AF6-A2EC-B046-B4AD-0ABD47CDEE0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25" authorId="0" shapeId="0" xr:uid="{BD00F500-6097-574C-90DD-2926734B728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25" authorId="0" shapeId="0" xr:uid="{D0C98BFA-E607-1C4F-862C-B5444489C7C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25" authorId="0" shapeId="0" xr:uid="{B981D2A7-CA2D-4D45-901D-0E525FEEA20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25" authorId="0" shapeId="0" xr:uid="{61C4AAA6-2D48-544F-A396-5DBF678D998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25" authorId="0" shapeId="0" xr:uid="{3BE4B19E-8484-2A42-AFE7-CC09507D139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25" authorId="0" shapeId="0" xr:uid="{EF45435A-6FD5-5F43-861C-D0E31F8A83F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25" authorId="0" shapeId="0" xr:uid="{A1851D8C-DCB5-1B45-9E6B-2A0F3463942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26" authorId="0" shapeId="0" xr:uid="{6638A578-1182-E940-87B8-37A3DE84CD1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26" authorId="0" shapeId="0" xr:uid="{57DE7C94-20E4-9E45-B935-45630E315CB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26" authorId="0" shapeId="0" xr:uid="{FED372BC-940B-E446-BF82-506D09B0E75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26" authorId="0" shapeId="0" xr:uid="{403E4EDC-D141-BF44-A645-2F342B7822F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26" authorId="0" shapeId="0" xr:uid="{06F8B340-ADE3-9644-ACBF-32F7183ABB0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26" authorId="0" shapeId="0" xr:uid="{DA883D48-CD97-E34A-91BE-C7F11EB6469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26" authorId="0" shapeId="0" xr:uid="{F98D99EF-6DE7-3F4F-A3B9-6DA62202D9A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26" authorId="0" shapeId="0" xr:uid="{DF4D54C3-701F-674D-BABB-6F984090482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26" authorId="0" shapeId="0" xr:uid="{79DE4379-DF5B-4041-81A1-2E28B1398F7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26" authorId="0" shapeId="0" xr:uid="{83393204-C358-6940-A9B8-E33C01BF106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27" authorId="0" shapeId="0" xr:uid="{D7CC20EC-3F6E-7644-93E3-71D5B942645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27" authorId="0" shapeId="0" xr:uid="{9026F709-5BA6-A74F-A302-8D432832939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27" authorId="0" shapeId="0" xr:uid="{CB067C40-6E0E-0440-A5C1-1534C7995B6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27" authorId="0" shapeId="0" xr:uid="{706D1663-6E3A-B34F-BF88-63658B503B3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27" authorId="0" shapeId="0" xr:uid="{F4E6BDAB-8C86-414A-B3C9-23C3F11CA41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27" authorId="0" shapeId="0" xr:uid="{D2EAB630-CDDE-0742-B31C-DBA5BDC2144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27" authorId="0" shapeId="0" xr:uid="{887C499D-134B-5A45-9F7B-A1FF2E5A14E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27" authorId="0" shapeId="0" xr:uid="{037FFC58-0B23-A641-A20E-A3B097C57A7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27" authorId="0" shapeId="0" xr:uid="{A5327D4E-B250-DC42-A7E6-20703D6AEFA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27" authorId="0" shapeId="0" xr:uid="{141FFD7F-16C9-4249-ABCB-0F5D8C68024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28" authorId="0" shapeId="0" xr:uid="{1A06CDC3-851A-1B4A-B9F3-E35083243D7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28" authorId="0" shapeId="0" xr:uid="{946E90B0-4623-8243-B58A-E64F0383AF5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28" authorId="0" shapeId="0" xr:uid="{E815E9AB-04C6-0B4D-BB14-60407DB491D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28" authorId="0" shapeId="0" xr:uid="{7DE57EBA-76A1-1D4C-B95E-268F00112D8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28" authorId="0" shapeId="0" xr:uid="{41B871F2-C2A9-E446-AE40-C865E6DD8C2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28" authorId="0" shapeId="0" xr:uid="{5DFABEF8-190B-B14C-9230-0D39C38E061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28" authorId="0" shapeId="0" xr:uid="{880C832A-0CAA-C246-ADB4-4A90219D779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28" authorId="0" shapeId="0" xr:uid="{A7DEF1B8-5EFA-1C40-982C-31F4825AF99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28" authorId="0" shapeId="0" xr:uid="{AC1A1122-FC2D-BD42-B409-3FD3E37BE0D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28" authorId="0" shapeId="0" xr:uid="{4A0694A3-7F1C-444E-9A23-FFA5DA2098E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29" authorId="0" shapeId="0" xr:uid="{AD0A722C-69AF-F044-BD7D-94155581E79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29" authorId="0" shapeId="0" xr:uid="{A5BFFA36-5C6B-5C44-B2F6-66DDB8014B2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29" authorId="0" shapeId="0" xr:uid="{53D27D11-3425-E845-8355-3D55FE69400D}">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29" authorId="0" shapeId="0" xr:uid="{88C43C9F-CEC3-E645-A997-2EA89E45A9E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29" authorId="0" shapeId="0" xr:uid="{61E0E322-9F36-3549-92F7-DFFADE706E8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29" authorId="0" shapeId="0" xr:uid="{1702172D-68CB-7946-8F1A-254BB0D2157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29" authorId="0" shapeId="0" xr:uid="{2CB0C4F7-C139-CA40-A0A5-3664FFFBFCF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29" authorId="0" shapeId="0" xr:uid="{5CEC9D1B-6900-1B4F-BA59-8BB0254CFB7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29" authorId="0" shapeId="0" xr:uid="{93CC0F83-53D0-4C49-B12A-5E67BE174C6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29" authorId="0" shapeId="0" xr:uid="{C1930A82-D8C2-474E-9649-D474DDE676B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30" authorId="0" shapeId="0" xr:uid="{E224485F-2920-C846-8CED-232F85CEE15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30" authorId="0" shapeId="0" xr:uid="{27AAFE92-E20A-B245-918A-5DC62376471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30" authorId="0" shapeId="0" xr:uid="{190D00F3-EC5A-7942-9E6B-403A636CD7A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30" authorId="0" shapeId="0" xr:uid="{03AE7EA4-BA1C-DE4F-99CF-9EA2AF9C6BB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30" authorId="0" shapeId="0" xr:uid="{203C5527-606C-0D45-B27F-7793A0831E2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30" authorId="0" shapeId="0" xr:uid="{84722781-5470-2C4D-BB7D-68685300026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30" authorId="0" shapeId="0" xr:uid="{5106D13A-9C7C-7A48-ABF7-16594AB3338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30" authorId="0" shapeId="0" xr:uid="{D96D1A5F-DD22-AD4B-BB1A-DAB39F7B70E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30" authorId="0" shapeId="0" xr:uid="{EE9CB3F1-CFD6-5E45-AEEB-EE5D1F84BE2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30" authorId="0" shapeId="0" xr:uid="{D0621858-22D4-B74D-B2FA-28B75A866BC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31" authorId="0" shapeId="0" xr:uid="{3074BC2F-C2F1-0543-A4F3-53048D82154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31" authorId="0" shapeId="0" xr:uid="{BD5A5E62-0F07-B54D-92A2-E8783482E5F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31" authorId="0" shapeId="0" xr:uid="{CD49129C-D249-5C4D-BBFF-348D6132DD4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31" authorId="0" shapeId="0" xr:uid="{F1E1AC89-F277-894A-9D66-4FFADE3C95D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31" authorId="0" shapeId="0" xr:uid="{6374D352-8C12-0C43-84C9-6949C11B749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31" authorId="0" shapeId="0" xr:uid="{3B6561EC-8BCD-9447-8C79-F1B1B0FD98A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31" authorId="0" shapeId="0" xr:uid="{73FBE6D1-A09F-0B4D-B858-F4BE1E08590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31" authorId="0" shapeId="0" xr:uid="{F08297FC-33F1-074D-A1DD-8BDE5547C03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31" authorId="0" shapeId="0" xr:uid="{BD582283-3B94-C541-BBB1-B8DF0B7EE07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31" authorId="0" shapeId="0" xr:uid="{2C51B57B-73CC-1143-8C35-76C4C29F3E9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32" authorId="0" shapeId="0" xr:uid="{979FCED6-0C3B-3B4B-BB98-25CA84DBB88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32" authorId="0" shapeId="0" xr:uid="{87D9B869-C1AE-D149-9A8A-88A9B959FD8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32" authorId="0" shapeId="0" xr:uid="{494F0F1D-A500-9A41-ADDC-E2683BB7B18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32" authorId="0" shapeId="0" xr:uid="{6D6BE8BD-65BE-DC4E-B553-F3105B36412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32" authorId="0" shapeId="0" xr:uid="{77E6FB97-6649-9C4D-B4CD-D4A4C9C06CC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32" authorId="0" shapeId="0" xr:uid="{7D2D958B-54BC-7A40-8712-CB881272DD9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32" authorId="0" shapeId="0" xr:uid="{712198C1-241F-724B-AA0C-F2533D12208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32" authorId="0" shapeId="0" xr:uid="{ED983962-2150-E342-9351-5DD1A95DE79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32" authorId="0" shapeId="0" xr:uid="{EDAA5958-9CDB-574B-93F5-D237EAF213B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32" authorId="0" shapeId="0" xr:uid="{3B3BFDCF-B39F-0C48-9E5D-8E7B35CC3C2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33" authorId="0" shapeId="0" xr:uid="{EB2136CC-9349-E24D-B748-9A3C61EF3AD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33" authorId="0" shapeId="0" xr:uid="{F345C38D-4950-6B4B-8699-8DF4DEBDCE3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33" authorId="0" shapeId="0" xr:uid="{2E059FBE-53E5-2142-8D45-DB555A6E74C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33" authorId="0" shapeId="0" xr:uid="{4CE930F2-85FA-A04C-B8B5-93C832A32ED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33" authorId="0" shapeId="0" xr:uid="{05588768-F764-5745-82AC-D5E1E12E169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33" authorId="0" shapeId="0" xr:uid="{0E7A3591-2FD3-3E41-AA71-ABB2E2C78AE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33" authorId="0" shapeId="0" xr:uid="{8496E2F3-9C2C-764F-B9DB-CFF4DDA7FF4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33" authorId="0" shapeId="0" xr:uid="{48DFF8F5-9ED2-A044-A31C-62420252EE2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33" authorId="0" shapeId="0" xr:uid="{54E685A3-932C-6D4F-A361-6F75235E3BC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33" authorId="0" shapeId="0" xr:uid="{6350A8E3-18D6-D34E-8D74-3EBE52A8E35B}">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34" authorId="0" shapeId="0" xr:uid="{60BF59E8-7C97-3749-96C2-7294A507178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34" authorId="0" shapeId="0" xr:uid="{7784AA5E-7ECD-684E-B280-E2AEA45CA642}">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34" authorId="0" shapeId="0" xr:uid="{E54EB308-4B36-7642-8A9D-A0E2A3B2BB3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34" authorId="0" shapeId="0" xr:uid="{45E6C65A-2D80-D44C-9F15-DC1D54B2C6D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34" authorId="0" shapeId="0" xr:uid="{2EE7C940-3734-C540-BB17-397E92C0BE07}">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34" authorId="0" shapeId="0" xr:uid="{4EDAB34C-5FB9-7745-AE77-50DB97E498F4}">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34" authorId="0" shapeId="0" xr:uid="{2EDBDE72-8888-8648-9460-5237D9A513A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34" authorId="0" shapeId="0" xr:uid="{48EEE0F5-9739-7F48-A00F-5CBF367B774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34" authorId="0" shapeId="0" xr:uid="{05784C33-912B-3F4F-82FF-F78269B3F84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34" authorId="0" shapeId="0" xr:uid="{16E66C10-E451-E749-A5C9-637E13694EB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35" authorId="0" shapeId="0" xr:uid="{ECFAC87A-C796-3E4B-98DA-40274A65581C}">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35" authorId="0" shapeId="0" xr:uid="{F065DBF2-D0DD-3548-B3A6-390055DEF6E1}">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35" authorId="0" shapeId="0" xr:uid="{FDE214B5-1FCF-874F-8570-1C66033A9546}">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35" authorId="0" shapeId="0" xr:uid="{7B59AB64-A07E-3C42-A99D-C44BAE6652C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35" authorId="0" shapeId="0" xr:uid="{D3B6EF75-DD46-5E46-B2C4-93FAC94AEDA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35" authorId="0" shapeId="0" xr:uid="{1ED03B29-1D6E-4047-8462-F50A75ABC9B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35" authorId="0" shapeId="0" xr:uid="{4DDD77EE-32DF-E443-A4ED-34C3E927D858}">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35" authorId="0" shapeId="0" xr:uid="{6BDC3F5D-6CA0-0846-87BC-45606BD88BD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35" authorId="0" shapeId="0" xr:uid="{EAAD7CBF-2EDE-B941-9F53-D89DD1DDF8A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https://champsorchumps.us/summary/nba/2025</t>
        </r>
      </text>
    </comment>
    <comment ref="K135" authorId="0" shapeId="0" xr:uid="{F79E6FFB-FDA1-3D4F-BAB5-010F26E6C03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136" authorId="0" shapeId="0" xr:uid="{9741E116-80FD-F546-902B-E3A86102935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https://champsorchumps.us/summary/nba/2017</t>
        </r>
      </text>
    </comment>
    <comment ref="C136" authorId="0" shapeId="0" xr:uid="{E5FEEEC8-1E5B-AD4F-89B7-056463CA986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https://champsorchumps.us/summary/nba/2018</t>
        </r>
      </text>
    </comment>
    <comment ref="D136" authorId="0" shapeId="0" xr:uid="{9DEC707A-FA2A-FC43-96CE-197BC8358503}">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https://champsorchumps.us/summary/nba/2019</t>
        </r>
      </text>
    </comment>
    <comment ref="E136" authorId="0" shapeId="0" xr:uid="{060221CC-6225-B34B-8C3E-E6D4618EC9E5}">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https://champsorchumps.us/summary/nba/2020</t>
        </r>
      </text>
    </comment>
    <comment ref="F136" authorId="0" shapeId="0" xr:uid="{8F1A1699-A162-F847-AF59-39D7B8EFBF89}">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https://champsorchumps.us/summary/nba/2021</t>
        </r>
      </text>
    </comment>
    <comment ref="G136" authorId="0" shapeId="0" xr:uid="{F192BDF9-79D6-D744-9758-7142528A5B50}">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https://champsorchumps.us/summary/nba/2022</t>
        </r>
      </text>
    </comment>
    <comment ref="H136" authorId="0" shapeId="0" xr:uid="{2F5C26C1-503D-934F-A83E-2C631F8863AE}">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https://champsorchumps.us/summary/nba/2023</t>
        </r>
      </text>
    </comment>
    <comment ref="I136" authorId="0" shapeId="0" xr:uid="{2C35AF85-C8E1-3245-A082-A868FE3A218F}">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https://champsorchumps.us/summary/nba/2024</t>
        </r>
      </text>
    </comment>
    <comment ref="J136" authorId="0" shapeId="0" xr:uid="{5D166EC7-12E9-C241-B04F-FB7073DEF919}">
      <text>
        <r>
          <rPr>
            <b/>
            <sz val="10"/>
            <color rgb="FF000000"/>
            <rFont val="Tahoma"/>
            <family val="2"/>
          </rPr>
          <t>Keller, Zach:</t>
        </r>
        <r>
          <rPr>
            <sz val="10"/>
            <color rgb="FF000000"/>
            <rFont val="Tahoma"/>
            <family val="2"/>
          </rPr>
          <t xml:space="preserve">
</t>
        </r>
        <r>
          <rPr>
            <sz val="10"/>
            <color rgb="FF000000"/>
            <rFont val="Tahoma"/>
            <family val="2"/>
          </rPr>
          <t>Source: ChampsOrChumps.us (secondary site; season standings &amp; playoff results), https://champsorchumps.us/summary/nba/2025</t>
        </r>
      </text>
    </comment>
    <comment ref="K136" authorId="0" shapeId="0" xr:uid="{3C07A57E-AF63-4E43-8879-B9D2C7B3288A}">
      <text>
        <r>
          <rPr>
            <b/>
            <sz val="10"/>
            <color rgb="FF000000"/>
            <rFont val="Tahoma"/>
            <family val="2"/>
          </rPr>
          <t>Keller, Zach:</t>
        </r>
        <r>
          <rPr>
            <sz val="10"/>
            <color rgb="FF000000"/>
            <rFont val="Tahoma"/>
            <family val="2"/>
          </rPr>
          <t xml:space="preserve">
Source: ChampsOrChumps.us (secondary site; season standings &amp; playoff results), https://champsorchumps.us/summary/nba/2026</t>
        </r>
      </text>
    </comment>
    <comment ref="B241" authorId="0" shapeId="0" xr:uid="{03857F64-E793-C142-805E-F3FBECA4EE2E}">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C241" authorId="0" shapeId="0" xr:uid="{BB231839-D663-3F4C-980D-C9DD0878F7C6}">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D241" authorId="0" shapeId="0" xr:uid="{29F7A947-E8CE-7B40-8091-25BFE192BA7B}">
      <text>
        <r>
          <rPr>
            <b/>
            <sz val="10"/>
            <color rgb="FF000000"/>
            <rFont val="Tahoma"/>
            <family val="2"/>
          </rPr>
          <t>Keller, Zach:</t>
        </r>
        <r>
          <rPr>
            <sz val="10"/>
            <color rgb="FF000000"/>
            <rFont val="Tahoma"/>
            <family val="2"/>
          </rPr>
          <t xml:space="preserve">
Source: Basketball-Reference, 2016 NBA Playoffs 'Playoff Series' list (user screenshot), https://www.basketball-reference.com/playoffs/NBA_2016.html. Teams not listed missed the playoffs.</t>
        </r>
      </text>
    </comment>
    <comment ref="B242" authorId="0" shapeId="0" xr:uid="{D89F98BA-E72A-3A4A-875B-ADCFF82E2D23}">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C242" authorId="0" shapeId="0" xr:uid="{7D261584-FADA-5943-A719-6AA0E5E1EB17}">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D242" authorId="0" shapeId="0" xr:uid="{E75DF5A6-3267-C84B-B7A0-7DCAD225BB1E}">
      <text>
        <r>
          <rPr>
            <b/>
            <sz val="10"/>
            <color rgb="FF000000"/>
            <rFont val="Tahoma"/>
            <family val="2"/>
          </rPr>
          <t>Keller, Zach:</t>
        </r>
        <r>
          <rPr>
            <sz val="10"/>
            <color rgb="FF000000"/>
            <rFont val="Tahoma"/>
            <family val="2"/>
          </rPr>
          <t xml:space="preserve">
Source: Basketball-Reference, 2016 NBA Playoffs 'Playoff Series' list (user screenshot), https://www.basketball-reference.com/playoffs/NBA_2016.html. Teams not listed missed the playoffs.</t>
        </r>
      </text>
    </comment>
    <comment ref="B243" authorId="0" shapeId="0" xr:uid="{C23A4DAB-E74E-9645-94C1-C3F3B398B7FC}">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C243" authorId="0" shapeId="0" xr:uid="{45273BDE-8E37-914C-B504-78EDD5EDE481}">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D243" authorId="0" shapeId="0" xr:uid="{9F642955-58B6-5F4C-BB42-F42FD587204A}">
      <text>
        <r>
          <rPr>
            <b/>
            <sz val="10"/>
            <color rgb="FF000000"/>
            <rFont val="Tahoma"/>
            <family val="2"/>
          </rPr>
          <t>Keller, Zach:</t>
        </r>
        <r>
          <rPr>
            <sz val="10"/>
            <color rgb="FF000000"/>
            <rFont val="Tahoma"/>
            <family val="2"/>
          </rPr>
          <t xml:space="preserve">
Source: Basketball-Reference, 2016 NBA Playoffs 'Playoff Series' list (user screenshot), https://www.basketball-reference.com/playoffs/NBA_2016.html. Teams not listed missed the playoffs.</t>
        </r>
      </text>
    </comment>
    <comment ref="B244" authorId="0" shapeId="0" xr:uid="{4F97D9D4-896B-AD4C-AF27-BCD408DA6F78}">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C244" authorId="0" shapeId="0" xr:uid="{665E9B8B-8C88-4947-B72B-05A4E2466626}">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D244" authorId="0" shapeId="0" xr:uid="{43B996A5-1720-4742-8218-A2FEDBD872A8}">
      <text>
        <r>
          <rPr>
            <b/>
            <sz val="10"/>
            <color rgb="FF000000"/>
            <rFont val="Tahoma"/>
            <family val="2"/>
          </rPr>
          <t>Keller, Zach:</t>
        </r>
        <r>
          <rPr>
            <sz val="10"/>
            <color rgb="FF000000"/>
            <rFont val="Tahoma"/>
            <family val="2"/>
          </rPr>
          <t xml:space="preserve">
Source: Basketball-Reference, 2016 NBA Playoffs 'Playoff Series' list (user screenshot), https://www.basketball-reference.com/playoffs/NBA_2016.html. Teams not listed missed the playoffs.</t>
        </r>
      </text>
    </comment>
    <comment ref="B245" authorId="0" shapeId="0" xr:uid="{BC5783B4-41F4-EC40-91C0-4FBAED1CF073}">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C245" authorId="0" shapeId="0" xr:uid="{003FF681-5C51-7743-B341-DB793C46B34D}">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D245" authorId="0" shapeId="0" xr:uid="{894CDAF7-93A0-C74A-B870-428CC1D35E58}">
      <text>
        <r>
          <rPr>
            <b/>
            <sz val="10"/>
            <color rgb="FF000000"/>
            <rFont val="Tahoma"/>
            <family val="2"/>
          </rPr>
          <t>Keller, Zach:</t>
        </r>
        <r>
          <rPr>
            <sz val="10"/>
            <color rgb="FF000000"/>
            <rFont val="Tahoma"/>
            <family val="2"/>
          </rPr>
          <t xml:space="preserve">
Source: Basketball-Reference, 2016 NBA Playoffs 'Playoff Series' list (user screenshot), https://www.basketball-reference.com/playoffs/NBA_2016.html. Teams not listed missed the playoffs.</t>
        </r>
      </text>
    </comment>
    <comment ref="B246" authorId="0" shapeId="0" xr:uid="{E72092F0-55F9-F54F-9771-990D95EC2566}">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C246" authorId="0" shapeId="0" xr:uid="{6CE96600-C784-A343-B7A2-0DE87979738A}">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D246" authorId="0" shapeId="0" xr:uid="{54DC4FDC-F175-E84C-8FD1-7FB8135F6533}">
      <text>
        <r>
          <rPr>
            <b/>
            <sz val="10"/>
            <color rgb="FF000000"/>
            <rFont val="Tahoma"/>
            <family val="2"/>
          </rPr>
          <t>Keller, Zach:</t>
        </r>
        <r>
          <rPr>
            <sz val="10"/>
            <color rgb="FF000000"/>
            <rFont val="Tahoma"/>
            <family val="2"/>
          </rPr>
          <t xml:space="preserve">
Source: Basketball-Reference, 2016 NBA Playoffs 'Playoff Series' list (user screenshot), https://www.basketball-reference.com/playoffs/NBA_2016.html. Teams not listed missed the playoffs.</t>
        </r>
      </text>
    </comment>
    <comment ref="B247" authorId="0" shapeId="0" xr:uid="{7E47F077-2AF2-1A4C-BB9B-25E07E25A4B1}">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C247" authorId="0" shapeId="0" xr:uid="{AA7D0C7C-3054-D744-9B42-A405E0B5A1C2}">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D247" authorId="0" shapeId="0" xr:uid="{4C71EDD1-623D-7E44-90BA-35979EEB4490}">
      <text>
        <r>
          <rPr>
            <b/>
            <sz val="10"/>
            <color rgb="FF000000"/>
            <rFont val="Tahoma"/>
            <family val="2"/>
          </rPr>
          <t>Keller, Zach:</t>
        </r>
        <r>
          <rPr>
            <sz val="10"/>
            <color rgb="FF000000"/>
            <rFont val="Tahoma"/>
            <family val="2"/>
          </rPr>
          <t xml:space="preserve">
Source: Basketball-Reference, 2016 NBA Playoffs 'Playoff Series' list (user screenshot), https://www.basketball-reference.com/playoffs/NBA_2016.html. Teams not listed missed the playoffs.</t>
        </r>
      </text>
    </comment>
    <comment ref="B248" authorId="0" shapeId="0" xr:uid="{A6E4B8F1-A28C-BC48-873A-4E90C5510167}">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C248" authorId="0" shapeId="0" xr:uid="{36A0DB17-C838-F940-916D-70103346F615}">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D248" authorId="0" shapeId="0" xr:uid="{A6FB7169-F8B1-3A46-A0D9-BDF9E232C73F}">
      <text>
        <r>
          <rPr>
            <b/>
            <sz val="10"/>
            <color rgb="FF000000"/>
            <rFont val="Tahoma"/>
            <family val="2"/>
          </rPr>
          <t>Keller, Zach:</t>
        </r>
        <r>
          <rPr>
            <sz val="10"/>
            <color rgb="FF000000"/>
            <rFont val="Tahoma"/>
            <family val="2"/>
          </rPr>
          <t xml:space="preserve">
Source: Basketball-Reference, 2016 NBA Playoffs 'Playoff Series' list (user screenshot), https://www.basketball-reference.com/playoffs/NBA_2016.html. Teams not listed missed the playoffs.</t>
        </r>
      </text>
    </comment>
    <comment ref="B249" authorId="0" shapeId="0" xr:uid="{5B3F9BB4-F648-FF46-89B6-6A9276CAD18C}">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C249" authorId="0" shapeId="0" xr:uid="{870FDA29-F07C-5144-B64D-059E1D916830}">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D249" authorId="0" shapeId="0" xr:uid="{7C19CCDB-3B07-A54D-A654-CA3A18E99159}">
      <text>
        <r>
          <rPr>
            <b/>
            <sz val="10"/>
            <color rgb="FF000000"/>
            <rFont val="Tahoma"/>
            <family val="2"/>
          </rPr>
          <t>Keller, Zach:</t>
        </r>
        <r>
          <rPr>
            <sz val="10"/>
            <color rgb="FF000000"/>
            <rFont val="Tahoma"/>
            <family val="2"/>
          </rPr>
          <t xml:space="preserve">
Source: Basketball-Reference, 2016 NBA Playoffs 'Playoff Series' list (user screenshot), https://www.basketball-reference.com/playoffs/NBA_2016.html. Teams not listed missed the playoffs.</t>
        </r>
      </text>
    </comment>
    <comment ref="B250" authorId="0" shapeId="0" xr:uid="{ED5E571E-486E-B14F-962F-461A4767BAD2}">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C250" authorId="0" shapeId="0" xr:uid="{0F46F6F8-B4FB-674E-89C5-73F4FDE73674}">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D250" authorId="0" shapeId="0" xr:uid="{74DC2C9E-1CD4-AB46-928E-6FC8D727B5BF}">
      <text>
        <r>
          <rPr>
            <b/>
            <sz val="10"/>
            <color rgb="FF000000"/>
            <rFont val="Tahoma"/>
            <family val="2"/>
          </rPr>
          <t>Keller, Zach:</t>
        </r>
        <r>
          <rPr>
            <sz val="10"/>
            <color rgb="FF000000"/>
            <rFont val="Tahoma"/>
            <family val="2"/>
          </rPr>
          <t xml:space="preserve">
Source: Basketball-Reference, 2016 NBA Playoffs 'Playoff Series' list (user screenshot), https://www.basketball-reference.com/playoffs/NBA_2016.html. Teams not listed missed the playoffs.</t>
        </r>
      </text>
    </comment>
    <comment ref="B251" authorId="0" shapeId="0" xr:uid="{1340AE1E-4AB1-5243-A99E-46E313C646EF}">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C251" authorId="0" shapeId="0" xr:uid="{06C5DF56-7831-054D-A659-D4379E420E15}">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D251" authorId="0" shapeId="0" xr:uid="{517D06BD-05DF-E748-9297-DE2A51FFBBD0}">
      <text>
        <r>
          <rPr>
            <b/>
            <sz val="10"/>
            <color rgb="FF000000"/>
            <rFont val="Tahoma"/>
            <family val="2"/>
          </rPr>
          <t>Keller, Zach:</t>
        </r>
        <r>
          <rPr>
            <sz val="10"/>
            <color rgb="FF000000"/>
            <rFont val="Tahoma"/>
            <family val="2"/>
          </rPr>
          <t xml:space="preserve">
Source: Basketball-Reference, 2016 NBA Playoffs 'Playoff Series' list (user screenshot), https://www.basketball-reference.com/playoffs/NBA_2016.html. Teams not listed missed the playoffs.</t>
        </r>
      </text>
    </comment>
    <comment ref="B252" authorId="0" shapeId="0" xr:uid="{1EC55A87-06CF-794A-B781-D31E527519AE}">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C252" authorId="0" shapeId="0" xr:uid="{90FBFDD9-7AA6-8248-A344-718F19F37A0D}">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D252" authorId="0" shapeId="0" xr:uid="{3E0FF04A-7C7A-DA43-BEBF-DA0885A33B58}">
      <text>
        <r>
          <rPr>
            <b/>
            <sz val="10"/>
            <color rgb="FF000000"/>
            <rFont val="Tahoma"/>
            <family val="2"/>
          </rPr>
          <t>Keller, Zach:</t>
        </r>
        <r>
          <rPr>
            <sz val="10"/>
            <color rgb="FF000000"/>
            <rFont val="Tahoma"/>
            <family val="2"/>
          </rPr>
          <t xml:space="preserve">
Source: Basketball-Reference, 2016 NBA Playoffs 'Playoff Series' list (user screenshot), https://www.basketball-reference.com/playoffs/NBA_2016.html. Teams not listed missed the playoffs.</t>
        </r>
      </text>
    </comment>
    <comment ref="B253" authorId="0" shapeId="0" xr:uid="{BFBEA0CA-5D73-4048-8D85-D27AA76658C4}">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C253" authorId="0" shapeId="0" xr:uid="{7A7587B8-FF30-3D45-B610-F2E4686820F1}">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D253" authorId="0" shapeId="0" xr:uid="{CD785FCB-6102-CD44-8B3D-C58CAD8F30FF}">
      <text>
        <r>
          <rPr>
            <b/>
            <sz val="10"/>
            <color rgb="FF000000"/>
            <rFont val="Tahoma"/>
            <family val="2"/>
          </rPr>
          <t>Keller, Zach:</t>
        </r>
        <r>
          <rPr>
            <sz val="10"/>
            <color rgb="FF000000"/>
            <rFont val="Tahoma"/>
            <family val="2"/>
          </rPr>
          <t xml:space="preserve">
Source: Basketball-Reference, 2016 NBA Playoffs 'Playoff Series' list (user screenshot), https://www.basketball-reference.com/playoffs/NBA_2016.html. Teams not listed missed the playoffs.</t>
        </r>
      </text>
    </comment>
    <comment ref="B254" authorId="0" shapeId="0" xr:uid="{767D7E7A-17D3-314A-8EB9-09AB88373DCD}">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C254" authorId="0" shapeId="0" xr:uid="{0F7F8144-1209-8B48-87C8-610F3298383F}">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D254" authorId="0" shapeId="0" xr:uid="{81A59D6C-9460-3243-9FC2-2E230FD23C5F}">
      <text>
        <r>
          <rPr>
            <b/>
            <sz val="10"/>
            <color rgb="FF000000"/>
            <rFont val="Tahoma"/>
            <family val="2"/>
          </rPr>
          <t>Keller, Zach:</t>
        </r>
        <r>
          <rPr>
            <sz val="10"/>
            <color rgb="FF000000"/>
            <rFont val="Tahoma"/>
            <family val="2"/>
          </rPr>
          <t xml:space="preserve">
Source: Basketball-Reference, 2016 NBA Playoffs 'Playoff Series' list (user screenshot), https://www.basketball-reference.com/playoffs/NBA_2016.html. Teams not listed missed the playoffs.</t>
        </r>
      </text>
    </comment>
    <comment ref="B255" authorId="0" shapeId="0" xr:uid="{F9D56FC6-039C-9542-9989-B322340B93FD}">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C255" authorId="0" shapeId="0" xr:uid="{05E2BE79-DBF9-4C48-99B9-31AF7D7D8185}">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D255" authorId="0" shapeId="0" xr:uid="{4A9A1ABD-80C8-2641-AF9A-EE3D27F03AC6}">
      <text>
        <r>
          <rPr>
            <b/>
            <sz val="10"/>
            <color rgb="FF000000"/>
            <rFont val="Tahoma"/>
            <family val="2"/>
          </rPr>
          <t>Keller, Zach:</t>
        </r>
        <r>
          <rPr>
            <sz val="10"/>
            <color rgb="FF000000"/>
            <rFont val="Tahoma"/>
            <family val="2"/>
          </rPr>
          <t xml:space="preserve">
Source: Basketball-Reference, 2016 NBA Playoffs 'Playoff Series' list (user screenshot), https://www.basketball-reference.com/playoffs/NBA_2016.html. Teams not listed missed the playoffs.</t>
        </r>
      </text>
    </comment>
    <comment ref="B256" authorId="0" shapeId="0" xr:uid="{05F1BA15-0DDD-BC47-A44A-D353F0DBAC45}">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C256" authorId="0" shapeId="0" xr:uid="{60BB04EC-96D2-2941-94E3-25AD597A1FBF}">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D256" authorId="0" shapeId="0" xr:uid="{A8849F08-4AB7-F945-A10E-145A15DABC97}">
      <text>
        <r>
          <rPr>
            <b/>
            <sz val="10"/>
            <color rgb="FF000000"/>
            <rFont val="Tahoma"/>
            <family val="2"/>
          </rPr>
          <t>Keller, Zach:</t>
        </r>
        <r>
          <rPr>
            <sz val="10"/>
            <color rgb="FF000000"/>
            <rFont val="Tahoma"/>
            <family val="2"/>
          </rPr>
          <t xml:space="preserve">
Source: Basketball-Reference, 2016 NBA Playoffs 'Playoff Series' list (user screenshot), https://www.basketball-reference.com/playoffs/NBA_2016.html. Teams not listed missed the playoffs.</t>
        </r>
      </text>
    </comment>
    <comment ref="B257" authorId="0" shapeId="0" xr:uid="{15E9DA4D-F1EA-2F41-8EF3-68B6778F1550}">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C257" authorId="0" shapeId="0" xr:uid="{1F1B6ACB-9FF3-9F42-A76C-EDBAFD118694}">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D257" authorId="0" shapeId="0" xr:uid="{AA6F34BC-1255-FB48-8238-550DBE004BB4}">
      <text>
        <r>
          <rPr>
            <b/>
            <sz val="10"/>
            <color rgb="FF000000"/>
            <rFont val="Tahoma"/>
            <family val="2"/>
          </rPr>
          <t>Keller, Zach:</t>
        </r>
        <r>
          <rPr>
            <sz val="10"/>
            <color rgb="FF000000"/>
            <rFont val="Tahoma"/>
            <family val="2"/>
          </rPr>
          <t xml:space="preserve">
Source: Basketball-Reference, 2016 NBA Playoffs 'Playoff Series' list (user screenshot), https://www.basketball-reference.com/playoffs/NBA_2016.html. Teams not listed missed the playoffs.</t>
        </r>
      </text>
    </comment>
    <comment ref="B258" authorId="0" shapeId="0" xr:uid="{5DF88739-9E4A-7840-9792-FE9C5BBD6A53}">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C258" authorId="0" shapeId="0" xr:uid="{1D4B5391-7C48-684A-88FD-F07846E3C557}">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D258" authorId="0" shapeId="0" xr:uid="{469635C3-AD41-7C4B-BB02-92AD7ECE03B3}">
      <text>
        <r>
          <rPr>
            <b/>
            <sz val="10"/>
            <color rgb="FF000000"/>
            <rFont val="Tahoma"/>
            <family val="2"/>
          </rPr>
          <t>Keller, Zach:</t>
        </r>
        <r>
          <rPr>
            <sz val="10"/>
            <color rgb="FF000000"/>
            <rFont val="Tahoma"/>
            <family val="2"/>
          </rPr>
          <t xml:space="preserve">
Source: Basketball-Reference, 2016 NBA Playoffs 'Playoff Series' list (user screenshot), https://www.basketball-reference.com/playoffs/NBA_2016.html. Teams not listed missed the playoffs.</t>
        </r>
      </text>
    </comment>
    <comment ref="B259" authorId="0" shapeId="0" xr:uid="{BC4E6A2A-8F7E-634F-98E7-C4EC9AE9068E}">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C259" authorId="0" shapeId="0" xr:uid="{DF314C2C-964A-1B41-B6FC-5FDE67874C85}">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D259" authorId="0" shapeId="0" xr:uid="{1B0FC070-2107-5841-ADD6-30A6792A2A5E}">
      <text>
        <r>
          <rPr>
            <b/>
            <sz val="10"/>
            <color rgb="FF000000"/>
            <rFont val="Tahoma"/>
            <family val="2"/>
          </rPr>
          <t>Keller, Zach:</t>
        </r>
        <r>
          <rPr>
            <sz val="10"/>
            <color rgb="FF000000"/>
            <rFont val="Tahoma"/>
            <family val="2"/>
          </rPr>
          <t xml:space="preserve">
Source: Basketball-Reference, 2016 NBA Playoffs 'Playoff Series' list (user screenshot), https://www.basketball-reference.com/playoffs/NBA_2016.html. Teams not listed missed the playoffs.</t>
        </r>
      </text>
    </comment>
    <comment ref="B260" authorId="0" shapeId="0" xr:uid="{2E2E1F27-D7FA-3A42-800A-FA11DD1C0290}">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C260" authorId="0" shapeId="0" xr:uid="{CC32058B-0145-8749-A406-7E3B53F7AA0D}">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D260" authorId="0" shapeId="0" xr:uid="{8E07613F-7F90-F941-95F4-88C2357549D9}">
      <text>
        <r>
          <rPr>
            <b/>
            <sz val="10"/>
            <color rgb="FF000000"/>
            <rFont val="Tahoma"/>
            <family val="2"/>
          </rPr>
          <t>Keller, Zach:</t>
        </r>
        <r>
          <rPr>
            <sz val="10"/>
            <color rgb="FF000000"/>
            <rFont val="Tahoma"/>
            <family val="2"/>
          </rPr>
          <t xml:space="preserve">
Source: Basketball-Reference, 2016 NBA Playoffs 'Playoff Series' list (user screenshot), https://www.basketball-reference.com/playoffs/NBA_2016.html. Teams not listed missed the playoffs.</t>
        </r>
      </text>
    </comment>
    <comment ref="B261" authorId="0" shapeId="0" xr:uid="{FA5D8D9A-DA46-FF41-9E2D-B3DDE500F500}">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C261" authorId="0" shapeId="0" xr:uid="{98F0BE49-F34F-F142-BBC9-585D86F4AAE7}">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D261" authorId="0" shapeId="0" xr:uid="{FC3F1FCA-39C7-314F-8B48-D804A99CC4F5}">
      <text>
        <r>
          <rPr>
            <b/>
            <sz val="10"/>
            <color rgb="FF000000"/>
            <rFont val="Tahoma"/>
            <family val="2"/>
          </rPr>
          <t>Keller, Zach:</t>
        </r>
        <r>
          <rPr>
            <sz val="10"/>
            <color rgb="FF000000"/>
            <rFont val="Tahoma"/>
            <family val="2"/>
          </rPr>
          <t xml:space="preserve">
Source: Basketball-Reference, 2016 NBA Playoffs 'Playoff Series' list (user screenshot), https://www.basketball-reference.com/playoffs/NBA_2016.html. Teams not listed missed the playoffs.</t>
        </r>
      </text>
    </comment>
    <comment ref="B262" authorId="0" shapeId="0" xr:uid="{45E070CF-6DD6-5748-8A53-96D90DB668BA}">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C262" authorId="0" shapeId="0" xr:uid="{0944557D-1BF3-F84C-BE0D-B4C4FA51A573}">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D262" authorId="0" shapeId="0" xr:uid="{D9B15A25-3AAB-A248-9BA6-1A8BF464EE4D}">
      <text>
        <r>
          <rPr>
            <b/>
            <sz val="10"/>
            <color rgb="FF000000"/>
            <rFont val="Tahoma"/>
            <family val="2"/>
          </rPr>
          <t>Keller, Zach:</t>
        </r>
        <r>
          <rPr>
            <sz val="10"/>
            <color rgb="FF000000"/>
            <rFont val="Tahoma"/>
            <family val="2"/>
          </rPr>
          <t xml:space="preserve">
Source: Basketball-Reference, 2016 NBA Playoffs 'Playoff Series' list (user screenshot), https://www.basketball-reference.com/playoffs/NBA_2016.html. Teams not listed missed the playoffs.</t>
        </r>
      </text>
    </comment>
    <comment ref="B263" authorId="0" shapeId="0" xr:uid="{D8D65DCF-52A8-7F4F-BF38-8754306898B2}">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C263" authorId="0" shapeId="0" xr:uid="{0670AECB-4272-4846-956C-1E5A2596C552}">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D263" authorId="0" shapeId="0" xr:uid="{46FED5CD-EFD4-2F48-BDC3-1883A2CB5A03}">
      <text>
        <r>
          <rPr>
            <b/>
            <sz val="10"/>
            <color rgb="FF000000"/>
            <rFont val="Tahoma"/>
            <family val="2"/>
          </rPr>
          <t>Keller, Zach:</t>
        </r>
        <r>
          <rPr>
            <sz val="10"/>
            <color rgb="FF000000"/>
            <rFont val="Tahoma"/>
            <family val="2"/>
          </rPr>
          <t xml:space="preserve">
Source: Basketball-Reference, 2016 NBA Playoffs 'Playoff Series' list (user screenshot), https://www.basketball-reference.com/playoffs/NBA_2016.html. Teams not listed missed the playoffs.</t>
        </r>
      </text>
    </comment>
    <comment ref="B264" authorId="0" shapeId="0" xr:uid="{CE646AD2-EB70-3444-9411-AC5F41C4F07F}">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C264" authorId="0" shapeId="0" xr:uid="{E1CB5CE0-77FF-B04D-B9D5-EEC52EC3461B}">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D264" authorId="0" shapeId="0" xr:uid="{27C05E6F-0E85-A14B-A405-AE3A10E66E68}">
      <text>
        <r>
          <rPr>
            <b/>
            <sz val="10"/>
            <color rgb="FF000000"/>
            <rFont val="Tahoma"/>
            <family val="2"/>
          </rPr>
          <t>Keller, Zach:</t>
        </r>
        <r>
          <rPr>
            <sz val="10"/>
            <color rgb="FF000000"/>
            <rFont val="Tahoma"/>
            <family val="2"/>
          </rPr>
          <t xml:space="preserve">
Source: Basketball-Reference, 2016 NBA Playoffs 'Playoff Series' list (user screenshot), https://www.basketball-reference.com/playoffs/NBA_2016.html. Teams not listed missed the playoffs.</t>
        </r>
      </text>
    </comment>
    <comment ref="B265" authorId="0" shapeId="0" xr:uid="{D3A35A9C-44AD-534C-B30F-8F126B79D63B}">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C265" authorId="0" shapeId="0" xr:uid="{0F682056-06AA-2F43-9F92-D888155A8EE3}">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D265" authorId="0" shapeId="0" xr:uid="{808B8895-2BA3-3A42-96E3-D9688609A774}">
      <text>
        <r>
          <rPr>
            <b/>
            <sz val="10"/>
            <color rgb="FF000000"/>
            <rFont val="Tahoma"/>
            <family val="2"/>
          </rPr>
          <t>Keller, Zach:</t>
        </r>
        <r>
          <rPr>
            <sz val="10"/>
            <color rgb="FF000000"/>
            <rFont val="Tahoma"/>
            <family val="2"/>
          </rPr>
          <t xml:space="preserve">
Source: Basketball-Reference, 2016 NBA Playoffs 'Playoff Series' list (user screenshot), https://www.basketball-reference.com/playoffs/NBA_2016.html. Teams not listed missed the playoffs.</t>
        </r>
      </text>
    </comment>
    <comment ref="B266" authorId="0" shapeId="0" xr:uid="{6141A6FD-A12B-D847-A891-ABF4262DB2D0}">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C266" authorId="0" shapeId="0" xr:uid="{C6B3B5A3-A120-234D-941C-D1C65BFAAF4F}">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D266" authorId="0" shapeId="0" xr:uid="{EAB6A79B-D583-5142-A2A6-636F9B2E90BC}">
      <text>
        <r>
          <rPr>
            <b/>
            <sz val="10"/>
            <color rgb="FF000000"/>
            <rFont val="Tahoma"/>
            <family val="2"/>
          </rPr>
          <t>Keller, Zach:</t>
        </r>
        <r>
          <rPr>
            <sz val="10"/>
            <color rgb="FF000000"/>
            <rFont val="Tahoma"/>
            <family val="2"/>
          </rPr>
          <t xml:space="preserve">
Source: Basketball-Reference, 2016 NBA Playoffs 'Playoff Series' list (user screenshot), https://www.basketball-reference.com/playoffs/NBA_2016.html. Teams not listed missed the playoffs.</t>
        </r>
      </text>
    </comment>
    <comment ref="B267" authorId="0" shapeId="0" xr:uid="{9162FAAF-431B-7244-8490-597577FDDBBE}">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C267" authorId="0" shapeId="0" xr:uid="{3E76A0B2-C1C8-B048-A5E7-88F91DBC2323}">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D267" authorId="0" shapeId="0" xr:uid="{AB7FA15B-CEC4-1043-A572-76D4AA7BE848}">
      <text>
        <r>
          <rPr>
            <b/>
            <sz val="10"/>
            <color rgb="FF000000"/>
            <rFont val="Tahoma"/>
            <family val="2"/>
          </rPr>
          <t>Keller, Zach:</t>
        </r>
        <r>
          <rPr>
            <sz val="10"/>
            <color rgb="FF000000"/>
            <rFont val="Tahoma"/>
            <family val="2"/>
          </rPr>
          <t xml:space="preserve">
Source: Basketball-Reference, 2016 NBA Playoffs 'Playoff Series' list (user screenshot), https://www.basketball-reference.com/playoffs/NBA_2016.html. Teams not listed missed the playoffs.</t>
        </r>
      </text>
    </comment>
    <comment ref="B268" authorId="0" shapeId="0" xr:uid="{5E9E976A-98EA-B745-B80D-871C7B6BA0E5}">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C268" authorId="0" shapeId="0" xr:uid="{824203AC-70AA-D742-A33A-DE6F503589CE}">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D268" authorId="0" shapeId="0" xr:uid="{AF505A83-FAC1-B64C-A372-F9957AE37EEF}">
      <text>
        <r>
          <rPr>
            <b/>
            <sz val="10"/>
            <color rgb="FF000000"/>
            <rFont val="Tahoma"/>
            <family val="2"/>
          </rPr>
          <t>Keller, Zach:</t>
        </r>
        <r>
          <rPr>
            <sz val="10"/>
            <color rgb="FF000000"/>
            <rFont val="Tahoma"/>
            <family val="2"/>
          </rPr>
          <t xml:space="preserve">
Source: Basketball-Reference, 2016 NBA Playoffs 'Playoff Series' list (user screenshot), https://www.basketball-reference.com/playoffs/NBA_2016.html. Teams not listed missed the playoffs.</t>
        </r>
      </text>
    </comment>
    <comment ref="B269" authorId="0" shapeId="0" xr:uid="{D7BD1666-765B-574B-8F90-B2748AF41C9A}">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C269" authorId="0" shapeId="0" xr:uid="{568BD6BF-E3B8-354D-8960-4C4124F6B927}">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D269" authorId="0" shapeId="0" xr:uid="{6D0DB3E2-73ED-0C47-8E2D-9705E14909BF}">
      <text>
        <r>
          <rPr>
            <b/>
            <sz val="10"/>
            <color rgb="FF000000"/>
            <rFont val="Tahoma"/>
            <family val="2"/>
          </rPr>
          <t>Keller, Zach:</t>
        </r>
        <r>
          <rPr>
            <sz val="10"/>
            <color rgb="FF000000"/>
            <rFont val="Tahoma"/>
            <family val="2"/>
          </rPr>
          <t xml:space="preserve">
Source: Basketball-Reference, 2016 NBA Playoffs 'Playoff Series' list (user screenshot), https://www.basketball-reference.com/playoffs/NBA_2016.html. Teams not listed missed the playoffs.</t>
        </r>
      </text>
    </comment>
    <comment ref="B270" authorId="0" shapeId="0" xr:uid="{6CD402D0-798D-384C-B0EE-BA84C08CFE68}">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C270" authorId="0" shapeId="0" xr:uid="{7A1CCA1E-3E98-0E4C-9F3F-8D60AA33446A}">
      <text>
        <r>
          <rPr>
            <b/>
            <sz val="10"/>
            <color rgb="FF000000"/>
            <rFont val="Tahoma"/>
            <family val="2"/>
          </rPr>
          <t>Keller, Zach:</t>
        </r>
        <r>
          <rPr>
            <sz val="10"/>
            <color rgb="FF000000"/>
            <rFont val="Tahoma"/>
            <family val="2"/>
          </rPr>
          <t xml:space="preserve">
Source: Basketball-Reference, 2015–16 NBA Expanded Standings, 'Overall' column (user screenshot), https://www.basketball-reference.com/leagues/NBA_2016_standings.html</t>
        </r>
      </text>
    </comment>
    <comment ref="D270" authorId="0" shapeId="0" xr:uid="{B292CF36-470E-6F47-8B61-96879FCF082D}">
      <text>
        <r>
          <rPr>
            <b/>
            <sz val="10"/>
            <color rgb="FF000000"/>
            <rFont val="Tahoma"/>
            <family val="2"/>
          </rPr>
          <t>Keller, Zach:</t>
        </r>
        <r>
          <rPr>
            <sz val="10"/>
            <color rgb="FF000000"/>
            <rFont val="Tahoma"/>
            <family val="2"/>
          </rPr>
          <t xml:space="preserve">
Source: Basketball-Reference, 2016 NBA Playoffs 'Playoff Series' list (user screenshot), https://www.basketball-reference.com/playoffs/NBA_2016.html. Teams not listed missed the playoffs.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Keller, Zach</author>
  </authors>
  <commentList>
    <comment ref="A4" authorId="0" shapeId="0" xr:uid="{44CA33F4-555F-AA4D-98A6-55E754F3AA2E}">
      <text>
        <r>
          <rPr>
            <b/>
            <sz val="10"/>
            <color rgb="FF000000"/>
            <rFont val="Tahoma"/>
            <family val="2"/>
          </rPr>
          <t>Keller, Zach:</t>
        </r>
        <r>
          <rPr>
            <sz val="10"/>
            <color rgb="FF000000"/>
            <rFont val="Tahoma"/>
            <family val="2"/>
          </rPr>
          <t xml:space="preserve">
Units: forbes_value, revenue, op_income in $ millions (Forbes); payroll and tax_paid in dollars (Salary Cap tab); msa_pop in people (fixed July 1 2020 value). Season = Forbes valuation year label (2026 = Oct 2025 list). Performance and arena columns are from the season ending in season−1.</t>
        </r>
      </text>
    </comment>
    <comment ref="H4" authorId="0" shapeId="0" xr:uid="{C9CB1EE9-991C-A146-B34B-D91920E2DA4B}">
      <text>
        <r>
          <rPr>
            <b/>
            <sz val="10"/>
            <color rgb="FF000000"/>
            <rFont val="Tahoma"/>
            <family val="2"/>
          </rPr>
          <t>Keller, Zach:</t>
        </r>
        <r>
          <rPr>
            <sz val="10"/>
            <color rgb="FF000000"/>
            <rFont val="Tahoma"/>
            <family val="2"/>
          </rPr>
          <t xml:space="preserve">
Year the arena the team played in that season opened (Arena tab table b). Changes over time for Kings, Pistons, Bucks, Warriors and Clippers.</t>
        </r>
      </text>
    </comment>
    <comment ref="I4" authorId="0" shapeId="0" xr:uid="{6C0BE07B-6CF5-B64C-9D5E-413A4D3BFE45}">
      <text>
        <r>
          <rPr>
            <b/>
            <sz val="10"/>
            <color rgb="FF000000"/>
            <rFont val="Tahoma"/>
            <family val="2"/>
          </rPr>
          <t>Keller, Zach:</t>
        </r>
        <r>
          <rPr>
            <sz val="10"/>
            <color rgb="FF000000"/>
            <rFont val="Tahoma"/>
            <family val="2"/>
          </rPr>
          <t xml:space="preserve">
Y/N: team (or its controlling owner/affiliate) owned the arena that season (Arena tab table c).</t>
        </r>
      </text>
    </comment>
    <comment ref="Q4" authorId="0" shapeId="0" xr:uid="{55BA7406-9C22-CA40-ACFA-EF5800DAE0A3}">
      <text>
        <r>
          <rPr>
            <b/>
            <sz val="10"/>
            <color rgb="FF000000"/>
            <rFont val="Tahoma"/>
            <family val="2"/>
          </rPr>
          <t>Keller, Zach:</t>
        </r>
        <r>
          <rPr>
            <sz val="10"/>
            <color rgb="FF000000"/>
            <rFont val="Tahoma"/>
            <family val="2"/>
          </rPr>
          <t xml:space="preserve">
1 for seasons 2021 and 2022 (Forbes lists built on 2019–20 and 2020–21 finances, both COVID-affected: shortened 2019–20 season and limited-attendance 2020–21), else 0.</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<sst xmlns="http://schemas.openxmlformats.org/spreadsheetml/2006/main" count="2314" uniqueCount="353">
  <si>
    <t>NBA Team</t>
  </si>
  <si>
    <t>Atlanta Hawks</t>
  </si>
  <si>
    <t>Boston Celtics</t>
  </si>
  <si>
    <t>Brooklyn Nets</t>
  </si>
  <si>
    <t>Charlotte Hornets</t>
  </si>
  <si>
    <t>Chicago Bulls</t>
  </si>
  <si>
    <t>Cleveland Cavaliers</t>
  </si>
  <si>
    <t>Dallas Mavericks</t>
  </si>
  <si>
    <t>Denver Nuggets</t>
  </si>
  <si>
    <t>Detroit Pistons</t>
  </si>
  <si>
    <t>Golden State Warriors</t>
  </si>
  <si>
    <t>Houston Rockets</t>
  </si>
  <si>
    <t>Indiana Pacers</t>
  </si>
  <si>
    <t>LA Clippers</t>
  </si>
  <si>
    <t>Los Angeles Lakers</t>
  </si>
  <si>
    <t>Memphis Grizzlies</t>
  </si>
  <si>
    <t>Miami Heat</t>
  </si>
  <si>
    <t>Milwaukee Bucks</t>
  </si>
  <si>
    <t>Minnesota Timberwolves</t>
  </si>
  <si>
    <t>New Orleans Pelicans</t>
  </si>
  <si>
    <t>New York Knicks</t>
  </si>
  <si>
    <t>Oklahoma City Thunder</t>
  </si>
  <si>
    <t>Orlando Magic</t>
  </si>
  <si>
    <t>Philadelphia 76ers</t>
  </si>
  <si>
    <t>Phoenix Suns</t>
  </si>
  <si>
    <t>Portland Trail Blazers</t>
  </si>
  <si>
    <t>Sacramento Kings</t>
  </si>
  <si>
    <t>San Antonio Spurs</t>
  </si>
  <si>
    <t>Toronto Raptors</t>
  </si>
  <si>
    <t>Utah Jazz</t>
  </si>
  <si>
    <t>Washington Wizards</t>
  </si>
  <si>
    <t>NBA Franchise Valuations ($ millions)</t>
  </si>
  <si>
    <t>2017</t>
  </si>
  <si>
    <t>2018</t>
  </si>
  <si>
    <t>2019</t>
  </si>
  <si>
    <t>2020</t>
  </si>
  <si>
    <t>2021</t>
  </si>
  <si>
    <t>2022</t>
  </si>
  <si>
    <t>2023</t>
  </si>
  <si>
    <t>2024</t>
  </si>
  <si>
    <t>2025</t>
  </si>
  <si>
    <t>2026</t>
  </si>
  <si>
    <t>Research Findings &amp; Notes</t>
  </si>
  <si>
    <t>Topic</t>
  </si>
  <si>
    <t>Finding</t>
  </si>
  <si>
    <t>Source</t>
  </si>
  <si>
    <t>How teams are valued (methodology)</t>
  </si>
  <si>
    <t>Key value drivers</t>
  </si>
  <si>
    <t>Media / TV deals</t>
  </si>
  <si>
    <t>Major sales &amp; ownership changes</t>
  </si>
  <si>
    <t>Relocations &amp; name changes</t>
  </si>
  <si>
    <t>Trends over time</t>
  </si>
  <si>
    <t>n/a</t>
  </si>
  <si>
    <t>Other Valuation Estimates – 2025–26 Season ($ millions)</t>
  </si>
  <si>
    <t>Sportico list published Oct 2025; CNBC list published Feb 2026. Forbes column links to the main sheet for comparison. n/a = not found. Hover over a value to see its source.</t>
  </si>
  <si>
    <t>Forbes</t>
  </si>
  <si>
    <t>Sportico</t>
  </si>
  <si>
    <t>CNBC</t>
  </si>
  <si>
    <t>NBA Salary Cap &amp; Team Payrolls</t>
  </si>
  <si>
    <t>Year = NBA season (2026 = 2025–26). Light yellow = payroll over the salary cap. Bright yellow = over the luxury tax line (team paid a tax penalty). n/a = not found. Hover over values for sources.</t>
  </si>
  <si>
    <t>League Limits</t>
  </si>
  <si>
    <t>Salary Cap</t>
  </si>
  <si>
    <t>Luxury Tax Line</t>
  </si>
  <si>
    <t>Team Payroll (end-of-season tax payroll)</t>
  </si>
  <si>
    <t>Amount Over the Salary Cap</t>
  </si>
  <si>
    <t>Amount Over the Luxury Tax Line</t>
  </si>
  <si>
    <t>Luxury Tax Bill Paid</t>
  </si>
  <si>
    <t>Did Paying the Tax Raise Team Value? (2017 → 2026)</t>
  </si>
  <si>
    <t>Seasons Over Tax</t>
  </si>
  <si>
    <t>Total Tax Paid</t>
  </si>
  <si>
    <t>Value 2017 ($M)</t>
  </si>
  <si>
    <t>Value 2026 ($M)</t>
  </si>
  <si>
    <t>Value Growth</t>
  </si>
  <si>
    <t>Summary</t>
  </si>
  <si>
    <t>What This Chart Shows</t>
  </si>
  <si>
    <t>How to read it: The salary cap and luxury tax line (rows 5–6) are the same for every team each season. The cap is a 'soft' cap – teams can legally go over it to keep their own players, so most teams sit above it (light yellow). The luxury tax line is the real spending limit: any team over it at the end of the regular season pays a penalty (bright yellow).</t>
  </si>
  <si>
    <t>Who went over: 20 of 30 teams paid the tax at least once from 2016–17 to 2025–26. The Golden State Warriors were the biggest spenders by far – 8 tax seasons and about $744M in penalties, including a record $170M in 2021–22 (a championship year). The LA Clippers (6 seasons, ~$381M), Phoenix Suns (~$274M), Milwaukee Bucks (~$219M), Brooklyn Nets (~$172M), Los Angeles Lakers (~$168M) and Boston Celtics (~$166M) follow. Ten teams never paid, including the Hawks, Pacers, Spurs and Grizzlies.</t>
  </si>
  <si>
    <t>Trend: Only 2–5 teams paid the tax each season until 2020–21. Starting in 2021–22, 7–10 teams paid every year, and bills jumped into the hundreds of millions. The 2023 labor deal added stricter 'apron' penalties, and by 2025–26 several big spenders (Celtics, Suns, Bucks) had cut payroll to get under the line.</t>
  </si>
  <si>
    <t>NBA Team Performance vs. Franchise Value (2016-17 to 2025-26)</t>
  </si>
  <si>
    <t>Regular-season records and playoff results by season. Gold = champion; red shading = one of the 5 worst records that season. Value growth links to the NBA Valuations tab (next Forbes list ÷ prior list).</t>
  </si>
  <si>
    <t>Wins</t>
  </si>
  <si>
    <t>2016-17</t>
  </si>
  <si>
    <t>2017-18</t>
  </si>
  <si>
    <t>2018-19</t>
  </si>
  <si>
    <t>2019-20</t>
  </si>
  <si>
    <t>2020-21</t>
  </si>
  <si>
    <t>2021-22</t>
  </si>
  <si>
    <t>2022-23</t>
  </si>
  <si>
    <t>2023-24</t>
  </si>
  <si>
    <t>2024-25</t>
  </si>
  <si>
    <t>2025-26</t>
  </si>
  <si>
    <t>Losses</t>
  </si>
  <si>
    <t>Win %</t>
  </si>
  <si>
    <t>5th-worst win % (tank line)</t>
  </si>
  <si>
    <t>5th-best win %</t>
  </si>
  <si>
    <t>Playoff Result</t>
  </si>
  <si>
    <t>Lost First Round</t>
  </si>
  <si>
    <t>Missed Playoffs</t>
  </si>
  <si>
    <t>Lost Conf Finals</t>
  </si>
  <si>
    <t>Lost Conf Semi</t>
  </si>
  <si>
    <t>Lost Finals</t>
  </si>
  <si>
    <t>Won Finals</t>
  </si>
  <si>
    <t>Playoff Score (0 = missed … 5 = champion)</t>
  </si>
  <si>
    <t>Franchise Value Growth Over the Season (Forbes: next list ÷ prior list − 1)</t>
  </si>
  <si>
    <t>League average growth</t>
  </si>
  <si>
    <t>Value Growth vs. League Average (percentage points)</t>
  </si>
  <si>
    <t>Playoff Score Key</t>
  </si>
  <si>
    <t>Score</t>
  </si>
  <si>
    <t>Does Winning Raise Franchise Value? (2016-17 to 2024-25 seasons)</t>
  </si>
  <si>
    <t>Measure</t>
  </si>
  <si>
    <t>Result</t>
  </si>
  <si>
    <t>Correlation: win % vs value growth (vs league)</t>
  </si>
  <si>
    <t>Correlation: playoff score vs value growth (vs league)</t>
  </si>
  <si>
    <t>Team-seasons where franchise value fell</t>
  </si>
  <si>
    <t>Team-Seasons</t>
  </si>
  <si>
    <t>Avg Value Growth</t>
  </si>
  <si>
    <t>vs League Avg</t>
  </si>
  <si>
    <t>Tank Check</t>
  </si>
  <si>
    <t>Avg Growth vs League</t>
  </si>
  <si>
    <t>Bottom 5 records each season</t>
  </si>
  <si>
    <t>Top 5 records each season</t>
  </si>
  <si>
    <t>What This Shows</t>
  </si>
  <si>
    <t>HOW TO READ IT: Each season's record and playoff finish is compared with how much the team's Forbes value grew from the list before to the list after that season, minus the league-wide growth rate. A positive number means the team grew faster than the league. 2025-26 has no 'after' value yet, so it is left out of the analysis.</t>
  </si>
  <si>
    <t>WINNING VS. VALUE: The link is close to zero. The correlation between win % and value growth (vs. league) is about 0.06, and for playoff depth it is about 0.03 (1.0 would be a perfect link). Missing the playoffs, losing in round 1 and losing in round 2 all produced roughly the same growth.</t>
  </si>
  <si>
    <t>TANKING: Teams with the 5 worst records each season did NOT lose value. They grew about 2 points faster than the league average, versus about 4 points for the 5 best records. Only 3 of 270 team-seasons saw any drop in value. League-wide TV money, market size and team sales lifted nearly everyone.</t>
  </si>
  <si>
    <t>BOTTOM LINE: Being bad does not shrink a franchise's value, and being good only adds a little, except for winning a title. Note: 'vs league' compares each team to the league's total growth, so the averages lean slightly positive. Records/playoffs are from ChampsOrChumps.us (a secondary site); the summary numbers in these paragraphs are typed text and won't update if data changes, though the tables above do.</t>
  </si>
  <si>
    <t>Sources &amp; Disclaimers — Please Read First</t>
  </si>
  <si>
    <t>This workbook is for research and discussion only. All franchise values are outside estimates, not audited or official figures. Last updated October 6, 2026.</t>
  </si>
  <si>
    <t>SOURCES BY TAB</t>
  </si>
  <si>
    <t>NBA Valuations</t>
  </si>
  <si>
    <t>Sportico &amp; CNBC</t>
  </si>
  <si>
    <t>Sportico 2025 values (via HoopsRumors, a secondary site) and CNBC February 2026 values (7 teams from CNBC directly, 9 via NBC Sports Bay Area). 14 teams have no CNBC value available.</t>
  </si>
  <si>
    <t>Team Performance</t>
  </si>
  <si>
    <t>Win-loss records and playoff results from ChampsOrChumps.us (a secondary site). Champions were spot-checked.</t>
  </si>
  <si>
    <t>Cell notes</t>
  </si>
  <si>
    <t>Most data cells carry a note naming the exact source page. Hover over a cell (or right-click &gt; Show Note) to see it.</t>
  </si>
  <si>
    <t>WHAT COULD BE MISLEADING</t>
  </si>
  <si>
    <t>Valuations are estimates</t>
  </si>
  <si>
    <t>Forbes, Sportico and CNBC use different methods and can differ by $1B+ for the same team. Actual sale prices often differ from all three.</t>
  </si>
  <si>
    <t>Year labels</t>
  </si>
  <si>
    <t>Each valuation year is labeled by the NBA season it describes (e.g., the October 2025 Forbes list is shown as 2026), not the date published.</t>
  </si>
  <si>
    <t>League-wide growth</t>
  </si>
  <si>
    <t>Nearly every team's value roughly quadrupled from 2017 to 2026, mostly from league TV deals. Compare teams against the league average, not in absolute terms.</t>
  </si>
  <si>
    <t>Correlation ≠ cause</t>
  </si>
  <si>
    <t>The tax-vs-value and winning-vs-value comparisons show patterns only. They do not prove that spending or winning caused a value change.</t>
  </si>
  <si>
    <t>Shortened seasons</t>
  </si>
  <si>
    <t>2019-20 and 2020-21 were shortened (COVID), so use win % rather than raw wins. 2020-21 tax bills were reduced by the league.</t>
  </si>
  <si>
    <t>Estimated tax figures</t>
  </si>
  <si>
    <t>Some 2017–2021 tax bills are rounded or pre-final estimates; the 2021 Utah Jazz amount is unknown.</t>
  </si>
  <si>
    <t>Typed write-ups</t>
  </si>
  <si>
    <t>The explanation paragraphs on each tab contain typed numbers. They will NOT update if the data changes; the tables and formulas will.</t>
  </si>
  <si>
    <t>Gaps</t>
  </si>
  <si>
    <t>Cells marked n/a mean no reliable source was found. They are not zero.</t>
  </si>
  <si>
    <t>Financial season used</t>
  </si>
  <si>
    <t>Feb 2017 list; 2015–16 finances</t>
  </si>
  <si>
    <t>Feb 2018 list; 2016–17 finances</t>
  </si>
  <si>
    <t>Feb 2019 list; 2017–18 finances</t>
  </si>
  <si>
    <t>Feb 2020 list; 2018–19 finances</t>
  </si>
  <si>
    <t>Feb 2021 list; 2019–20 finances</t>
  </si>
  <si>
    <t>Oct 2021 list; 2020–21 finances</t>
  </si>
  <si>
    <t>Oct 2022 list; 2021–22 finances</t>
  </si>
  <si>
    <t>Oct 2023 list; 2022–23 finances</t>
  </si>
  <si>
    <t>Oct 2024 list; 2023–24 finances</t>
  </si>
  <si>
    <t>Oct 2025 list; 2024–25 finances</t>
  </si>
  <si>
    <t>Forbes estimates, $ millions. Year = NBA season the list covers (e.g., 2026 = 2025–26 season, Forbes list published Oct 2025). Row 4 shows which list and which season's finances each year uses. n/a = not found. Hover over a value to see its source.</t>
  </si>
  <si>
    <t>NBA Team Revenue ($ millions)</t>
  </si>
  <si>
    <t>Forbes estimated team revenue, $ millions, from the same Forbes list as each valuation year (row 4). Net of revenue sharing and arena debt service. Hover over a value to see its source.</t>
  </si>
  <si>
    <t>NBA Team Operating Income ($ millions)</t>
  </si>
  <si>
    <t>Forbes estimated operating income (EBITDA), $ millions, from the same Forbes list as each valuation year (row 4). Negative = operating loss, shown in parentheses. Hover over a value to see its source.</t>
  </si>
  <si>
    <t>NBA Team Arenas</t>
  </si>
  <si>
    <t>Arena</t>
  </si>
  <si>
    <t>State Farm Arena</t>
  </si>
  <si>
    <t>N</t>
  </si>
  <si>
    <t>TD Garden</t>
  </si>
  <si>
    <t>Barclays Center</t>
  </si>
  <si>
    <t>Spectrum Center</t>
  </si>
  <si>
    <t>United Center</t>
  </si>
  <si>
    <t>Y</t>
  </si>
  <si>
    <t>Rocket Arena</t>
  </si>
  <si>
    <t>American Airlines Center</t>
  </si>
  <si>
    <t>Ball Arena</t>
  </si>
  <si>
    <t>Little Caesars Arena</t>
  </si>
  <si>
    <t>Chase Center</t>
  </si>
  <si>
    <t>Team</t>
  </si>
  <si>
    <t>Toyota Center</t>
  </si>
  <si>
    <t>Gainbridge Fieldhouse</t>
  </si>
  <si>
    <t>Intuit Dome</t>
  </si>
  <si>
    <t>FedExForum</t>
  </si>
  <si>
    <t>Kaseya Center</t>
  </si>
  <si>
    <t>Fiserv Forum</t>
  </si>
  <si>
    <t>Target Center</t>
  </si>
  <si>
    <t>Smoothie King Center</t>
  </si>
  <si>
    <t>Madison Square Garden</t>
  </si>
  <si>
    <t>Paycom Center</t>
  </si>
  <si>
    <t>Amway Center</t>
  </si>
  <si>
    <t>Xfinity Mobile Arena</t>
  </si>
  <si>
    <t>Mortgage Matchup Center</t>
  </si>
  <si>
    <t>Moda Center</t>
  </si>
  <si>
    <t>Golden 1 Center</t>
  </si>
  <si>
    <t>Frost Bank Center</t>
  </si>
  <si>
    <t>Scotiabank Arena</t>
  </si>
  <si>
    <t>Delta Center</t>
  </si>
  <si>
    <t>Capital One Arena</t>
  </si>
  <si>
    <t>NBA Market Size</t>
  </si>
  <si>
    <t>Metro Population (MSA) – Census</t>
  </si>
  <si>
    <t>Estimate date</t>
  </si>
  <si>
    <t>Jul 1 2017</t>
  </si>
  <si>
    <t>Jul 1 2018</t>
  </si>
  <si>
    <t>Jul 1 2019</t>
  </si>
  <si>
    <t>Jul 1 2020</t>
  </si>
  <si>
    <t>Jul 1 2021</t>
  </si>
  <si>
    <t>Jul 1 2022</t>
  </si>
  <si>
    <t>Jul 1 2023</t>
  </si>
  <si>
    <t>Jul 1 2024</t>
  </si>
  <si>
    <t>Jul 1 2025</t>
  </si>
  <si>
    <t>Jul 1 2026</t>
  </si>
  <si>
    <t>DMA Rank – Nielsen</t>
  </si>
  <si>
    <t>TV season</t>
  </si>
  <si>
    <t>2016–17</t>
  </si>
  <si>
    <t>2017–18</t>
  </si>
  <si>
    <t>2018–19</t>
  </si>
  <si>
    <t>2019–20</t>
  </si>
  <si>
    <t>2020–21</t>
  </si>
  <si>
    <t>2021–22</t>
  </si>
  <si>
    <t>2022–23</t>
  </si>
  <si>
    <t>2023–24</t>
  </si>
  <si>
    <t>2024–25</t>
  </si>
  <si>
    <t>2025–26</t>
  </si>
  <si>
    <t>Forbes values each team as an enterprise value (equity plus net debt), using revenue multiples and each team's current arena deal. Values include arena economics (including non-NBA event revenue that goes to the owner) but not the value of the arena real estate. Forbes revenue and operating income are net of revenue sharing and arena debt service.</t>
  </si>
  <si>
    <t>Forbes, Most Valuable NBA Teams 2024 (methodology), https://www.forbes.com/sites/justinteitelbaum/2024/10/24/the-most-valuable-nba-teams-2024/</t>
  </si>
  <si>
    <t>National media rights (league-wide TV and streaming packages, shared equally by all teams); arena economics (ticket sales, premium seating and suites, and control of non-basketball event income at the arena); local market and sponsorships (local media and streaming rights, corporate sponsorships, global brand strength); and profitability and debt (operating income/EBITDA, and net debt relative to team value).</t>
  </si>
  <si>
    <t>The NBA sells exclusive rights to broadcast and stream games to media companies and shares the money between the league and its teams. The current national package is an 11-year agreement running from 2025–26 through 2035–36, reported at about $76 billion, split among three partners: Walt Disney (ABC/ESPN) – regular-season games, the NBA Finals and conference finals; NBCUniversal (NBC/Peacock) – regular-season games, Opening Night and Sunday/Tuesday games; and Amazon Prime Video – Thursday/Friday games, the NBA Cup (in-season tournament) and Play-In games.
National media deals (league level): the NBA negotiates national packages collectively as a single entity, and the money goes into a central pool that is shared equally among all 30 teams through basketball-related income (BRI).
Local media deals (team level): each team negotiates its own local TV, radio and regional sports network or streaming rights in its home market. That revenue stays mainly with the team, which creates large differences between big markets (e.g., Los Angeles, New York) and small markets.</t>
  </si>
  <si>
    <t>Deal size per Forbes, Most Valuable NBA Teams 2024, https://www.forbes.com/sites/justinteitelbaum/2024/10/24/the-most-valuable-nba-teams-2024/</t>
  </si>
  <si>
    <t>See the transactions table below (rows 49–57). Prices are as reported when each deal was agreed or approved, and are valuations for 100% of the team.</t>
  </si>
  <si>
    <t>See Source column in the table</t>
  </si>
  <si>
    <t>Major NBA relocations and name changes (original franchise → history → current team):
Minneapolis Lakers (1947) → moved in 1960, kept the name → Los Angeles Lakers
Tri-Cities Blackhawks (1946) → Milwaukee (1951), St. Louis (1955), Atlanta (1968) → Atlanta Hawks
Rochester Royals (1948) → Cincinnati (1957), Kansas City/Omaha (1972), Kansas City (1975) → Sacramento Kings
New Orleans Jazz (1974) → relocated in 1979, kept the name → Utah Jazz
Buffalo Braves (1970) → San Diego (1978), Los Angeles (1984) → LA Clippers
Washington Bullets (1973) → renamed in 1997 → Washington Wizards
Vancouver Grizzlies (1995) → relocated before the 2001–02 season → Memphis Grizzlies
Charlotte Hornets (1988) → moved in 2002, renamed Pelicans in 2013 → New Orleans Pelicans
Seattle SuperSonics (1967) → moved in 2008; the SuperSonics name stayed in Seattle → Oklahoma City Thunder
New Jersey Nets (1976) → moved to Brooklyn in 2012 → Brooklyn Nets
Charlotte Bobcats (2004) → renamed Hornets in 2014 → Charlotte Hornets</t>
  </si>
  <si>
    <t>Every team's Forbes value rose between the Feb 2017 and Oct 2025 lists (see the table above). The largest one-year jump came in the Oct 2023 list (2024 column): Forbes' average value rose about 35%, which Forbes attributed to the expected new national media deal and the Suns and Hornets sales (see the note on the 2024 header). The Oct 2023 list compressed values (small teams caught up), which affects every growth comparison. Because national media money is split equally, a bigger national deal raises every team's baseline value. Teams that control their arena can also capture non-NBA event revenue (see the Arena tab).</t>
  </si>
  <si>
    <t>Front Office Sports (Oct 2023 list), https://frontofficesports.com/article/most-valuable-nba-franchises-2023-golden-state-warriors/</t>
  </si>
  <si>
    <t>Salary cap and value</t>
  </si>
  <si>
    <t>The salary cap is set from projected basketball-related income (BRI), so it rises and falls with league revenue. It is a soft cap: teams can go over it using exceptions (such as Bird rights). Teams over the luxury tax line at the end of the season pay a tax that increases the further they are over, with higher rates for repeat taxpayers; tax money is distributed to non-taxpaying teams. The 2023 labor deal added a first and second 'apron' above the tax line that restrict trades and roster-building tools. For 2026–27 the cap is $164.961M and the tax line is $200.428M (see the Salary Cap tab).</t>
  </si>
  <si>
    <t>Cap and tax figures: official NBA announcements (Salary Cap tab)</t>
  </si>
  <si>
    <t>Major Sales &amp; Ownership Changes (2023 onward)</t>
  </si>
  <si>
    <t>Date</t>
  </si>
  <si>
    <t>Price/Valuation ($M)</t>
  </si>
  <si>
    <t>Seller</t>
  </si>
  <si>
    <t>Buyer</t>
  </si>
  <si>
    <t>Control or Minority</t>
  </si>
  <si>
    <t>Feb 6, 2023 (approved; agreed Dec 20, 2022)</t>
  </si>
  <si>
    <t>Robert Sarver (plus part of some minority stakes)</t>
  </si>
  <si>
    <t>Mat Ishbia and Justin Ishbia</t>
  </si>
  <si>
    <t>Control</t>
  </si>
  <si>
    <t>Boston Globe / Associated Press, https://www.bostonglobe.com/2023/02/06/sports/nba-approves-sale-phoenix-suns-mercury-mat-ishbia-4-billion/</t>
  </si>
  <si>
    <t>Feb 27, 2023 (agreement reported)</t>
  </si>
  <si>
    <t>Marc Lasry (25% stake)</t>
  </si>
  <si>
    <t>Jimmy and Dee Haslam</t>
  </si>
  <si>
    <t>Minority</t>
  </si>
  <si>
    <t>ESPN, https://www.espn.com/espn/print?id=35746705</t>
  </si>
  <si>
    <t>Jul 23, 2023 (approved; agreed Jun 16, 2023)</t>
  </si>
  <si>
    <t>Michael Jordan</t>
  </si>
  <si>
    <t>Group led by Gabe Plotkin and Rick Schnall</t>
  </si>
  <si>
    <t>CBS News Chicago / CBS Sports, https://www.cbsnews.com/chicago/news/michael-jordan-sale-charlotte-hornets/</t>
  </si>
  <si>
    <t>Dec 27, 2023 (approved)</t>
  </si>
  <si>
    <t>Mark Cuban</t>
  </si>
  <si>
    <t>Adelson and Dumont families (Las Vegas Sands)</t>
  </si>
  <si>
    <t>CBS News Texas / Associated Press, https://www.cbsnews.com/texas/news/nba-approves-sale-dallas-mavericks-las-vegas-sands-miriam-adelson/</t>
  </si>
  <si>
    <t>Jun 2025 (agreed)</t>
  </si>
  <si>
    <t>Buss family</t>
  </si>
  <si>
    <t>Mark Walter</t>
  </si>
  <si>
    <t>ABC7, https://abc7.com/16783698/</t>
  </si>
  <si>
    <t>Glen Taylor</t>
  </si>
  <si>
    <t>Group led by Marc Lore and Alex Rodriguez</t>
  </si>
  <si>
    <t>Aug 13, 2025 (approved; agreed Mar 2025)</t>
  </si>
  <si>
    <t>Grousbeck family-led ownership group</t>
  </si>
  <si>
    <t>Group led by Bill Chisholm</t>
  </si>
  <si>
    <t>ESPN, https://www.espn.com/nba/story/_/id/45969002/nba-approves-celtics-sale-record-61-billion-valuation</t>
  </si>
  <si>
    <t>Mar 30, 2026 (approved; agreed Aug 2025)</t>
  </si>
  <si>
    <t>Estate of Paul Allen</t>
  </si>
  <si>
    <t>Group led by Tom Dundon</t>
  </si>
  <si>
    <t>Reuters (via WTVB), https://wtvbam.com/2026/03/30/nba-approves-sale-of-trail-blazers-to-tom-dundon-led-group/</t>
  </si>
  <si>
    <t>Won Finals excl. 2022–23 Nuggets</t>
  </si>
  <si>
    <t>What happened to valuation: Spending over the tax did not make teams grow faster in value. Teams that paid the tax grew about the same (≈324% on average) as teams that never paid (≈329%) – see the summary above. The Warriors spent the most and became the most valuable team, but their value growth (+323%) was close to average. The 76ers grew the most (+581%) while paying only modest tax, and the never-taxpaying Hawks grew +465%. Big spenders tend to be big-market teams that were already valuable; market size, arenas and league-wide TV money drove value more than payroll did. Caution: taxpaying teams are mostly big-market teams with high starting values, and in percentage terms those teams grew more slowly over this period anyway, so this comparison is confounded and does not show cause. The Oct 2023 Forbes list compressed values (small teams caught up), which affects every growth comparison.</t>
  </si>
  <si>
    <t>Forbes annual NBA team valuations (articles and team pages on forbes.com). Official Forbes figures, but Forbes rounds most values to the nearest $25–100M. Row 4 shows which Forbes list and which season's finances each year uses (lists were published in February through Feb 2021, then in October from Oct 2021). The research notes and the sales table below the values cite their own sources.</t>
  </si>
  <si>
    <t>Revenue</t>
  </si>
  <si>
    <t>Forbes estimated team revenue ($M), net of revenue sharing and arena debt service, from the same Forbes list as each valuation year. Older years come from Forbes team-page history; 2026 from the Oct 2025 list article.</t>
  </si>
  <si>
    <t>Operating Income</t>
  </si>
  <si>
    <t>Forbes estimated operating income / EBITDA ($M) from the same lists. 2025 and 2026 come from the Oct 2024 and Oct 2025 list articles; six cells differ by $1M from the Forbes team page (noted in those cells).</t>
  </si>
  <si>
    <t>Market Size</t>
  </si>
  <si>
    <t>Panel</t>
  </si>
  <si>
    <t>Oct 2023 re-valuation</t>
  </si>
  <si>
    <t>The Oct 2023 Forbes list (2024 column) compressed values: small-market teams jumped 60–75% while big-market teams rose about 8%, so small teams caught up. This affects every growth comparison in the workbook (source: Front Office Sports, see note on NBA Valuations!I3).</t>
  </si>
  <si>
    <t>TO FIND</t>
  </si>
  <si>
    <t>Metro population (Census)</t>
  </si>
  <si>
    <t>Toronto population (StatCan)</t>
  </si>
  <si>
    <t>DMA rank (Nielsen)</t>
  </si>
  <si>
    <t>Team payroll 2017–2022</t>
  </si>
  <si>
    <t>Bucks control sale</t>
  </si>
  <si>
    <t>No Milwaukee Bucks control sale since 2023 was found. The 2023 sale of Marc Lasry's 25% stake (minority) is in the sales table and labeled Minority.</t>
  </si>
  <si>
    <t>2015–16 season data</t>
  </si>
  <si>
    <t>Utah 2020–21 tax bill</t>
  </si>
  <si>
    <t>NBA Franchise Panel (team × season)</t>
  </si>
  <si>
    <t>team</t>
  </si>
  <si>
    <t>season</t>
  </si>
  <si>
    <t>forbes_value</t>
  </si>
  <si>
    <t>revenue</t>
  </si>
  <si>
    <t>op_income</t>
  </si>
  <si>
    <t>msa_pop</t>
  </si>
  <si>
    <t>dma_rank</t>
  </si>
  <si>
    <t>arena_open_year</t>
  </si>
  <si>
    <t>wins</t>
  </si>
  <si>
    <t>losses</t>
  </si>
  <si>
    <t>win_pct</t>
  </si>
  <si>
    <t>playoff_score</t>
  </si>
  <si>
    <t>payroll</t>
  </si>
  <si>
    <t>tax_paid</t>
  </si>
  <si>
    <t>Market Size B38:H67 and K38:K67 — Nielsen DMA ranks for the 2016–17 to 2022–23 and 2025–26 TV seasons. 2024–25 and 2023–24 are filled from the uploaded National Media Spots repost (third-party). A 2025–26 list is reposted at https://methodshop.com/nielsen-dma-rankings-full-list/ ; older seasons: search 'Local Television Market Universe Estimates' + season. Toronto stays n/a (Numeris, not Nielsen).</t>
  </si>
  <si>
    <t>2015–16 Season (used only for the Panel's season-2017 rows)</t>
  </si>
  <si>
    <t>Tax Payroll 2015–16</t>
  </si>
  <si>
    <t>Tax Bill 2015–16 (Spotrac estimate)</t>
  </si>
  <si>
    <t>DONE — Salary Cap B10:G39 (2016–17 to 2021–22) and the 2015–16 block at Salary Cap A141:C172 filled from Spotrac tax-tracker screenshots.</t>
  </si>
  <si>
    <t>Salary Cap F137 — Utah 2020–21 tax: Spotrac ESTIMATE ($5,509,202) entered at user's request and highlighted yellow; the actual reported payment is still unknown. Forbes history: https://www.forbes.com/sites/markdeeks/2022/07/01/a-complete-history-of-nba-luxury-tax-payments-20012022/</t>
  </si>
  <si>
    <t>Wins 2015–16</t>
  </si>
  <si>
    <t>Losses 2015–16</t>
  </si>
  <si>
    <t>Playoff Result 2015–16</t>
  </si>
  <si>
    <t>Playoff Score</t>
  </si>
  <si>
    <t>DONE — 2015–16 wins, losses and playoff results added at Team Performance A239:E270 (Basketball-Reference screenshots) and linked into the Panel's season-2017 rows.</t>
  </si>
  <si>
    <t>Market Size K5:K34 and K32 — July 1 2026 metro population (U.S. Census and StatCan have not published 2026 yet; expected ~early 2027). 2017–2019 now filled from the uploaded Census Vintage 2020 file (older boundaries — see series-break note on each cell; biggest breaks: New Orleans −21%, Cleveland +7%, New York +5%, Phoenix −4%).</t>
  </si>
  <si>
    <t>(Merged into the item above — Toronto 2017–2025 is filled; only 2026 is missing.)</t>
  </si>
  <si>
    <t>Data notes: Payrolls for 2017–2022 (seasons 2016–17 to 2021–22) are from Spotrac's tax tracker (user screenshots); 2023–2026 are from Sports Business Classroom. Both are end-of-season tax payroll, but the two sources may differ slightly. A 2015–16 payroll/tax block (A141:C172) feeds only the Panel's 2017 rows; its tax bills are Spotrac estimates. Utah's 2020–21 tax bill (F137, yellow) is a Spotrac estimate. The 2027 columns were removed. Some early bills are rounded estimates; see cell notes.</t>
  </si>
  <si>
    <t>Cap and tax lines: official NBA announcements. Payrolls 2017–2022 (seasons 2016–17 to 2021–22): Spotrac NBA Team Tax Tracker 'Salaries' (tax payroll), from user screenshots — each value checked against Spotrac's tax line (Salaries + Space). Payrolls 2023–2026 and tax bills: Sports Business Classroom, HoopsRumors, HoopsHype and Forbes — secondary sources. The two payroll sources may differ slightly in definition.</t>
  </si>
  <si>
    <t>Season played</t>
  </si>
  <si>
    <t>2015–16</t>
  </si>
  <si>
    <t>The Palace of Auburn Hills</t>
  </si>
  <si>
    <t>Oracle Arena</t>
  </si>
  <si>
    <t>Crypto.com Arena (Staples Center)</t>
  </si>
  <si>
    <t>BMO Harris Bradley Center</t>
  </si>
  <si>
    <t>Sleep Train Arena (ARCO Arena)</t>
  </si>
  <si>
    <t>(a) Arena name</t>
  </si>
  <si>
    <t>(b) Year arena opened</t>
  </si>
  <si>
    <t>Home arena by season, same alignment as the Panel: column Y = the arena used in the season ending Y−1 (e.g., 2026 = 2024–25 season). Three tables: (a) arena name, (b) year that arena opened, (c) team owns arena — Y if the team or its controlling owner/affiliated company owns the building, N if a government body or unrelated company owns it. Arena names are each building's current name. Hover over any cell for its source.</t>
  </si>
  <si>
    <t>Fixed MSA population</t>
  </si>
  <si>
    <t>Two tables: (1) metro population, July 1 estimate for each year, plus column L 'Fixed MSA population' (July 1 2020) used by the Panel; (2) Nielsen DMA (TV market) rank for the TV season ending that year (e.g., 2026 = 2025–26 season). n/a = not found yet — see the To Find list on the Sources &amp; Disclaimers tab.</t>
  </si>
  <si>
    <t>arena_owned</t>
  </si>
  <si>
    <t>arena_age</t>
  </si>
  <si>
    <t>covid_finances</t>
  </si>
  <si>
    <t>Alignment: a Forbes value labeled year Y (and its revenue / operating income) is paired with performance from the season that ended in year Y−1. Example: season 2026 = Oct 2025 Forbes list, paired with 2024–25 wins, losses, playoffs, payroll and tax. Arena columns use the arena the team played in that season (Arena tab, same alignment); arena_age = (season − 1) − arena_open_year. msa_pop is a FIXED value for every season (July 1 2020 metro population, Market Size column L) to avoid the Census boundary break. dma_rank uses the TV season ending Y−1. COVID WARNING: revenue and op_income for seasons 2021 and 2022 (2019–20 and 2020–21 finances) are COVID-affected — flagged by covid_finances = 1. Every cell is a formula pulling from the other tabs; n/a = not available.</t>
  </si>
  <si>
    <t>May 14, 2021 (agreed at $1.5B; final NBA approval Jun 2025 after arbitration)</t>
  </si>
  <si>
    <t>CBS Sports (2021 agreement), https://www.cbssports.com/nba/news/alex-rodriguezs-ownership-group-reaches-agreement-to-buy-timberwolves-lynx-for-1-5-billion ; ESPN (2025 approval), https://www.espn.com/nba/story/_/id/45577217</t>
  </si>
  <si>
    <t>Two tables. (1) Metro population, July 1 2017–2025: Census Bureau Vintage 2020 (2017–2019) and Vintage 2025 (2020–2025) MSA estimates; Statistics Canada Table 17-10-0148-01 for Toronto (all uploaded files). There is a boundary break between 2019 and 2020. Column L 'Fixed MSA population' (July 1 2020) is what the Panel uses for every season. (2) Nielsen DMA rank: 2023–24 and 2024–25 only (third-party repost of Nielsen's list); other seasons n/a.</t>
  </si>
  <si>
    <t>Season-by-season home arena (same alignment as the Panel): arena name, year opened, team owns arena (Y/N). Current arenas from Forbes team pages; former arenas (Sleep Train Arena, The Palace of Auburn Hills, Bradley Center, Oracle Arena, Staples Center) and ownership changes (Blazers' Moda Center sold to the City of Portland Aug 2024) from news and reference sources in each cell note.</t>
  </si>
  <si>
    <t>Long-format dataset (one row per team per season), all formulas pulling from the other tabs. A Forbes value labeled year Y is paired with performance and arena from the season ending in year Y−1. msa_pop is fixed (July 1 2020). covid_finances = 1 flags seasons 2021–2022, whose revenue and operating income reflect COVID-affected 2019–20 and 2020–21 finances.</t>
  </si>
  <si>
    <t>Older arena ownership (secondary)</t>
  </si>
  <si>
    <t>Arena tab table (c): two ownership flags rest on secondary sources and should be confirmed with a primary one — Kings 2017 Sleep Train Arena = Y (RetroSeasons) and Bucks 2017–2019 Bradley Center = N (Wikipedia). Also, ownership for arenas that did not change is taken from Forbes' Oct 2025 team pages and assumed unchanged back to 2015–16 (no change found in research).</t>
  </si>
  <si>
    <t>(c) Team owns arena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</si>
</sst>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quot;$&quot;#,##0"/>
    <numFmt numFmtId="165" formatCode="&quot;$&quot;#,##0.0,,&quot;M&quot;;\(&quot;$&quot;#,##0.0,,&quot;M&quot;\);&quot;-&quot;"/>
    <numFmt numFmtId="166" formatCode="&quot;$&quot;#,##0.0,,&quot;M&quot;;;&quot;-&quot;"/>
    <numFmt numFmtId="167" formatCode="0;;&quot;-&quot;"/>
    <numFmt numFmtId="168" formatCode="0.0%"/>
    <numFmt numFmtId="169" formatCode="\+0.0%;\-0.0%;0.0%"/>
    <numFmt numFmtId="170" formatCode="&quot;$&quot;#,##0;\(&quot;$&quot;#,##0\)"/>
    <numFmt numFmtId="171" formatCode=".000"/>
  </numFmts>
  <fonts count="30" x14ac:knownFonts="1">
    <font>
      <sz val="12"/>
      <color theme="1"/>
      <name val="Aptos Narrow"/>
      <family val="2"/>
      <scheme val="minor"/>
    </font>
    <font>
      <b/>
      <sz val="12"/>
      <color theme="1"/>
      <name val="Aptos Narrow"/>
      <family val="2"/>
      <scheme val="minor"/>
    </font>
    <font>
      <sz val="12"/>
      <color rgb="FF0000FF"/>
      <name val="Aptos Narrow"/>
      <family val="2"/>
      <scheme val="minor"/>
    </font>
    <font>
      <b/>
      <sz val="14"/>
      <color theme="1"/>
      <name val="Aptos Narrow"/>
      <family val="2"/>
      <scheme val="minor"/>
    </font>
    <font>
      <b/>
      <sz val="12"/>
      <color rgb="FFFFFFFF"/>
      <name val="Aptos Narrow"/>
      <family val="2"/>
      <scheme val="minor"/>
    </font>
    <font>
      <sz val="12"/>
      <color rgb="FF000000"/>
      <name val="Aptos Narrow"/>
      <family val="2"/>
      <scheme val="minor"/>
    </font>
    <font>
      <b/>
      <sz val="12"/>
      <color rgb="FF000000"/>
      <name val="Aptos Narrow"/>
      <family val="2"/>
      <scheme val="minor"/>
    </font>
    <font>
      <sz val="12"/>
      <color rgb="FF808080"/>
      <name val="Aptos Narrow"/>
      <family val="2"/>
      <scheme val="minor"/>
    </font>
    <font>
      <i/>
      <sz val="12"/>
      <color theme="1"/>
      <name val="Aptos Narrow"/>
      <family val="2"/>
      <scheme val="minor"/>
    </font>
    <font>
      <i/>
      <sz val="12"/>
      <color rgb="FF595959"/>
      <name val="Aptos Narrow"/>
      <family val="2"/>
      <scheme val="minor"/>
    </font>
    <font>
      <sz val="10"/>
      <color rgb="FF000000"/>
      <name val="Tahoma"/>
      <family val="2"/>
    </font>
    <font>
      <b/>
      <sz val="10"/>
      <color rgb="FF000000"/>
      <name val="Tahoma"/>
      <family val="2"/>
    </font>
    <font>
      <sz val="12"/>
      <color rgb="FF008000"/>
      <name val="Aptos Narrow"/>
      <family val="2"/>
      <scheme val="minor"/>
    </font>
    <font>
      <b/>
      <sz val="20"/>
      <color rgb="FFFFFFFF"/>
      <name val="Aptos Narrow"/>
      <family val="2"/>
      <scheme val="minor"/>
    </font>
    <font>
      <b/>
      <sz val="13"/>
      <color rgb="FF1F4E78"/>
      <name val="Aptos Narrow"/>
      <family val="2"/>
      <scheme val="minor"/>
    </font>
    <font>
      <b/>
      <sz val="12"/>
      <color rgb="FF1F4E78"/>
      <name val="Aptos Narrow"/>
      <family val="2"/>
      <scheme val="minor"/>
    </font>
    <font>
      <sz val="10"/>
      <color theme="1"/>
      <name val="Aptos Narrow"/>
      <family val="2"/>
      <scheme val="minor"/>
    </font>
    <font>
      <sz val="12"/>
      <color theme="1"/>
      <name val="Aptos Narrow"/>
      <scheme val="minor"/>
    </font>
    <font>
      <i/>
      <sz val="9"/>
      <color rgb="FF595959"/>
      <name val="Aptos Narrow"/>
      <scheme val="minor"/>
    </font>
    <font>
      <b/>
      <i/>
      <sz val="11"/>
      <color rgb="FF595959"/>
      <name val="Aptos Narrow"/>
      <scheme val="minor"/>
    </font>
    <font>
      <sz val="10"/>
      <color rgb="FF595959"/>
      <name val="Aptos Narrow"/>
      <family val="2"/>
      <scheme val="minor"/>
    </font>
    <font>
      <b/>
      <sz val="14"/>
      <color rgb="FF1F4E78"/>
      <name val="Aptos Narrow"/>
      <family val="2"/>
      <scheme val="minor"/>
    </font>
    <font>
      <b/>
      <sz val="11"/>
      <color theme="1"/>
      <name val="Aptos Narrow"/>
      <scheme val="minor"/>
    </font>
    <font>
      <sz val="11"/>
      <color rgb="FF0000FF"/>
      <name val="Aptos Narrow"/>
      <scheme val="minor"/>
    </font>
    <font>
      <sz val="9"/>
      <color rgb="FF595959"/>
      <name val="Aptos Narrow"/>
      <scheme val="minor"/>
    </font>
    <font>
      <b/>
      <sz val="20"/>
      <color rgb="FFFFFFFF"/>
      <name val="Aptos Narrow"/>
      <scheme val="minor"/>
    </font>
    <font>
      <i/>
      <sz val="12"/>
      <color rgb="FF595959"/>
      <name val="Aptos Narrow"/>
      <scheme val="minor"/>
    </font>
    <font>
      <b/>
      <sz val="11"/>
      <color rgb="FFFFFFFF"/>
      <name val="Aptos Narrow"/>
      <scheme val="minor"/>
    </font>
    <font>
      <sz val="11"/>
      <color rgb="FF008000"/>
      <name val="Aptos Narrow"/>
      <scheme val="minor"/>
    </font>
    <font>
      <sz val="11"/>
      <color rgb="FF000000"/>
      <name val="Aptos Narrow"/>
      <scheme val="minor"/>
    </font>
  </fonts>
  <fills count="7">
    <fill>
      <patternFill patternType="none"/>
    </fill>
    <fill>
      <patternFill patternType="gray125"/>
    </fill>
    <fill>
      <patternFill patternType="solid">
        <fgColor rgb="FF1F4E78"/>
        <bgColor indexed="64"/>
      </patternFill>
    </fill>
    <fill>
      <patternFill patternType="solid">
        <fgColor rgb="FFF2F2F2"/>
        <bgColor indexed="64"/>
      </patternFill>
    </fill>
    <fill>
      <patternFill patternType="solid">
        <fgColor rgb="FFC00000"/>
        <bgColor indexed="64"/>
      </patternFill>
    </fill>
    <fill>
      <patternFill patternType="solid">
        <fgColor rgb="FFFFFF00"/>
        <bgColor indexed="64"/>
      </patternFill>
    </fill>
    <fill>
      <patternFill patternType="solid">
        <fgColor rgb="FFDDEBF7"/>
        <bgColor indexed="64"/>
      </patternFill>
    </fill>
  </fills>
  <borders count="15">
    <border>
      <left/>
      <right/>
      <top/>
      <bottom/>
      <diagonal/>
    </border>
    <border>
      <left/>
      <right/>
      <top/>
      <bottom style="thin">
        <color auto="1"/>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auto="1"/>
      </left>
      <right/>
      <top/>
      <bottom/>
      <diagonal/>
    </border>
    <border>
      <left/>
      <right/>
      <top/>
      <bottom style="thin">
        <color rgb="FFD9D9D9"/>
      </bottom>
      <diagonal/>
    </border>
    <border>
      <left/>
      <right/>
      <top style="thin">
        <color rgb="FFD9D9D9"/>
      </top>
      <bottom style="thin">
        <color rgb="FFD9D9D9"/>
      </bottom>
      <diagonal/>
    </border>
    <border>
      <left/>
      <right/>
      <top style="thin">
        <color rgb="FFD9D9D9"/>
      </top>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right/>
      <top/>
      <bottom style="thin">
        <color rgb="FFBFBFBF"/>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s>
  <cellStyleXfs count="1">
    <xf numFmtId="0" fontId="0" fillId="0" borderId="0"/>
  </cellStyleXfs>
  <cellXfs count="139">
    <xf numFmtId="0" fontId="0" fillId="0" borderId="0" xfId="0"/>
    <xf numFmtId="0" fontId="0" fillId="0" borderId="0" xfId="0" applyAlignment="1">
      <alignment horizontal="center"/>
    </xf>
    <xf numFmtId="0" fontId="1" fillId="0" borderId="0" xfId="0" applyFont="1"/>
    <xf numFmtId="0" fontId="3" fillId="0" borderId="0" xfId="0" applyFont="1"/>
    <xf numFmtId="49" fontId="4" fillId="2" borderId="0" xfId="0" applyNumberFormat="1" applyFont="1" applyFill="1" applyAlignment="1">
      <alignment horizontal="center"/>
    </xf>
    <xf numFmtId="164" fontId="2" fillId="0" borderId="4" xfId="0" applyNumberFormat="1" applyFont="1" applyBorder="1" applyAlignment="1">
      <alignment horizontal="right"/>
    </xf>
    <xf numFmtId="0" fontId="1" fillId="0" borderId="4" xfId="0" applyFont="1" applyBorder="1"/>
    <xf numFmtId="0" fontId="1" fillId="3" borderId="4" xfId="0" applyFont="1" applyFill="1" applyBorder="1"/>
    <xf numFmtId="164" fontId="2" fillId="3" borderId="4" xfId="0" applyNumberFormat="1" applyFont="1" applyFill="1" applyBorder="1" applyAlignment="1">
      <alignment horizontal="right"/>
    </xf>
    <xf numFmtId="0" fontId="4" fillId="2" borderId="0" xfId="0" applyFont="1" applyFill="1"/>
    <xf numFmtId="0" fontId="0" fillId="0" borderId="0" xfId="0" applyAlignment="1">
      <alignment wrapText="1"/>
    </xf>
    <xf numFmtId="0" fontId="4" fillId="2" borderId="4" xfId="0" applyFont="1" applyFill="1" applyBorder="1"/>
    <xf numFmtId="0" fontId="6" fillId="0" borderId="4" xfId="0" applyFont="1" applyBorder="1" applyAlignment="1">
      <alignment vertical="top" wrapText="1"/>
    </xf>
    <xf numFmtId="164" fontId="7" fillId="0" borderId="4" xfId="0" applyNumberFormat="1" applyFont="1" applyBorder="1" applyAlignment="1">
      <alignment horizontal="right"/>
    </xf>
    <xf numFmtId="164" fontId="7" fillId="3" borderId="4" xfId="0" applyNumberFormat="1" applyFont="1" applyFill="1" applyBorder="1" applyAlignment="1">
      <alignment horizontal="right"/>
    </xf>
    <xf numFmtId="0" fontId="8" fillId="0" borderId="0" xfId="0" applyFont="1"/>
    <xf numFmtId="0" fontId="9" fillId="0" borderId="0" xfId="0" applyFont="1"/>
    <xf numFmtId="0" fontId="4" fillId="2" borderId="0" xfId="0" applyFont="1" applyFill="1" applyAlignment="1">
      <alignment horizontal="center"/>
    </xf>
    <xf numFmtId="0" fontId="2" fillId="0" borderId="0" xfId="0" applyFont="1"/>
    <xf numFmtId="164" fontId="12" fillId="0" borderId="4" xfId="0" applyNumberFormat="1" applyFont="1" applyBorder="1" applyAlignment="1">
      <alignment horizontal="right"/>
    </xf>
    <xf numFmtId="0" fontId="4" fillId="2" borderId="4" xfId="0" applyFont="1" applyFill="1" applyBorder="1" applyAlignment="1">
      <alignment horizontal="center"/>
    </xf>
    <xf numFmtId="164" fontId="12" fillId="3" borderId="4" xfId="0" applyNumberFormat="1" applyFont="1" applyFill="1" applyBorder="1" applyAlignment="1">
      <alignment horizontal="right"/>
    </xf>
    <xf numFmtId="0" fontId="14" fillId="0" borderId="0" xfId="0" applyFont="1"/>
    <xf numFmtId="165" fontId="2" fillId="0" borderId="0" xfId="0" applyNumberFormat="1" applyFont="1" applyAlignment="1">
      <alignment horizontal="right"/>
    </xf>
    <xf numFmtId="0" fontId="0" fillId="0" borderId="0" xfId="0" applyAlignment="1">
      <alignment horizontal="right"/>
    </xf>
    <xf numFmtId="49" fontId="4" fillId="2" borderId="0" xfId="0" applyNumberFormat="1" applyFont="1" applyFill="1" applyAlignment="1">
      <alignment horizontal="right"/>
    </xf>
    <xf numFmtId="165" fontId="7" fillId="0" borderId="0" xfId="0" applyNumberFormat="1" applyFont="1" applyAlignment="1">
      <alignment horizontal="right"/>
    </xf>
    <xf numFmtId="165" fontId="0" fillId="0" borderId="0" xfId="0" applyNumberFormat="1" applyAlignment="1">
      <alignment horizontal="right"/>
    </xf>
    <xf numFmtId="9" fontId="1" fillId="0" borderId="0" xfId="0" applyNumberFormat="1" applyFont="1"/>
    <xf numFmtId="167" fontId="0" fillId="0" borderId="4" xfId="0" applyNumberFormat="1" applyBorder="1" applyAlignment="1">
      <alignment horizontal="right"/>
    </xf>
    <xf numFmtId="166" fontId="0" fillId="0" borderId="4" xfId="0" applyNumberFormat="1" applyBorder="1" applyAlignment="1">
      <alignment horizontal="right"/>
    </xf>
    <xf numFmtId="0" fontId="4" fillId="2" borderId="4" xfId="0" applyFont="1" applyFill="1" applyBorder="1" applyAlignment="1">
      <alignment horizontal="center" wrapText="1"/>
    </xf>
    <xf numFmtId="9" fontId="0" fillId="0" borderId="4" xfId="0" applyNumberFormat="1" applyBorder="1" applyAlignment="1">
      <alignment horizontal="right"/>
    </xf>
    <xf numFmtId="0" fontId="14" fillId="0" borderId="6" xfId="0" applyFont="1" applyBorder="1"/>
    <xf numFmtId="0" fontId="15" fillId="0" borderId="0" xfId="0" applyFont="1"/>
    <xf numFmtId="0" fontId="2" fillId="0" borderId="0" xfId="0" applyFont="1" applyAlignment="1">
      <alignment horizontal="center"/>
    </xf>
    <xf numFmtId="168" fontId="0" fillId="0" borderId="0" xfId="0" applyNumberFormat="1" applyAlignment="1">
      <alignment horizontal="center"/>
    </xf>
    <xf numFmtId="169" fontId="0" fillId="0" borderId="0" xfId="0" applyNumberFormat="1" applyAlignment="1">
      <alignment horizontal="center"/>
    </xf>
    <xf numFmtId="0" fontId="4" fillId="2" borderId="0" xfId="0" applyFont="1" applyFill="1" applyAlignment="1">
      <alignment wrapText="1"/>
    </xf>
    <xf numFmtId="2" fontId="0" fillId="0" borderId="0" xfId="0" applyNumberFormat="1" applyAlignment="1">
      <alignment horizontal="center"/>
    </xf>
    <xf numFmtId="0" fontId="4" fillId="2" borderId="0" xfId="0" applyFont="1" applyFill="1" applyAlignment="1">
      <alignment horizontal="center" wrapText="1"/>
    </xf>
    <xf numFmtId="0" fontId="0" fillId="0" borderId="1" xfId="0" applyBorder="1"/>
    <xf numFmtId="0" fontId="0" fillId="0" borderId="1" xfId="0" applyBorder="1" applyAlignment="1">
      <alignment horizontal="center"/>
    </xf>
    <xf numFmtId="169" fontId="0" fillId="0" borderId="1" xfId="0" applyNumberFormat="1" applyBorder="1" applyAlignment="1">
      <alignment horizontal="center"/>
    </xf>
    <xf numFmtId="0" fontId="8" fillId="0" borderId="0" xfId="0" applyFont="1" applyAlignment="1">
      <alignment wrapText="1"/>
    </xf>
    <xf numFmtId="0" fontId="4" fillId="2" borderId="7" xfId="0" applyFont="1" applyFill="1" applyBorder="1" applyAlignment="1">
      <alignment vertical="top"/>
    </xf>
    <xf numFmtId="0" fontId="1" fillId="0" borderId="8" xfId="0" applyFont="1" applyBorder="1" applyAlignment="1">
      <alignment vertical="top"/>
    </xf>
    <xf numFmtId="0" fontId="0" fillId="0" borderId="8" xfId="0" applyBorder="1" applyAlignment="1">
      <alignment vertical="top" wrapText="1"/>
    </xf>
    <xf numFmtId="0" fontId="4" fillId="2" borderId="8" xfId="0" applyFont="1" applyFill="1" applyBorder="1" applyAlignment="1">
      <alignment vertical="top"/>
    </xf>
    <xf numFmtId="0" fontId="1" fillId="0" borderId="9" xfId="0" applyFont="1" applyBorder="1" applyAlignment="1">
      <alignment vertical="top"/>
    </xf>
    <xf numFmtId="0" fontId="0" fillId="0" borderId="9" xfId="0" applyBorder="1" applyAlignment="1">
      <alignment vertical="top" wrapText="1"/>
    </xf>
    <xf numFmtId="0" fontId="13" fillId="4" borderId="0" xfId="0" applyFont="1" applyFill="1" applyAlignment="1">
      <alignment horizontal="center"/>
    </xf>
    <xf numFmtId="0" fontId="8" fillId="0" borderId="0" xfId="0" applyFont="1" applyAlignment="1">
      <alignment wrapText="1"/>
    </xf>
    <xf numFmtId="0" fontId="0" fillId="0" borderId="2" xfId="0" applyBorder="1" applyAlignment="1">
      <alignment vertical="top" wrapText="1"/>
    </xf>
    <xf numFmtId="0" fontId="13" fillId="4" borderId="0" xfId="0" applyFont="1" applyFill="1" applyAlignment="1">
      <alignment horizontal="center" vertical="center"/>
    </xf>
    <xf numFmtId="0" fontId="4" fillId="2" borderId="5" xfId="0" applyFont="1" applyFill="1" applyBorder="1" applyAlignment="1">
      <alignment vertical="top" wrapText="1"/>
    </xf>
    <xf numFmtId="0" fontId="4" fillId="2" borderId="2" xfId="0" applyFont="1" applyFill="1" applyBorder="1" applyAlignment="1">
      <alignment vertical="top" wrapText="1"/>
    </xf>
    <xf numFmtId="0" fontId="4" fillId="2" borderId="3" xfId="0" applyFont="1" applyFill="1" applyBorder="1" applyAlignment="1">
      <alignment vertical="top" wrapText="1"/>
    </xf>
    <xf numFmtId="49" fontId="5" fillId="0" borderId="5" xfId="0" applyNumberFormat="1" applyFont="1" applyBorder="1" applyAlignment="1">
      <alignment vertical="top" wrapText="1"/>
    </xf>
    <xf numFmtId="49" fontId="5" fillId="0" borderId="2" xfId="0" applyNumberFormat="1" applyFont="1" applyBorder="1" applyAlignment="1">
      <alignment vertical="top" wrapText="1"/>
    </xf>
    <xf numFmtId="49" fontId="5" fillId="0" borderId="3" xfId="0" applyNumberFormat="1" applyFont="1" applyBorder="1" applyAlignment="1">
      <alignment vertical="top" wrapText="1"/>
    </xf>
    <xf numFmtId="0" fontId="0" fillId="0" borderId="6" xfId="0" applyBorder="1" applyAlignment="1">
      <alignment vertical="top" wrapText="1"/>
    </xf>
    <xf numFmtId="0" fontId="0" fillId="0" borderId="0" xfId="0" applyAlignment="1">
      <alignment vertical="top" wrapText="1"/>
    </xf>
    <xf numFmtId="0" fontId="0" fillId="0" borderId="0" xfId="0"/>
    <xf numFmtId="0" fontId="16" fillId="0" borderId="0" xfId="0" applyFont="1" applyAlignment="1">
      <alignment vertical="top" wrapText="1"/>
    </xf>
    <xf numFmtId="0" fontId="17" fillId="0" borderId="0" xfId="0" applyFont="1"/>
    <xf numFmtId="49" fontId="4" fillId="2" borderId="10" xfId="0" applyNumberFormat="1" applyFont="1" applyFill="1" applyBorder="1"/>
    <xf numFmtId="49" fontId="4" fillId="2" borderId="10" xfId="0" applyNumberFormat="1" applyFont="1" applyFill="1" applyBorder="1" applyAlignment="1">
      <alignment horizontal="center"/>
    </xf>
    <xf numFmtId="0" fontId="1" fillId="0" borderId="11" xfId="0" applyFont="1" applyBorder="1"/>
    <xf numFmtId="164" fontId="2" fillId="0" borderId="11" xfId="0" applyNumberFormat="1" applyFont="1" applyBorder="1" applyAlignment="1">
      <alignment horizontal="right"/>
    </xf>
    <xf numFmtId="0" fontId="19" fillId="6" borderId="4" xfId="0" applyFont="1" applyFill="1" applyBorder="1" applyAlignment="1">
      <alignment horizontal="left" vertical="center" wrapText="1"/>
    </xf>
    <xf numFmtId="0" fontId="18" fillId="6" borderId="4" xfId="0" applyFont="1" applyFill="1" applyBorder="1" applyAlignment="1">
      <alignment horizontal="center" vertical="center" wrapText="1"/>
    </xf>
    <xf numFmtId="170" fontId="2" fillId="0" borderId="11" xfId="0" applyNumberFormat="1" applyFont="1" applyBorder="1" applyAlignment="1">
      <alignment horizontal="right"/>
    </xf>
    <xf numFmtId="170" fontId="2" fillId="3" borderId="4" xfId="0" applyNumberFormat="1" applyFont="1" applyFill="1" applyBorder="1" applyAlignment="1">
      <alignment horizontal="right"/>
    </xf>
    <xf numFmtId="170" fontId="2" fillId="0" borderId="4" xfId="0" applyNumberFormat="1" applyFont="1" applyBorder="1" applyAlignment="1">
      <alignment horizontal="right"/>
    </xf>
    <xf numFmtId="1" fontId="2" fillId="0" borderId="11" xfId="0" applyNumberFormat="1" applyFont="1" applyBorder="1" applyAlignment="1">
      <alignment horizontal="right"/>
    </xf>
    <xf numFmtId="1" fontId="2" fillId="3" borderId="4" xfId="0" applyNumberFormat="1" applyFont="1" applyFill="1" applyBorder="1" applyAlignment="1">
      <alignment horizontal="right"/>
    </xf>
    <xf numFmtId="1" fontId="2" fillId="0" borderId="4" xfId="0" applyNumberFormat="1" applyFont="1" applyBorder="1" applyAlignment="1">
      <alignment horizontal="right"/>
    </xf>
    <xf numFmtId="1" fontId="2" fillId="0" borderId="11" xfId="0" applyNumberFormat="1" applyFont="1" applyBorder="1" applyAlignment="1">
      <alignment horizontal="center"/>
    </xf>
    <xf numFmtId="49" fontId="2" fillId="0" borderId="11" xfId="0" applyNumberFormat="1" applyFont="1" applyBorder="1" applyAlignment="1">
      <alignment horizontal="center"/>
    </xf>
    <xf numFmtId="1" fontId="2" fillId="3" borderId="4" xfId="0" applyNumberFormat="1" applyFont="1" applyFill="1" applyBorder="1" applyAlignment="1">
      <alignment horizontal="center"/>
    </xf>
    <xf numFmtId="49" fontId="2" fillId="3" borderId="4" xfId="0" applyNumberFormat="1" applyFont="1" applyFill="1" applyBorder="1" applyAlignment="1">
      <alignment horizontal="center"/>
    </xf>
    <xf numFmtId="1" fontId="2" fillId="0" borderId="4" xfId="0" applyNumberFormat="1" applyFont="1" applyBorder="1" applyAlignment="1">
      <alignment horizontal="center"/>
    </xf>
    <xf numFmtId="49" fontId="2" fillId="0" borderId="4" xfId="0" applyNumberFormat="1" applyFont="1" applyBorder="1" applyAlignment="1">
      <alignment horizontal="center"/>
    </xf>
    <xf numFmtId="49" fontId="4" fillId="2" borderId="10" xfId="0" applyNumberFormat="1" applyFont="1" applyFill="1" applyBorder="1" applyAlignment="1">
      <alignment horizontal="center" wrapText="1"/>
    </xf>
    <xf numFmtId="3" fontId="2" fillId="0" borderId="11" xfId="0" applyNumberFormat="1" applyFont="1" applyBorder="1" applyAlignment="1">
      <alignment horizontal="right"/>
    </xf>
    <xf numFmtId="3" fontId="2" fillId="3" borderId="4" xfId="0" applyNumberFormat="1" applyFont="1" applyFill="1" applyBorder="1" applyAlignment="1">
      <alignment horizontal="right"/>
    </xf>
    <xf numFmtId="3" fontId="2" fillId="0" borderId="4" xfId="0" applyNumberFormat="1" applyFont="1" applyBorder="1" applyAlignment="1">
      <alignment horizontal="right"/>
    </xf>
    <xf numFmtId="0" fontId="20" fillId="0" borderId="5" xfId="0" applyFont="1" applyBorder="1" applyAlignment="1">
      <alignment vertical="top" wrapText="1"/>
    </xf>
    <xf numFmtId="0" fontId="21" fillId="0" borderId="0" xfId="0" applyFont="1" applyFill="1" applyBorder="1" applyAlignment="1">
      <alignment vertical="top" wrapText="1"/>
    </xf>
    <xf numFmtId="0" fontId="21" fillId="0" borderId="0" xfId="0" applyFont="1"/>
    <xf numFmtId="0" fontId="4" fillId="2" borderId="4" xfId="0" applyFont="1" applyFill="1" applyBorder="1" applyAlignment="1">
      <alignment vertical="top" wrapText="1"/>
    </xf>
    <xf numFmtId="0" fontId="4" fillId="2" borderId="4" xfId="0" applyFont="1" applyFill="1" applyBorder="1" applyAlignment="1">
      <alignment vertical="top" wrapText="1"/>
    </xf>
    <xf numFmtId="0" fontId="22" fillId="0" borderId="4" xfId="0" applyFont="1" applyBorder="1" applyAlignment="1">
      <alignment vertical="top" wrapText="1"/>
    </xf>
    <xf numFmtId="0" fontId="23" fillId="0" borderId="4" xfId="0" applyFont="1" applyBorder="1" applyAlignment="1">
      <alignment vertical="top" wrapText="1"/>
    </xf>
    <xf numFmtId="164" fontId="23" fillId="0" borderId="4" xfId="0" applyNumberFormat="1" applyFont="1" applyBorder="1" applyAlignment="1">
      <alignment horizontal="right" vertical="top" wrapText="1"/>
    </xf>
    <xf numFmtId="0" fontId="24" fillId="0" borderId="4" xfId="0" applyFont="1" applyBorder="1" applyAlignment="1">
      <alignment vertical="top" wrapText="1"/>
    </xf>
    <xf numFmtId="0" fontId="22" fillId="3" borderId="4" xfId="0" applyFont="1" applyFill="1" applyBorder="1" applyAlignment="1">
      <alignment vertical="top" wrapText="1"/>
    </xf>
    <xf numFmtId="0" fontId="23" fillId="3" borderId="4" xfId="0" applyFont="1" applyFill="1" applyBorder="1" applyAlignment="1">
      <alignment vertical="top" wrapText="1"/>
    </xf>
    <xf numFmtId="164" fontId="23" fillId="3" borderId="4" xfId="0" applyNumberFormat="1" applyFont="1" applyFill="1" applyBorder="1" applyAlignment="1">
      <alignment horizontal="right" vertical="top" wrapText="1"/>
    </xf>
    <xf numFmtId="0" fontId="24" fillId="3" borderId="4" xfId="0" applyFont="1" applyFill="1" applyBorder="1" applyAlignment="1">
      <alignment vertical="top" wrapText="1"/>
    </xf>
    <xf numFmtId="0" fontId="1" fillId="0" borderId="9" xfId="0" applyFont="1" applyBorder="1" applyAlignment="1">
      <alignment vertical="top" wrapText="1"/>
    </xf>
    <xf numFmtId="0" fontId="4" fillId="2" borderId="8" xfId="0" applyFont="1" applyFill="1" applyBorder="1" applyAlignment="1">
      <alignment vertical="top" wrapText="1"/>
    </xf>
    <xf numFmtId="0" fontId="25" fillId="4" borderId="0" xfId="0" applyFont="1" applyFill="1" applyAlignment="1">
      <alignment horizontal="center"/>
    </xf>
    <xf numFmtId="0" fontId="26" fillId="0" borderId="0" xfId="0" applyFont="1" applyAlignment="1">
      <alignment vertical="top" wrapText="1"/>
    </xf>
    <xf numFmtId="0" fontId="29" fillId="0" borderId="8" xfId="0" applyFont="1" applyBorder="1" applyAlignment="1">
      <alignment horizontal="right"/>
    </xf>
    <xf numFmtId="170" fontId="28" fillId="0" borderId="8" xfId="0" applyNumberFormat="1" applyFont="1" applyBorder="1" applyAlignment="1">
      <alignment horizontal="right"/>
    </xf>
    <xf numFmtId="3" fontId="28" fillId="0" borderId="8" xfId="0" applyNumberFormat="1" applyFont="1" applyBorder="1" applyAlignment="1">
      <alignment horizontal="right"/>
    </xf>
    <xf numFmtId="1" fontId="28" fillId="0" borderId="8" xfId="0" applyNumberFormat="1" applyFont="1" applyBorder="1" applyAlignment="1">
      <alignment horizontal="right"/>
    </xf>
    <xf numFmtId="171" fontId="29" fillId="0" borderId="8" xfId="0" applyNumberFormat="1" applyFont="1" applyBorder="1" applyAlignment="1">
      <alignment horizontal="right"/>
    </xf>
    <xf numFmtId="164" fontId="28" fillId="0" borderId="8" xfId="0" applyNumberFormat="1" applyFont="1" applyBorder="1" applyAlignment="1">
      <alignment horizontal="right"/>
    </xf>
    <xf numFmtId="0" fontId="27" fillId="2" borderId="8" xfId="0" applyFont="1" applyFill="1" applyBorder="1" applyAlignment="1">
      <alignment horizontal="center"/>
    </xf>
    <xf numFmtId="0" fontId="27" fillId="2" borderId="13" xfId="0" applyFont="1" applyFill="1" applyBorder="1" applyAlignment="1">
      <alignment horizontal="center"/>
    </xf>
    <xf numFmtId="0" fontId="29" fillId="0" borderId="13" xfId="0" applyFont="1" applyBorder="1"/>
    <xf numFmtId="0" fontId="27" fillId="2" borderId="14" xfId="0" applyFont="1" applyFill="1" applyBorder="1" applyAlignment="1">
      <alignment horizontal="center"/>
    </xf>
    <xf numFmtId="164" fontId="28" fillId="0" borderId="14" xfId="0" applyNumberFormat="1" applyFont="1" applyBorder="1" applyAlignment="1">
      <alignment horizontal="right"/>
    </xf>
    <xf numFmtId="165" fontId="2" fillId="5" borderId="0" xfId="0" applyNumberFormat="1" applyFont="1" applyFill="1" applyAlignment="1">
      <alignment horizontal="right"/>
    </xf>
    <xf numFmtId="165" fontId="2" fillId="0" borderId="0" xfId="0" applyNumberFormat="1" applyFont="1" applyFill="1" applyAlignment="1">
      <alignment horizontal="right"/>
    </xf>
    <xf numFmtId="165" fontId="2" fillId="0" borderId="0" xfId="0" applyNumberFormat="1" applyFont="1" applyFill="1"/>
    <xf numFmtId="49" fontId="4" fillId="2" borderId="0" xfId="0" applyNumberFormat="1" applyFont="1" applyFill="1" applyAlignment="1">
      <alignment horizontal="center" wrapText="1"/>
    </xf>
    <xf numFmtId="49" fontId="4" fillId="2" borderId="0" xfId="0" applyNumberFormat="1" applyFont="1" applyFill="1" applyAlignment="1">
      <alignment horizontal="left" wrapText="1"/>
    </xf>
    <xf numFmtId="0" fontId="1" fillId="0" borderId="0" xfId="0" applyFont="1" applyFill="1"/>
    <xf numFmtId="0" fontId="0" fillId="0" borderId="0" xfId="0" applyFill="1"/>
    <xf numFmtId="1" fontId="2" fillId="0" borderId="0" xfId="0" applyNumberFormat="1" applyFont="1" applyFill="1" applyAlignment="1">
      <alignment horizontal="center"/>
    </xf>
    <xf numFmtId="0" fontId="2" fillId="0" borderId="0" xfId="0" applyFont="1" applyFill="1" applyAlignment="1">
      <alignment horizontal="center"/>
    </xf>
    <xf numFmtId="1" fontId="5" fillId="0" borderId="0" xfId="0" applyNumberFormat="1" applyFont="1" applyFill="1" applyAlignment="1">
      <alignment horizontal="center"/>
    </xf>
    <xf numFmtId="0" fontId="9" fillId="0" borderId="12" xfId="0" applyFont="1" applyBorder="1" applyAlignment="1">
      <alignment vertical="top" wrapText="1"/>
    </xf>
    <xf numFmtId="0" fontId="3" fillId="0" borderId="0" xfId="0" applyFont="1" applyAlignment="1">
      <alignment wrapText="1"/>
    </xf>
    <xf numFmtId="0" fontId="1" fillId="3" borderId="4" xfId="0" applyFont="1" applyFill="1" applyBorder="1" applyAlignment="1">
      <alignment wrapText="1"/>
    </xf>
    <xf numFmtId="0" fontId="1" fillId="0" borderId="4" xfId="0" applyFont="1" applyBorder="1" applyAlignment="1">
      <alignment wrapText="1"/>
    </xf>
    <xf numFmtId="49" fontId="2" fillId="0" borderId="11" xfId="0" applyNumberFormat="1" applyFont="1" applyBorder="1" applyAlignment="1">
      <alignment horizontal="left" wrapText="1"/>
    </xf>
    <xf numFmtId="49" fontId="2" fillId="3" borderId="4" xfId="0" applyNumberFormat="1" applyFont="1" applyFill="1" applyBorder="1" applyAlignment="1">
      <alignment horizontal="left" wrapText="1"/>
    </xf>
    <xf numFmtId="49" fontId="2" fillId="0" borderId="4" xfId="0" applyNumberFormat="1" applyFont="1" applyBorder="1" applyAlignment="1">
      <alignment horizontal="left" wrapText="1"/>
    </xf>
    <xf numFmtId="3" fontId="5" fillId="0" borderId="11" xfId="0" applyNumberFormat="1" applyFont="1" applyBorder="1" applyAlignment="1">
      <alignment horizontal="right"/>
    </xf>
    <xf numFmtId="3" fontId="5" fillId="3" borderId="4" xfId="0" applyNumberFormat="1" applyFont="1" applyFill="1" applyBorder="1" applyAlignment="1">
      <alignment horizontal="right"/>
    </xf>
    <xf numFmtId="3" fontId="5" fillId="0" borderId="4" xfId="0" applyNumberFormat="1" applyFont="1" applyBorder="1" applyAlignment="1">
      <alignment horizontal="right"/>
    </xf>
    <xf numFmtId="49" fontId="28" fillId="0" borderId="8" xfId="0" applyNumberFormat="1" applyFont="1" applyBorder="1" applyAlignment="1">
      <alignment horizontal="center"/>
    </xf>
    <xf numFmtId="1" fontId="29" fillId="0" borderId="8" xfId="0" applyNumberFormat="1" applyFont="1" applyBorder="1" applyAlignment="1">
      <alignment horizontal="right"/>
    </xf>
    <xf numFmtId="1" fontId="29" fillId="0" borderId="14" xfId="0" applyNumberFormat="1" applyFont="1" applyBorder="1" applyAlignment="1">
      <alignment horizontal="center"/>
    </xf>
  </cellXfs>
  <cellStyles count="1">
    <cellStyle name="Normal" xfId="0" builtinId="0"/>
  </cellStyles>
  <dxfs count="16">
    <dxf>
      <font>
        <color rgb="FFA6A6A6"/>
      </font>
    </dxf>
    <dxf>
      <font>
        <b/>
        <i val="0"/>
      </font>
      <fill>
        <patternFill patternType="solid">
          <fgColor indexed="64"/>
          <bgColor rgb="FFFFD966"/>
        </patternFill>
      </fill>
    </dxf>
    <dxf>
      <font>
        <color rgb="FFA6A6A6"/>
      </font>
    </dxf>
    <dxf>
      <font>
        <b/>
        <i val="0"/>
      </font>
      <fill>
        <patternFill patternType="solid">
          <fgColor indexed="64"/>
          <bgColor rgb="FFFFD966"/>
        </patternFill>
      </fill>
    </dxf>
    <dxf>
      <fill>
        <patternFill patternType="solid">
          <fgColor indexed="64"/>
          <bgColor rgb="FFF8CBAD"/>
        </patternFill>
      </fill>
    </dxf>
    <dxf>
      <font>
        <b/>
        <i val="0"/>
      </font>
      <fill>
        <patternFill patternType="solid">
          <fgColor indexed="64"/>
          <bgColor rgb="FFFFD966"/>
        </patternFill>
      </fill>
    </dxf>
    <dxf>
      <font>
        <b/>
        <i val="0"/>
      </font>
      <fill>
        <patternFill patternType="solid">
          <fgColor indexed="64"/>
          <bgColor rgb="FFFFD966"/>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2CC"/>
        </patternFill>
      </fill>
    </dxf>
    <dxf>
      <fill>
        <patternFill patternType="solid">
          <fgColor indexed="64"/>
          <bgColor rgb="FFFFF2CC"/>
        </patternFill>
      </fill>
    </dxf>
    <dxf>
      <fill>
        <patternFill patternType="solid">
          <fgColor indexed="64"/>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320D9F9-2100-EB47-AB23-1F683982A1C4}">
  <we:reference id="wa200009404" version="1.0.0.8" store="en-US" storeType="OMEX"/>
  <we:alternateReferences>
    <we:reference id="WA200009404" version="1.0.0.8" store="" storeType="OMEX"/>
  </we:alternateReferences>
  <we:properties>
    <we:property name="claude.fileId" value="&quot;d84dd135-6641-4d32-9733-f80d86e37b62&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C366F-2DAB-274F-9DD4-5E9BBDC46053}">
  <dimension ref="A1:B34"/>
  <sheetViews>
    <sheetView workbookViewId="0">
      <selection activeCell="E22" sqref="E22"/>
    </sheetView>
  </sheetViews>
  <sheetFormatPr baseColWidth="10" defaultRowHeight="16" x14ac:dyDescent="0.2"/>
  <cols>
    <col min="1" max="1" width="31.6640625" customWidth="1"/>
    <col min="2" max="2" width="103.33203125" customWidth="1"/>
  </cols>
  <sheetData>
    <row r="1" spans="1:2" ht="36" customHeight="1" x14ac:dyDescent="0.35">
      <c r="A1" s="51" t="s">
        <v>126</v>
      </c>
      <c r="B1" s="51"/>
    </row>
    <row r="2" spans="1:2" ht="37" customHeight="1" x14ac:dyDescent="0.2">
      <c r="A2" s="52" t="s">
        <v>127</v>
      </c>
      <c r="B2" s="52"/>
    </row>
    <row r="4" spans="1:2" x14ac:dyDescent="0.2">
      <c r="A4" s="45" t="s">
        <v>128</v>
      </c>
      <c r="B4" s="45"/>
    </row>
    <row r="5" spans="1:2" ht="85" customHeight="1" x14ac:dyDescent="0.2">
      <c r="A5" s="46" t="s">
        <v>129</v>
      </c>
      <c r="B5" s="47" t="s">
        <v>281</v>
      </c>
    </row>
    <row r="6" spans="1:2" ht="53" customHeight="1" x14ac:dyDescent="0.2">
      <c r="A6" s="46" t="s">
        <v>282</v>
      </c>
      <c r="B6" s="47" t="s">
        <v>283</v>
      </c>
    </row>
    <row r="7" spans="1:2" ht="53" customHeight="1" x14ac:dyDescent="0.2">
      <c r="A7" s="46" t="s">
        <v>284</v>
      </c>
      <c r="B7" s="47" t="s">
        <v>285</v>
      </c>
    </row>
    <row r="8" spans="1:2" ht="102" customHeight="1" x14ac:dyDescent="0.2">
      <c r="A8" s="46" t="s">
        <v>286</v>
      </c>
      <c r="B8" s="47" t="s">
        <v>347</v>
      </c>
    </row>
    <row r="9" spans="1:2" ht="53" customHeight="1" x14ac:dyDescent="0.2">
      <c r="A9" s="46" t="s">
        <v>170</v>
      </c>
      <c r="B9" s="47" t="s">
        <v>348</v>
      </c>
    </row>
    <row r="10" spans="1:2" ht="53" customHeight="1" x14ac:dyDescent="0.2">
      <c r="A10" s="46" t="s">
        <v>287</v>
      </c>
      <c r="B10" s="47" t="s">
        <v>349</v>
      </c>
    </row>
    <row r="11" spans="1:2" ht="37" customHeight="1" x14ac:dyDescent="0.2">
      <c r="A11" s="46" t="s">
        <v>130</v>
      </c>
      <c r="B11" s="47" t="s">
        <v>131</v>
      </c>
    </row>
    <row r="12" spans="1:2" ht="85" customHeight="1" x14ac:dyDescent="0.2">
      <c r="A12" s="46" t="s">
        <v>61</v>
      </c>
      <c r="B12" s="47" t="s">
        <v>328</v>
      </c>
    </row>
    <row r="13" spans="1:2" ht="37" customHeight="1" x14ac:dyDescent="0.2">
      <c r="A13" s="46" t="s">
        <v>132</v>
      </c>
      <c r="B13" s="47" t="s">
        <v>133</v>
      </c>
    </row>
    <row r="14" spans="1:2" ht="37" customHeight="1" x14ac:dyDescent="0.2">
      <c r="A14" s="46" t="s">
        <v>134</v>
      </c>
      <c r="B14" s="47" t="s">
        <v>135</v>
      </c>
    </row>
    <row r="15" spans="1:2" x14ac:dyDescent="0.2">
      <c r="A15" s="48" t="s">
        <v>136</v>
      </c>
      <c r="B15" s="48"/>
    </row>
    <row r="16" spans="1:2" ht="37" customHeight="1" x14ac:dyDescent="0.2">
      <c r="A16" s="46" t="s">
        <v>137</v>
      </c>
      <c r="B16" s="47" t="s">
        <v>138</v>
      </c>
    </row>
    <row r="17" spans="1:2" ht="37" customHeight="1" x14ac:dyDescent="0.2">
      <c r="A17" s="46" t="s">
        <v>139</v>
      </c>
      <c r="B17" s="47" t="s">
        <v>140</v>
      </c>
    </row>
    <row r="18" spans="1:2" ht="37" customHeight="1" x14ac:dyDescent="0.2">
      <c r="A18" s="46" t="s">
        <v>141</v>
      </c>
      <c r="B18" s="47" t="s">
        <v>142</v>
      </c>
    </row>
    <row r="19" spans="1:2" ht="37" customHeight="1" x14ac:dyDescent="0.2">
      <c r="A19" s="46" t="s">
        <v>143</v>
      </c>
      <c r="B19" s="47" t="s">
        <v>144</v>
      </c>
    </row>
    <row r="20" spans="1:2" ht="37" customHeight="1" x14ac:dyDescent="0.2">
      <c r="A20" s="46" t="s">
        <v>145</v>
      </c>
      <c r="B20" s="47" t="s">
        <v>146</v>
      </c>
    </row>
    <row r="21" spans="1:2" ht="37" customHeight="1" x14ac:dyDescent="0.2">
      <c r="A21" s="46" t="s">
        <v>147</v>
      </c>
      <c r="B21" s="47" t="s">
        <v>148</v>
      </c>
    </row>
    <row r="22" spans="1:2" ht="37" customHeight="1" x14ac:dyDescent="0.2">
      <c r="A22" s="46" t="s">
        <v>149</v>
      </c>
      <c r="B22" s="47" t="s">
        <v>150</v>
      </c>
    </row>
    <row r="23" spans="1:2" ht="21" customHeight="1" x14ac:dyDescent="0.2">
      <c r="A23" s="49" t="s">
        <v>151</v>
      </c>
      <c r="B23" s="50" t="s">
        <v>152</v>
      </c>
    </row>
    <row r="24" spans="1:2" ht="53" customHeight="1" x14ac:dyDescent="0.2">
      <c r="A24" s="101" t="s">
        <v>288</v>
      </c>
      <c r="B24" s="50" t="s">
        <v>289</v>
      </c>
    </row>
    <row r="25" spans="1:2" x14ac:dyDescent="0.2">
      <c r="A25" s="10"/>
      <c r="B25" s="10"/>
    </row>
    <row r="26" spans="1:2" ht="21" customHeight="1" x14ac:dyDescent="0.2">
      <c r="A26" s="102" t="s">
        <v>290</v>
      </c>
      <c r="B26" s="102"/>
    </row>
    <row r="27" spans="1:2" ht="69" customHeight="1" x14ac:dyDescent="0.2">
      <c r="A27" s="101" t="s">
        <v>291</v>
      </c>
      <c r="B27" s="50" t="s">
        <v>325</v>
      </c>
    </row>
    <row r="28" spans="1:2" ht="37" customHeight="1" x14ac:dyDescent="0.2">
      <c r="A28" s="101" t="s">
        <v>292</v>
      </c>
      <c r="B28" s="50" t="s">
        <v>326</v>
      </c>
    </row>
    <row r="29" spans="1:2" ht="85" customHeight="1" x14ac:dyDescent="0.2">
      <c r="A29" s="101" t="s">
        <v>293</v>
      </c>
      <c r="B29" s="50" t="s">
        <v>314</v>
      </c>
    </row>
    <row r="30" spans="1:2" ht="37" customHeight="1" x14ac:dyDescent="0.2">
      <c r="A30" s="101" t="s">
        <v>294</v>
      </c>
      <c r="B30" s="50" t="s">
        <v>318</v>
      </c>
    </row>
    <row r="31" spans="1:2" ht="37" customHeight="1" x14ac:dyDescent="0.2">
      <c r="A31" s="101" t="s">
        <v>295</v>
      </c>
      <c r="B31" s="50" t="s">
        <v>296</v>
      </c>
    </row>
    <row r="32" spans="1:2" ht="37" customHeight="1" x14ac:dyDescent="0.2">
      <c r="A32" s="101" t="s">
        <v>297</v>
      </c>
      <c r="B32" s="50" t="s">
        <v>324</v>
      </c>
    </row>
    <row r="33" spans="1:2" ht="69" customHeight="1" x14ac:dyDescent="0.2">
      <c r="A33" s="101" t="s">
        <v>298</v>
      </c>
      <c r="B33" s="50" t="s">
        <v>319</v>
      </c>
    </row>
    <row r="34" spans="1:2" ht="66" customHeight="1" x14ac:dyDescent="0.2">
      <c r="A34" s="101" t="s">
        <v>350</v>
      </c>
      <c r="B34" s="50" t="s">
        <v>351</v>
      </c>
    </row>
  </sheetData>
  <mergeCells count="2">
    <mergeCell ref="A1:B1"/>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5B5B5-7905-CA49-B01F-587DC1844B3D}">
  <dimension ref="A1:K57"/>
  <sheetViews>
    <sheetView zoomScale="73" zoomScaleNormal="73" workbookViewId="0">
      <pane xSplit="1" ySplit="4" topLeftCell="B25" activePane="bottomRight" state="frozen"/>
      <selection pane="topRight" activeCell="B1" sqref="B1"/>
      <selection pane="bottomLeft" activeCell="A5" sqref="A5"/>
      <selection pane="bottomRight" activeCell="N3" sqref="N3"/>
    </sheetView>
  </sheetViews>
  <sheetFormatPr baseColWidth="10" defaultRowHeight="16" x14ac:dyDescent="0.2"/>
  <cols>
    <col min="1" max="1" width="38.6640625" customWidth="1"/>
    <col min="2" max="11" width="10.33203125" customWidth="1"/>
  </cols>
  <sheetData>
    <row r="1" spans="1:11" ht="36" customHeight="1" x14ac:dyDescent="0.2">
      <c r="A1" s="54" t="s">
        <v>31</v>
      </c>
      <c r="B1" s="54"/>
      <c r="C1" s="54"/>
      <c r="D1" s="54"/>
      <c r="E1" s="54"/>
      <c r="F1" s="54"/>
      <c r="G1" s="54"/>
      <c r="H1" s="54"/>
      <c r="I1" s="54"/>
      <c r="J1" s="54"/>
      <c r="K1" s="54"/>
    </row>
    <row r="2" spans="1:11" ht="37" customHeight="1" x14ac:dyDescent="0.2">
      <c r="A2" s="126" t="s">
        <v>164</v>
      </c>
      <c r="B2" s="126"/>
      <c r="C2" s="126"/>
      <c r="D2" s="126"/>
      <c r="E2" s="126"/>
      <c r="F2" s="126"/>
      <c r="G2" s="126"/>
      <c r="H2" s="126"/>
      <c r="I2" s="126"/>
      <c r="J2" s="126"/>
      <c r="K2" s="126"/>
    </row>
    <row r="3" spans="1:11" x14ac:dyDescent="0.2">
      <c r="A3" s="66" t="s">
        <v>0</v>
      </c>
      <c r="B3" s="67" t="s">
        <v>32</v>
      </c>
      <c r="C3" s="67" t="s">
        <v>33</v>
      </c>
      <c r="D3" s="67" t="s">
        <v>34</v>
      </c>
      <c r="E3" s="67" t="s">
        <v>35</v>
      </c>
      <c r="F3" s="67" t="s">
        <v>36</v>
      </c>
      <c r="G3" s="67" t="s">
        <v>37</v>
      </c>
      <c r="H3" s="67" t="s">
        <v>38</v>
      </c>
      <c r="I3" s="67" t="s">
        <v>39</v>
      </c>
      <c r="J3" s="67" t="s">
        <v>40</v>
      </c>
      <c r="K3" s="67" t="s">
        <v>41</v>
      </c>
    </row>
    <row r="4" spans="1:11" ht="41" customHeight="1" x14ac:dyDescent="0.2">
      <c r="A4" s="70" t="s">
        <v>153</v>
      </c>
      <c r="B4" s="71" t="s">
        <v>154</v>
      </c>
      <c r="C4" s="71" t="s">
        <v>155</v>
      </c>
      <c r="D4" s="71" t="s">
        <v>156</v>
      </c>
      <c r="E4" s="71" t="s">
        <v>157</v>
      </c>
      <c r="F4" s="71" t="s">
        <v>158</v>
      </c>
      <c r="G4" s="71" t="s">
        <v>159</v>
      </c>
      <c r="H4" s="71" t="s">
        <v>160</v>
      </c>
      <c r="I4" s="71" t="s">
        <v>161</v>
      </c>
      <c r="J4" s="71" t="s">
        <v>162</v>
      </c>
      <c r="K4" s="71" t="s">
        <v>163</v>
      </c>
    </row>
    <row r="5" spans="1:11" x14ac:dyDescent="0.2">
      <c r="A5" s="68" t="s">
        <v>1</v>
      </c>
      <c r="B5" s="69">
        <v>885</v>
      </c>
      <c r="C5" s="69">
        <v>1200</v>
      </c>
      <c r="D5" s="69">
        <v>1300</v>
      </c>
      <c r="E5" s="69">
        <v>1500</v>
      </c>
      <c r="F5" s="69">
        <v>1520</v>
      </c>
      <c r="G5" s="69">
        <v>1680</v>
      </c>
      <c r="H5" s="69">
        <v>1975</v>
      </c>
      <c r="I5" s="69">
        <v>3320</v>
      </c>
      <c r="J5" s="69">
        <v>3800</v>
      </c>
      <c r="K5" s="69">
        <v>5000</v>
      </c>
    </row>
    <row r="6" spans="1:11" x14ac:dyDescent="0.2">
      <c r="A6" s="7" t="s">
        <v>2</v>
      </c>
      <c r="B6" s="8">
        <v>2200</v>
      </c>
      <c r="C6" s="8">
        <v>2500</v>
      </c>
      <c r="D6" s="8">
        <v>2800</v>
      </c>
      <c r="E6" s="8">
        <v>3100</v>
      </c>
      <c r="F6" s="8">
        <v>3200</v>
      </c>
      <c r="G6" s="8">
        <v>3550</v>
      </c>
      <c r="H6" s="8">
        <v>4000</v>
      </c>
      <c r="I6" s="8">
        <v>4700</v>
      </c>
      <c r="J6" s="8">
        <v>6000</v>
      </c>
      <c r="K6" s="8">
        <v>6700</v>
      </c>
    </row>
    <row r="7" spans="1:11" x14ac:dyDescent="0.2">
      <c r="A7" s="6" t="s">
        <v>3</v>
      </c>
      <c r="B7" s="5">
        <v>1800</v>
      </c>
      <c r="C7" s="5">
        <v>2300</v>
      </c>
      <c r="D7" s="5">
        <v>2400</v>
      </c>
      <c r="E7" s="5">
        <v>2500</v>
      </c>
      <c r="F7" s="5">
        <v>2650</v>
      </c>
      <c r="G7" s="5">
        <v>3200</v>
      </c>
      <c r="H7" s="5">
        <v>3500</v>
      </c>
      <c r="I7" s="5">
        <v>3850</v>
      </c>
      <c r="J7" s="5">
        <v>4800</v>
      </c>
      <c r="K7" s="5">
        <v>5600</v>
      </c>
    </row>
    <row r="8" spans="1:11" x14ac:dyDescent="0.2">
      <c r="A8" s="7" t="s">
        <v>4</v>
      </c>
      <c r="B8" s="8">
        <v>780</v>
      </c>
      <c r="C8" s="8">
        <v>1100</v>
      </c>
      <c r="D8" s="8">
        <v>1300</v>
      </c>
      <c r="E8" s="8">
        <v>1500</v>
      </c>
      <c r="F8" s="8">
        <v>1500</v>
      </c>
      <c r="G8" s="8">
        <v>1575</v>
      </c>
      <c r="H8" s="8">
        <v>1700</v>
      </c>
      <c r="I8" s="8">
        <v>3000</v>
      </c>
      <c r="J8" s="8">
        <v>3300</v>
      </c>
      <c r="K8" s="8">
        <v>3800</v>
      </c>
    </row>
    <row r="9" spans="1:11" x14ac:dyDescent="0.2">
      <c r="A9" s="6" t="s">
        <v>5</v>
      </c>
      <c r="B9" s="5">
        <v>2500</v>
      </c>
      <c r="C9" s="5">
        <v>2600</v>
      </c>
      <c r="D9" s="5">
        <v>2900</v>
      </c>
      <c r="E9" s="5">
        <v>3200</v>
      </c>
      <c r="F9" s="5">
        <v>3300</v>
      </c>
      <c r="G9" s="5">
        <v>3650</v>
      </c>
      <c r="H9" s="5">
        <v>4100</v>
      </c>
      <c r="I9" s="5">
        <v>4600</v>
      </c>
      <c r="J9" s="5">
        <v>5000</v>
      </c>
      <c r="K9" s="5">
        <v>6000</v>
      </c>
    </row>
    <row r="10" spans="1:11" x14ac:dyDescent="0.2">
      <c r="A10" s="7" t="s">
        <v>6</v>
      </c>
      <c r="B10" s="8">
        <v>1200</v>
      </c>
      <c r="C10" s="8">
        <v>1300</v>
      </c>
      <c r="D10" s="8">
        <v>1300</v>
      </c>
      <c r="E10" s="8">
        <v>1500</v>
      </c>
      <c r="F10" s="8">
        <v>1560</v>
      </c>
      <c r="G10" s="8">
        <v>1650</v>
      </c>
      <c r="H10" s="8">
        <v>2050</v>
      </c>
      <c r="I10" s="8">
        <v>3350</v>
      </c>
      <c r="J10" s="8">
        <v>3950</v>
      </c>
      <c r="K10" s="8">
        <v>4800</v>
      </c>
    </row>
    <row r="11" spans="1:11" x14ac:dyDescent="0.2">
      <c r="A11" s="6" t="s">
        <v>7</v>
      </c>
      <c r="B11" s="5">
        <v>1500</v>
      </c>
      <c r="C11" s="5">
        <v>1900</v>
      </c>
      <c r="D11" s="5">
        <v>2300</v>
      </c>
      <c r="E11" s="5">
        <v>2400</v>
      </c>
      <c r="F11" s="5">
        <v>2450</v>
      </c>
      <c r="G11" s="5">
        <v>2700</v>
      </c>
      <c r="H11" s="5">
        <v>3300</v>
      </c>
      <c r="I11" s="5">
        <v>4500</v>
      </c>
      <c r="J11" s="5">
        <v>4700</v>
      </c>
      <c r="K11" s="5">
        <v>5100</v>
      </c>
    </row>
    <row r="12" spans="1:11" x14ac:dyDescent="0.2">
      <c r="A12" s="7" t="s">
        <v>8</v>
      </c>
      <c r="B12" s="8">
        <v>890</v>
      </c>
      <c r="C12" s="8">
        <v>1100</v>
      </c>
      <c r="D12" s="8">
        <v>1400</v>
      </c>
      <c r="E12" s="8">
        <v>1600</v>
      </c>
      <c r="F12" s="8">
        <v>1650</v>
      </c>
      <c r="G12" s="8">
        <v>1730</v>
      </c>
      <c r="H12" s="8">
        <v>1930</v>
      </c>
      <c r="I12" s="8">
        <v>3370</v>
      </c>
      <c r="J12" s="8">
        <v>3900</v>
      </c>
      <c r="K12" s="8">
        <v>4600</v>
      </c>
    </row>
    <row r="13" spans="1:11" x14ac:dyDescent="0.2">
      <c r="A13" s="6" t="s">
        <v>9</v>
      </c>
      <c r="B13" s="5">
        <v>900</v>
      </c>
      <c r="C13" s="5">
        <v>1100</v>
      </c>
      <c r="D13" s="5">
        <v>1300</v>
      </c>
      <c r="E13" s="5">
        <v>1500</v>
      </c>
      <c r="F13" s="5">
        <v>1450</v>
      </c>
      <c r="G13" s="5">
        <v>1580</v>
      </c>
      <c r="H13" s="5">
        <v>1900</v>
      </c>
      <c r="I13" s="5">
        <v>3070</v>
      </c>
      <c r="J13" s="5">
        <v>3400</v>
      </c>
      <c r="K13" s="5">
        <v>3650</v>
      </c>
    </row>
    <row r="14" spans="1:11" x14ac:dyDescent="0.2">
      <c r="A14" s="7" t="s">
        <v>10</v>
      </c>
      <c r="B14" s="8">
        <v>2600</v>
      </c>
      <c r="C14" s="8">
        <v>3100</v>
      </c>
      <c r="D14" s="8">
        <v>3500</v>
      </c>
      <c r="E14" s="8">
        <v>4300</v>
      </c>
      <c r="F14" s="8">
        <v>4700</v>
      </c>
      <c r="G14" s="8">
        <v>5600</v>
      </c>
      <c r="H14" s="8">
        <v>7000</v>
      </c>
      <c r="I14" s="8">
        <v>7700</v>
      </c>
      <c r="J14" s="8">
        <v>8800</v>
      </c>
      <c r="K14" s="8">
        <v>11000</v>
      </c>
    </row>
    <row r="15" spans="1:11" x14ac:dyDescent="0.2">
      <c r="A15" s="6" t="s">
        <v>11</v>
      </c>
      <c r="B15" s="5">
        <v>1700</v>
      </c>
      <c r="C15" s="5">
        <v>2200</v>
      </c>
      <c r="D15" s="5">
        <v>2300</v>
      </c>
      <c r="E15" s="5">
        <v>2500</v>
      </c>
      <c r="F15" s="5">
        <v>2500</v>
      </c>
      <c r="G15" s="5">
        <v>2750</v>
      </c>
      <c r="H15" s="5">
        <v>3200</v>
      </c>
      <c r="I15" s="5">
        <v>4400</v>
      </c>
      <c r="J15" s="5">
        <v>4900</v>
      </c>
      <c r="K15" s="5">
        <v>5900</v>
      </c>
    </row>
    <row r="16" spans="1:11" x14ac:dyDescent="0.2">
      <c r="A16" s="7" t="s">
        <v>12</v>
      </c>
      <c r="B16" s="8">
        <v>880</v>
      </c>
      <c r="C16" s="8">
        <v>1200</v>
      </c>
      <c r="D16" s="8">
        <v>1400</v>
      </c>
      <c r="E16" s="8">
        <v>1500</v>
      </c>
      <c r="F16" s="8">
        <v>1550</v>
      </c>
      <c r="G16" s="8">
        <v>1670</v>
      </c>
      <c r="H16" s="8">
        <v>1800</v>
      </c>
      <c r="I16" s="8">
        <v>2900</v>
      </c>
      <c r="J16" s="8">
        <v>3600</v>
      </c>
      <c r="K16" s="8">
        <v>4200</v>
      </c>
    </row>
    <row r="17" spans="1:11" x14ac:dyDescent="0.2">
      <c r="A17" s="6" t="s">
        <v>13</v>
      </c>
      <c r="B17" s="5">
        <v>2000</v>
      </c>
      <c r="C17" s="5">
        <v>2200</v>
      </c>
      <c r="D17" s="5">
        <v>2200</v>
      </c>
      <c r="E17" s="5">
        <v>2600</v>
      </c>
      <c r="F17" s="5">
        <v>2750</v>
      </c>
      <c r="G17" s="5">
        <v>3300</v>
      </c>
      <c r="H17" s="5">
        <v>3900</v>
      </c>
      <c r="I17" s="5">
        <v>4650</v>
      </c>
      <c r="J17" s="5">
        <v>5500</v>
      </c>
      <c r="K17" s="5">
        <v>7500</v>
      </c>
    </row>
    <row r="18" spans="1:11" x14ac:dyDescent="0.2">
      <c r="A18" s="7" t="s">
        <v>14</v>
      </c>
      <c r="B18" s="8">
        <v>3000</v>
      </c>
      <c r="C18" s="8">
        <v>3300</v>
      </c>
      <c r="D18" s="8">
        <v>3700</v>
      </c>
      <c r="E18" s="8">
        <v>4400</v>
      </c>
      <c r="F18" s="8">
        <v>4600</v>
      </c>
      <c r="G18" s="8">
        <v>5500</v>
      </c>
      <c r="H18" s="8">
        <v>5900</v>
      </c>
      <c r="I18" s="8">
        <v>6400</v>
      </c>
      <c r="J18" s="8">
        <v>7100</v>
      </c>
      <c r="K18" s="8">
        <v>10000</v>
      </c>
    </row>
    <row r="19" spans="1:11" x14ac:dyDescent="0.2">
      <c r="A19" s="6" t="s">
        <v>15</v>
      </c>
      <c r="B19" s="5">
        <v>790</v>
      </c>
      <c r="C19" s="5">
        <v>1000</v>
      </c>
      <c r="D19" s="5">
        <v>1200</v>
      </c>
      <c r="E19" s="5">
        <v>1300</v>
      </c>
      <c r="F19" s="5">
        <v>1300</v>
      </c>
      <c r="G19" s="5">
        <v>1500</v>
      </c>
      <c r="H19" s="5">
        <v>1650</v>
      </c>
      <c r="I19" s="5">
        <v>2400</v>
      </c>
      <c r="J19" s="5">
        <v>3000</v>
      </c>
      <c r="K19" s="5">
        <v>3500</v>
      </c>
    </row>
    <row r="20" spans="1:11" x14ac:dyDescent="0.2">
      <c r="A20" s="7" t="s">
        <v>16</v>
      </c>
      <c r="B20" s="8">
        <v>1400</v>
      </c>
      <c r="C20" s="8">
        <v>1700</v>
      </c>
      <c r="D20" s="8">
        <v>1800</v>
      </c>
      <c r="E20" s="8">
        <v>2000</v>
      </c>
      <c r="F20" s="8">
        <v>2000</v>
      </c>
      <c r="G20" s="8">
        <v>2300</v>
      </c>
      <c r="H20" s="8">
        <v>3000</v>
      </c>
      <c r="I20" s="8">
        <v>3900</v>
      </c>
      <c r="J20" s="8">
        <v>4250</v>
      </c>
      <c r="K20" s="8">
        <v>5700</v>
      </c>
    </row>
    <row r="21" spans="1:11" x14ac:dyDescent="0.2">
      <c r="A21" s="6" t="s">
        <v>17</v>
      </c>
      <c r="B21" s="5">
        <v>785</v>
      </c>
      <c r="C21" s="5">
        <v>1100</v>
      </c>
      <c r="D21" s="5">
        <v>1400</v>
      </c>
      <c r="E21" s="5">
        <v>1600</v>
      </c>
      <c r="F21" s="5">
        <v>1625</v>
      </c>
      <c r="G21" s="5">
        <v>1900</v>
      </c>
      <c r="H21" s="5">
        <v>2300</v>
      </c>
      <c r="I21" s="5">
        <v>3200</v>
      </c>
      <c r="J21" s="5">
        <v>4000</v>
      </c>
      <c r="K21" s="5">
        <v>4300</v>
      </c>
    </row>
    <row r="22" spans="1:11" x14ac:dyDescent="0.2">
      <c r="A22" s="7" t="s">
        <v>18</v>
      </c>
      <c r="B22" s="8">
        <v>770</v>
      </c>
      <c r="C22" s="8">
        <v>1100</v>
      </c>
      <c r="D22" s="8">
        <v>1300</v>
      </c>
      <c r="E22" s="8">
        <v>1400</v>
      </c>
      <c r="F22" s="8">
        <v>1400</v>
      </c>
      <c r="G22" s="8">
        <v>1550</v>
      </c>
      <c r="H22" s="8">
        <v>1670</v>
      </c>
      <c r="I22" s="8">
        <v>2500</v>
      </c>
      <c r="J22" s="8">
        <v>3100</v>
      </c>
      <c r="K22" s="8">
        <v>3600</v>
      </c>
    </row>
    <row r="23" spans="1:11" x14ac:dyDescent="0.2">
      <c r="A23" s="6" t="s">
        <v>19</v>
      </c>
      <c r="B23" s="5">
        <v>750</v>
      </c>
      <c r="C23" s="5">
        <v>1000</v>
      </c>
      <c r="D23" s="5">
        <v>1200</v>
      </c>
      <c r="E23" s="5">
        <v>1400</v>
      </c>
      <c r="F23" s="5">
        <v>1350</v>
      </c>
      <c r="G23" s="5">
        <v>1530</v>
      </c>
      <c r="H23" s="5">
        <v>1600</v>
      </c>
      <c r="I23" s="5">
        <v>2550</v>
      </c>
      <c r="J23" s="5">
        <v>3050</v>
      </c>
      <c r="K23" s="5">
        <v>3550</v>
      </c>
    </row>
    <row r="24" spans="1:11" x14ac:dyDescent="0.2">
      <c r="A24" s="7" t="s">
        <v>20</v>
      </c>
      <c r="B24" s="8">
        <v>3300</v>
      </c>
      <c r="C24" s="8">
        <v>3600</v>
      </c>
      <c r="D24" s="8">
        <v>4000</v>
      </c>
      <c r="E24" s="8">
        <v>4600</v>
      </c>
      <c r="F24" s="8">
        <v>5000</v>
      </c>
      <c r="G24" s="8">
        <v>5800</v>
      </c>
      <c r="H24" s="8">
        <v>6100</v>
      </c>
      <c r="I24" s="8">
        <v>6600</v>
      </c>
      <c r="J24" s="8">
        <v>7500</v>
      </c>
      <c r="K24" s="8">
        <v>9750</v>
      </c>
    </row>
    <row r="25" spans="1:11" x14ac:dyDescent="0.2">
      <c r="A25" s="6" t="s">
        <v>21</v>
      </c>
      <c r="B25" s="5">
        <v>1000</v>
      </c>
      <c r="C25" s="5">
        <v>1300</v>
      </c>
      <c r="D25" s="5">
        <v>1500</v>
      </c>
      <c r="E25" s="5">
        <v>1600</v>
      </c>
      <c r="F25" s="5">
        <v>1575</v>
      </c>
      <c r="G25" s="5">
        <v>1630</v>
      </c>
      <c r="H25" s="5">
        <v>1875</v>
      </c>
      <c r="I25" s="5">
        <v>3050</v>
      </c>
      <c r="J25" s="5">
        <v>3650</v>
      </c>
      <c r="K25" s="5">
        <v>4350</v>
      </c>
    </row>
    <row r="26" spans="1:11" x14ac:dyDescent="0.2">
      <c r="A26" s="7" t="s">
        <v>22</v>
      </c>
      <c r="B26" s="8">
        <v>920</v>
      </c>
      <c r="C26" s="8">
        <v>1200</v>
      </c>
      <c r="D26" s="8">
        <v>1300</v>
      </c>
      <c r="E26" s="8">
        <v>1400</v>
      </c>
      <c r="F26" s="8">
        <v>1460</v>
      </c>
      <c r="G26" s="8">
        <v>1640</v>
      </c>
      <c r="H26" s="8">
        <v>1850</v>
      </c>
      <c r="I26" s="8">
        <v>2950</v>
      </c>
      <c r="J26" s="8">
        <v>3200</v>
      </c>
      <c r="K26" s="8">
        <v>3900</v>
      </c>
    </row>
    <row r="27" spans="1:11" x14ac:dyDescent="0.2">
      <c r="A27" s="6" t="s">
        <v>23</v>
      </c>
      <c r="B27" s="5">
        <v>800</v>
      </c>
      <c r="C27" s="5">
        <v>1200</v>
      </c>
      <c r="D27" s="5">
        <v>1700</v>
      </c>
      <c r="E27" s="5">
        <v>2000</v>
      </c>
      <c r="F27" s="5">
        <v>2075</v>
      </c>
      <c r="G27" s="5">
        <v>2450</v>
      </c>
      <c r="H27" s="5">
        <v>3150</v>
      </c>
      <c r="I27" s="5">
        <v>4300</v>
      </c>
      <c r="J27" s="5">
        <v>4600</v>
      </c>
      <c r="K27" s="5">
        <v>5450</v>
      </c>
    </row>
    <row r="28" spans="1:11" x14ac:dyDescent="0.2">
      <c r="A28" s="7" t="s">
        <v>24</v>
      </c>
      <c r="B28" s="8">
        <v>1100</v>
      </c>
      <c r="C28" s="8">
        <v>1300</v>
      </c>
      <c r="D28" s="8">
        <v>1500</v>
      </c>
      <c r="E28" s="8">
        <v>1600</v>
      </c>
      <c r="F28" s="8">
        <v>1700</v>
      </c>
      <c r="G28" s="8">
        <v>1800</v>
      </c>
      <c r="H28" s="8">
        <v>2700</v>
      </c>
      <c r="I28" s="8">
        <v>4000</v>
      </c>
      <c r="J28" s="8">
        <v>4300</v>
      </c>
      <c r="K28" s="8">
        <v>5425</v>
      </c>
    </row>
    <row r="29" spans="1:11" x14ac:dyDescent="0.2">
      <c r="A29" s="6" t="s">
        <v>25</v>
      </c>
      <c r="B29" s="5">
        <v>1100</v>
      </c>
      <c r="C29" s="5">
        <v>1300</v>
      </c>
      <c r="D29" s="5">
        <v>1600</v>
      </c>
      <c r="E29" s="5">
        <v>1900</v>
      </c>
      <c r="F29" s="5">
        <v>1900</v>
      </c>
      <c r="G29" s="5">
        <v>2050</v>
      </c>
      <c r="H29" s="5">
        <v>2100</v>
      </c>
      <c r="I29" s="5">
        <v>3080</v>
      </c>
      <c r="J29" s="5">
        <v>3500</v>
      </c>
      <c r="K29" s="5">
        <v>4250</v>
      </c>
    </row>
    <row r="30" spans="1:11" x14ac:dyDescent="0.2">
      <c r="A30" s="7" t="s">
        <v>26</v>
      </c>
      <c r="B30" s="8">
        <v>1100</v>
      </c>
      <c r="C30" s="8">
        <v>1400</v>
      </c>
      <c r="D30" s="8">
        <v>1600</v>
      </c>
      <c r="E30" s="8">
        <v>1800</v>
      </c>
      <c r="F30" s="8">
        <v>1825</v>
      </c>
      <c r="G30" s="8">
        <v>2000</v>
      </c>
      <c r="H30" s="8">
        <v>2030</v>
      </c>
      <c r="I30" s="8">
        <v>3330</v>
      </c>
      <c r="J30" s="8">
        <v>3700</v>
      </c>
      <c r="K30" s="8">
        <v>4450</v>
      </c>
    </row>
    <row r="31" spans="1:11" x14ac:dyDescent="0.2">
      <c r="A31" s="6" t="s">
        <v>27</v>
      </c>
      <c r="B31" s="5">
        <v>1200</v>
      </c>
      <c r="C31" s="5">
        <v>1600</v>
      </c>
      <c r="D31" s="5">
        <v>1600</v>
      </c>
      <c r="E31" s="5">
        <v>1800</v>
      </c>
      <c r="F31" s="5">
        <v>1850</v>
      </c>
      <c r="G31" s="5">
        <v>1980</v>
      </c>
      <c r="H31" s="5">
        <v>2000</v>
      </c>
      <c r="I31" s="5">
        <v>3250</v>
      </c>
      <c r="J31" s="5">
        <v>3850</v>
      </c>
      <c r="K31" s="5">
        <v>4400</v>
      </c>
    </row>
    <row r="32" spans="1:11" x14ac:dyDescent="0.2">
      <c r="A32" s="7" t="s">
        <v>28</v>
      </c>
      <c r="B32" s="8">
        <v>1100</v>
      </c>
      <c r="C32" s="8">
        <v>1400</v>
      </c>
      <c r="D32" s="8">
        <v>1700</v>
      </c>
      <c r="E32" s="8">
        <v>2100</v>
      </c>
      <c r="F32" s="8">
        <v>2150</v>
      </c>
      <c r="G32" s="8">
        <v>2480</v>
      </c>
      <c r="H32" s="8">
        <v>3100</v>
      </c>
      <c r="I32" s="8">
        <v>4100</v>
      </c>
      <c r="J32" s="8">
        <v>4400</v>
      </c>
      <c r="K32" s="8">
        <v>5400</v>
      </c>
    </row>
    <row r="33" spans="1:11" x14ac:dyDescent="0.2">
      <c r="A33" s="6" t="s">
        <v>29</v>
      </c>
      <c r="B33" s="5">
        <v>910</v>
      </c>
      <c r="C33" s="5">
        <v>1200</v>
      </c>
      <c r="D33" s="5">
        <v>1400</v>
      </c>
      <c r="E33" s="5">
        <v>1600</v>
      </c>
      <c r="F33" s="5">
        <v>1660</v>
      </c>
      <c r="G33" s="5">
        <v>1750</v>
      </c>
      <c r="H33" s="5">
        <v>2025</v>
      </c>
      <c r="I33" s="5">
        <v>3090</v>
      </c>
      <c r="J33" s="5">
        <v>3550</v>
      </c>
      <c r="K33" s="5">
        <v>4100</v>
      </c>
    </row>
    <row r="34" spans="1:11" x14ac:dyDescent="0.2">
      <c r="A34" s="7" t="s">
        <v>30</v>
      </c>
      <c r="B34" s="8">
        <v>1000</v>
      </c>
      <c r="C34" s="8">
        <v>1400</v>
      </c>
      <c r="D34" s="8">
        <v>1600</v>
      </c>
      <c r="E34" s="8">
        <v>1800</v>
      </c>
      <c r="F34" s="8">
        <v>1800</v>
      </c>
      <c r="G34" s="8">
        <v>1930</v>
      </c>
      <c r="H34" s="8">
        <v>2500</v>
      </c>
      <c r="I34" s="8">
        <v>3500</v>
      </c>
      <c r="J34" s="8">
        <v>4100</v>
      </c>
      <c r="K34" s="8">
        <v>4700</v>
      </c>
    </row>
    <row r="37" spans="1:11" ht="19" x14ac:dyDescent="0.25">
      <c r="A37" s="3" t="s">
        <v>42</v>
      </c>
    </row>
    <row r="38" spans="1:11" ht="21" customHeight="1" x14ac:dyDescent="0.2">
      <c r="A38" s="11" t="s">
        <v>43</v>
      </c>
      <c r="B38" s="55" t="s">
        <v>44</v>
      </c>
      <c r="C38" s="56"/>
      <c r="D38" s="56"/>
      <c r="E38" s="56"/>
      <c r="F38" s="56"/>
      <c r="G38" s="57"/>
      <c r="H38" s="55" t="s">
        <v>45</v>
      </c>
      <c r="I38" s="56"/>
      <c r="J38" s="56"/>
      <c r="K38" s="56"/>
    </row>
    <row r="39" spans="1:11" ht="118" customHeight="1" x14ac:dyDescent="0.2">
      <c r="A39" s="12" t="s">
        <v>46</v>
      </c>
      <c r="B39" s="58" t="s">
        <v>228</v>
      </c>
      <c r="C39" s="59"/>
      <c r="D39" s="59"/>
      <c r="E39" s="59"/>
      <c r="F39" s="59"/>
      <c r="G39" s="60"/>
      <c r="H39" s="88" t="s">
        <v>229</v>
      </c>
      <c r="I39" s="53"/>
      <c r="J39" s="53"/>
      <c r="K39" s="53"/>
    </row>
    <row r="40" spans="1:11" ht="134" customHeight="1" x14ac:dyDescent="0.2">
      <c r="A40" s="12" t="s">
        <v>47</v>
      </c>
      <c r="B40" s="58" t="s">
        <v>230</v>
      </c>
      <c r="C40" s="59"/>
      <c r="D40" s="59"/>
      <c r="E40" s="59"/>
      <c r="F40" s="59"/>
      <c r="G40" s="60"/>
      <c r="H40" s="88"/>
      <c r="I40" s="53"/>
      <c r="J40" s="53"/>
      <c r="K40" s="53"/>
    </row>
    <row r="41" spans="1:11" ht="361" customHeight="1" x14ac:dyDescent="0.2">
      <c r="A41" s="12" t="s">
        <v>48</v>
      </c>
      <c r="B41" s="58" t="s">
        <v>231</v>
      </c>
      <c r="C41" s="59"/>
      <c r="D41" s="59"/>
      <c r="E41" s="59"/>
      <c r="F41" s="59"/>
      <c r="G41" s="60"/>
      <c r="H41" s="88" t="s">
        <v>232</v>
      </c>
      <c r="I41" s="53"/>
      <c r="J41" s="53"/>
      <c r="K41" s="53"/>
    </row>
    <row r="42" spans="1:11" ht="53" customHeight="1" x14ac:dyDescent="0.2">
      <c r="A42" s="12" t="s">
        <v>49</v>
      </c>
      <c r="B42" s="58" t="s">
        <v>233</v>
      </c>
      <c r="C42" s="59"/>
      <c r="D42" s="59"/>
      <c r="E42" s="59"/>
      <c r="F42" s="59"/>
      <c r="G42" s="60"/>
      <c r="H42" s="88" t="s">
        <v>234</v>
      </c>
      <c r="I42" s="53"/>
      <c r="J42" s="53"/>
      <c r="K42" s="53"/>
    </row>
    <row r="43" spans="1:11" ht="393" customHeight="1" x14ac:dyDescent="0.2">
      <c r="A43" s="12" t="s">
        <v>50</v>
      </c>
      <c r="B43" s="58" t="s">
        <v>235</v>
      </c>
      <c r="C43" s="59"/>
      <c r="D43" s="59"/>
      <c r="E43" s="59"/>
      <c r="F43" s="59"/>
      <c r="G43" s="60"/>
      <c r="H43" s="88"/>
      <c r="I43" s="53"/>
      <c r="J43" s="53"/>
      <c r="K43" s="53"/>
    </row>
    <row r="44" spans="1:11" ht="199" customHeight="1" x14ac:dyDescent="0.2">
      <c r="A44" s="12" t="s">
        <v>51</v>
      </c>
      <c r="B44" s="58" t="s">
        <v>236</v>
      </c>
      <c r="C44" s="59"/>
      <c r="D44" s="59"/>
      <c r="E44" s="59"/>
      <c r="F44" s="59"/>
      <c r="G44" s="60"/>
      <c r="H44" s="88" t="s">
        <v>237</v>
      </c>
      <c r="I44" s="53"/>
      <c r="J44" s="53"/>
      <c r="K44" s="53"/>
    </row>
    <row r="45" spans="1:11" ht="183" customHeight="1" x14ac:dyDescent="0.2">
      <c r="A45" s="12" t="s">
        <v>238</v>
      </c>
      <c r="B45" s="58" t="s">
        <v>239</v>
      </c>
      <c r="C45" s="59"/>
      <c r="D45" s="59"/>
      <c r="E45" s="59"/>
      <c r="F45" s="59"/>
      <c r="G45" s="60"/>
      <c r="H45" s="88" t="s">
        <v>240</v>
      </c>
      <c r="I45" s="53"/>
      <c r="J45" s="53"/>
      <c r="K45" s="53"/>
    </row>
    <row r="46" spans="1:11" ht="45" customHeight="1" x14ac:dyDescent="0.2"/>
    <row r="47" spans="1:11" ht="45" customHeight="1" x14ac:dyDescent="0.2"/>
    <row r="48" spans="1:11" ht="45" customHeight="1" x14ac:dyDescent="0.25">
      <c r="A48" s="89" t="s">
        <v>241</v>
      </c>
      <c r="B48" s="90"/>
      <c r="C48" s="90"/>
      <c r="D48" s="90"/>
      <c r="E48" s="90"/>
      <c r="F48" s="90"/>
      <c r="G48" s="90"/>
    </row>
    <row r="49" spans="1:11" ht="53" customHeight="1" x14ac:dyDescent="0.2">
      <c r="A49" s="91" t="s">
        <v>183</v>
      </c>
      <c r="B49" s="91" t="s">
        <v>242</v>
      </c>
      <c r="C49" s="91" t="s">
        <v>243</v>
      </c>
      <c r="D49" s="91" t="s">
        <v>244</v>
      </c>
      <c r="E49" s="91" t="s">
        <v>245</v>
      </c>
      <c r="F49" s="91" t="s">
        <v>246</v>
      </c>
      <c r="G49" s="92" t="s">
        <v>45</v>
      </c>
      <c r="H49" s="92"/>
      <c r="I49" s="92"/>
      <c r="J49" s="92"/>
      <c r="K49" s="92"/>
    </row>
    <row r="50" spans="1:11" ht="94" customHeight="1" x14ac:dyDescent="0.2">
      <c r="A50" s="93" t="s">
        <v>24</v>
      </c>
      <c r="B50" s="94" t="s">
        <v>247</v>
      </c>
      <c r="C50" s="95">
        <v>4000</v>
      </c>
      <c r="D50" s="94" t="s">
        <v>248</v>
      </c>
      <c r="E50" s="94" t="s">
        <v>249</v>
      </c>
      <c r="F50" s="94" t="s">
        <v>250</v>
      </c>
      <c r="G50" s="96" t="s">
        <v>251</v>
      </c>
      <c r="H50" s="96"/>
      <c r="I50" s="96"/>
      <c r="J50" s="96"/>
      <c r="K50" s="96"/>
    </row>
    <row r="51" spans="1:11" ht="64" customHeight="1" x14ac:dyDescent="0.2">
      <c r="A51" s="97" t="s">
        <v>17</v>
      </c>
      <c r="B51" s="98" t="s">
        <v>252</v>
      </c>
      <c r="C51" s="99">
        <v>3500</v>
      </c>
      <c r="D51" s="98" t="s">
        <v>253</v>
      </c>
      <c r="E51" s="98" t="s">
        <v>254</v>
      </c>
      <c r="F51" s="98" t="s">
        <v>255</v>
      </c>
      <c r="G51" s="100" t="s">
        <v>256</v>
      </c>
      <c r="H51" s="100"/>
      <c r="I51" s="100"/>
      <c r="J51" s="100"/>
      <c r="K51" s="100"/>
    </row>
    <row r="52" spans="1:11" ht="79" customHeight="1" x14ac:dyDescent="0.2">
      <c r="A52" s="93" t="s">
        <v>4</v>
      </c>
      <c r="B52" s="94" t="s">
        <v>257</v>
      </c>
      <c r="C52" s="95">
        <v>3000</v>
      </c>
      <c r="D52" s="94" t="s">
        <v>258</v>
      </c>
      <c r="E52" s="94" t="s">
        <v>259</v>
      </c>
      <c r="F52" s="94" t="s">
        <v>250</v>
      </c>
      <c r="G52" s="96" t="s">
        <v>260</v>
      </c>
      <c r="H52" s="96"/>
      <c r="I52" s="96"/>
      <c r="J52" s="96"/>
      <c r="K52" s="96"/>
    </row>
    <row r="53" spans="1:11" ht="79" customHeight="1" x14ac:dyDescent="0.2">
      <c r="A53" s="97" t="s">
        <v>7</v>
      </c>
      <c r="B53" s="98" t="s">
        <v>261</v>
      </c>
      <c r="C53" s="99">
        <v>3500</v>
      </c>
      <c r="D53" s="98" t="s">
        <v>262</v>
      </c>
      <c r="E53" s="98" t="s">
        <v>263</v>
      </c>
      <c r="F53" s="98" t="s">
        <v>250</v>
      </c>
      <c r="G53" s="100" t="s">
        <v>264</v>
      </c>
      <c r="H53" s="100"/>
      <c r="I53" s="100"/>
      <c r="J53" s="100"/>
      <c r="K53" s="100"/>
    </row>
    <row r="54" spans="1:11" ht="62" customHeight="1" x14ac:dyDescent="0.2">
      <c r="A54" s="93" t="s">
        <v>14</v>
      </c>
      <c r="B54" s="94" t="s">
        <v>265</v>
      </c>
      <c r="C54" s="95">
        <v>10000</v>
      </c>
      <c r="D54" s="94" t="s">
        <v>266</v>
      </c>
      <c r="E54" s="94" t="s">
        <v>267</v>
      </c>
      <c r="F54" s="94" t="s">
        <v>250</v>
      </c>
      <c r="G54" s="96" t="s">
        <v>268</v>
      </c>
      <c r="H54" s="96"/>
      <c r="I54" s="96"/>
      <c r="J54" s="96"/>
      <c r="K54" s="96"/>
    </row>
    <row r="55" spans="1:11" ht="50" customHeight="1" x14ac:dyDescent="0.2">
      <c r="A55" s="97" t="s">
        <v>18</v>
      </c>
      <c r="B55" s="98" t="s">
        <v>345</v>
      </c>
      <c r="C55" s="99">
        <v>1500</v>
      </c>
      <c r="D55" s="98" t="s">
        <v>269</v>
      </c>
      <c r="E55" s="98" t="s">
        <v>270</v>
      </c>
      <c r="F55" s="98" t="s">
        <v>250</v>
      </c>
      <c r="G55" s="100" t="s">
        <v>346</v>
      </c>
      <c r="H55" s="100"/>
      <c r="I55" s="100"/>
      <c r="J55" s="100"/>
      <c r="K55" s="100"/>
    </row>
    <row r="56" spans="1:11" ht="79" customHeight="1" x14ac:dyDescent="0.2">
      <c r="A56" s="93" t="s">
        <v>2</v>
      </c>
      <c r="B56" s="94" t="s">
        <v>271</v>
      </c>
      <c r="C56" s="95">
        <v>6100</v>
      </c>
      <c r="D56" s="94" t="s">
        <v>272</v>
      </c>
      <c r="E56" s="94" t="s">
        <v>273</v>
      </c>
      <c r="F56" s="94" t="s">
        <v>250</v>
      </c>
      <c r="G56" s="96" t="s">
        <v>274</v>
      </c>
      <c r="H56" s="96"/>
      <c r="I56" s="96"/>
      <c r="J56" s="96"/>
      <c r="K56" s="96"/>
    </row>
    <row r="57" spans="1:11" ht="79" customHeight="1" x14ac:dyDescent="0.2">
      <c r="A57" s="97" t="s">
        <v>25</v>
      </c>
      <c r="B57" s="98" t="s">
        <v>275</v>
      </c>
      <c r="C57" s="99">
        <v>4250</v>
      </c>
      <c r="D57" s="98" t="s">
        <v>276</v>
      </c>
      <c r="E57" s="98" t="s">
        <v>277</v>
      </c>
      <c r="F57" s="98" t="s">
        <v>250</v>
      </c>
      <c r="G57" s="100" t="s">
        <v>278</v>
      </c>
      <c r="H57" s="100"/>
      <c r="I57" s="100"/>
      <c r="J57" s="100"/>
      <c r="K57" s="100"/>
    </row>
  </sheetData>
  <mergeCells count="27">
    <mergeCell ref="G55:K55"/>
    <mergeCell ref="G56:K56"/>
    <mergeCell ref="G57:K57"/>
    <mergeCell ref="G49:K49"/>
    <mergeCell ref="A2:K2"/>
    <mergeCell ref="G50:K50"/>
    <mergeCell ref="G51:K51"/>
    <mergeCell ref="G52:K52"/>
    <mergeCell ref="G53:K53"/>
    <mergeCell ref="G54:K54"/>
    <mergeCell ref="H41:K41"/>
    <mergeCell ref="B44:G44"/>
    <mergeCell ref="H44:K44"/>
    <mergeCell ref="B45:G45"/>
    <mergeCell ref="H45:K45"/>
    <mergeCell ref="B42:G42"/>
    <mergeCell ref="H42:K42"/>
    <mergeCell ref="B43:G43"/>
    <mergeCell ref="H43:K43"/>
    <mergeCell ref="A1:K1"/>
    <mergeCell ref="B38:G38"/>
    <mergeCell ref="H38:K38"/>
    <mergeCell ref="B39:G39"/>
    <mergeCell ref="H39:K39"/>
    <mergeCell ref="B40:G40"/>
    <mergeCell ref="H40:K40"/>
    <mergeCell ref="B41:G41"/>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B167D-91EE-C14F-BE0E-13CCC007221F}">
  <dimension ref="A1:K34"/>
  <sheetViews>
    <sheetView workbookViewId="0">
      <pane xSplit="1" ySplit="4" topLeftCell="B16" activePane="bottomRight" state="frozen"/>
      <selection pane="topRight" activeCell="B1" sqref="B1"/>
      <selection pane="bottomLeft" activeCell="A5" sqref="A5"/>
      <selection pane="bottomRight" activeCell="N3" sqref="N3"/>
    </sheetView>
  </sheetViews>
  <sheetFormatPr baseColWidth="10" defaultRowHeight="16" x14ac:dyDescent="0.2"/>
  <cols>
    <col min="1" max="1" width="38.6640625" customWidth="1"/>
    <col min="2" max="11" width="11.6640625" customWidth="1"/>
  </cols>
  <sheetData>
    <row r="1" spans="1:11" ht="27" x14ac:dyDescent="0.2">
      <c r="A1" s="54" t="s">
        <v>165</v>
      </c>
      <c r="B1" s="54"/>
      <c r="C1" s="54"/>
      <c r="D1" s="54"/>
      <c r="E1" s="54"/>
      <c r="F1" s="54"/>
      <c r="G1" s="54"/>
      <c r="H1" s="54"/>
      <c r="I1" s="54"/>
      <c r="J1" s="54"/>
      <c r="K1" s="54"/>
    </row>
    <row r="2" spans="1:11" ht="37" customHeight="1" x14ac:dyDescent="0.2">
      <c r="A2" s="126" t="s">
        <v>166</v>
      </c>
      <c r="B2" s="126"/>
      <c r="C2" s="126"/>
      <c r="D2" s="126"/>
      <c r="E2" s="126"/>
      <c r="F2" s="126"/>
      <c r="G2" s="126"/>
      <c r="H2" s="126"/>
      <c r="I2" s="126"/>
      <c r="J2" s="126"/>
      <c r="K2" s="126"/>
    </row>
    <row r="3" spans="1:11" x14ac:dyDescent="0.2">
      <c r="A3" s="66" t="s">
        <v>0</v>
      </c>
      <c r="B3" s="67" t="s">
        <v>32</v>
      </c>
      <c r="C3" s="67" t="s">
        <v>33</v>
      </c>
      <c r="D3" s="67" t="s">
        <v>34</v>
      </c>
      <c r="E3" s="67" t="s">
        <v>35</v>
      </c>
      <c r="F3" s="67" t="s">
        <v>36</v>
      </c>
      <c r="G3" s="67" t="s">
        <v>37</v>
      </c>
      <c r="H3" s="67" t="s">
        <v>38</v>
      </c>
      <c r="I3" s="67" t="s">
        <v>39</v>
      </c>
      <c r="J3" s="67" t="s">
        <v>40</v>
      </c>
      <c r="K3" s="67" t="s">
        <v>41</v>
      </c>
    </row>
    <row r="4" spans="1:11" ht="41" customHeight="1" x14ac:dyDescent="0.2">
      <c r="A4" s="70" t="s">
        <v>153</v>
      </c>
      <c r="B4" s="71" t="s">
        <v>154</v>
      </c>
      <c r="C4" s="71" t="s">
        <v>155</v>
      </c>
      <c r="D4" s="71" t="s">
        <v>156</v>
      </c>
      <c r="E4" s="71" t="s">
        <v>157</v>
      </c>
      <c r="F4" s="71" t="s">
        <v>158</v>
      </c>
      <c r="G4" s="71" t="s">
        <v>159</v>
      </c>
      <c r="H4" s="71" t="s">
        <v>160</v>
      </c>
      <c r="I4" s="71" t="s">
        <v>161</v>
      </c>
      <c r="J4" s="71" t="s">
        <v>162</v>
      </c>
      <c r="K4" s="71" t="s">
        <v>163</v>
      </c>
    </row>
    <row r="5" spans="1:11" x14ac:dyDescent="0.2">
      <c r="A5" s="68" t="s">
        <v>1</v>
      </c>
      <c r="B5" s="72">
        <v>169</v>
      </c>
      <c r="C5" s="72">
        <v>209</v>
      </c>
      <c r="D5" s="72">
        <v>215</v>
      </c>
      <c r="E5" s="72">
        <v>251</v>
      </c>
      <c r="F5" s="72">
        <v>222</v>
      </c>
      <c r="G5" s="72">
        <v>199</v>
      </c>
      <c r="H5" s="72">
        <v>282</v>
      </c>
      <c r="I5" s="72">
        <v>326</v>
      </c>
      <c r="J5" s="72">
        <v>353</v>
      </c>
      <c r="K5" s="72">
        <v>477</v>
      </c>
    </row>
    <row r="6" spans="1:11" x14ac:dyDescent="0.2">
      <c r="A6" s="7" t="s">
        <v>2</v>
      </c>
      <c r="B6" s="73">
        <v>200</v>
      </c>
      <c r="C6" s="73">
        <v>257</v>
      </c>
      <c r="D6" s="73">
        <v>287</v>
      </c>
      <c r="E6" s="73">
        <v>304</v>
      </c>
      <c r="F6" s="73">
        <v>274</v>
      </c>
      <c r="G6" s="73">
        <v>211</v>
      </c>
      <c r="H6" s="73">
        <v>361</v>
      </c>
      <c r="I6" s="73">
        <v>443</v>
      </c>
      <c r="J6" s="73">
        <v>457</v>
      </c>
      <c r="K6" s="73">
        <v>458</v>
      </c>
    </row>
    <row r="7" spans="1:11" x14ac:dyDescent="0.2">
      <c r="A7" s="6" t="s">
        <v>3</v>
      </c>
      <c r="B7" s="74">
        <v>223</v>
      </c>
      <c r="C7" s="74">
        <v>273</v>
      </c>
      <c r="D7" s="74">
        <v>290</v>
      </c>
      <c r="E7" s="74">
        <v>304</v>
      </c>
      <c r="F7" s="74">
        <v>280</v>
      </c>
      <c r="G7" s="74">
        <v>212</v>
      </c>
      <c r="H7" s="74">
        <v>405</v>
      </c>
      <c r="I7" s="74">
        <v>367</v>
      </c>
      <c r="J7" s="74">
        <v>381</v>
      </c>
      <c r="K7" s="74">
        <v>402</v>
      </c>
    </row>
    <row r="8" spans="1:11" x14ac:dyDescent="0.2">
      <c r="A8" s="7" t="s">
        <v>4</v>
      </c>
      <c r="B8" s="73">
        <v>158</v>
      </c>
      <c r="C8" s="73">
        <v>202</v>
      </c>
      <c r="D8" s="73">
        <v>213</v>
      </c>
      <c r="E8" s="73">
        <v>240</v>
      </c>
      <c r="F8" s="73">
        <v>215</v>
      </c>
      <c r="G8" s="73">
        <v>183</v>
      </c>
      <c r="H8" s="73">
        <v>269</v>
      </c>
      <c r="I8" s="73">
        <v>269</v>
      </c>
      <c r="J8" s="73">
        <v>308</v>
      </c>
      <c r="K8" s="73">
        <v>328</v>
      </c>
    </row>
    <row r="9" spans="1:11" x14ac:dyDescent="0.2">
      <c r="A9" s="6" t="s">
        <v>5</v>
      </c>
      <c r="B9" s="74">
        <v>232</v>
      </c>
      <c r="C9" s="74">
        <v>281</v>
      </c>
      <c r="D9" s="74">
        <v>287</v>
      </c>
      <c r="E9" s="74">
        <v>301</v>
      </c>
      <c r="F9" s="74">
        <v>300</v>
      </c>
      <c r="G9" s="74">
        <v>213</v>
      </c>
      <c r="H9" s="74">
        <v>352</v>
      </c>
      <c r="I9" s="74">
        <v>372</v>
      </c>
      <c r="J9" s="74">
        <v>414</v>
      </c>
      <c r="K9" s="74">
        <v>434</v>
      </c>
    </row>
    <row r="10" spans="1:11" x14ac:dyDescent="0.2">
      <c r="A10" s="7" t="s">
        <v>6</v>
      </c>
      <c r="B10" s="73">
        <v>233</v>
      </c>
      <c r="C10" s="73">
        <v>280</v>
      </c>
      <c r="D10" s="73">
        <v>302</v>
      </c>
      <c r="E10" s="73">
        <v>300</v>
      </c>
      <c r="F10" s="73">
        <v>269</v>
      </c>
      <c r="G10" s="73">
        <v>211</v>
      </c>
      <c r="H10" s="73">
        <v>325</v>
      </c>
      <c r="I10" s="73">
        <v>348</v>
      </c>
      <c r="J10" s="73">
        <v>391</v>
      </c>
      <c r="K10" s="73">
        <v>440</v>
      </c>
    </row>
    <row r="11" spans="1:11" x14ac:dyDescent="0.2">
      <c r="A11" s="6" t="s">
        <v>7</v>
      </c>
      <c r="B11" s="74">
        <v>194</v>
      </c>
      <c r="C11" s="74">
        <v>233</v>
      </c>
      <c r="D11" s="74">
        <v>287</v>
      </c>
      <c r="E11" s="74">
        <v>307</v>
      </c>
      <c r="F11" s="74">
        <v>295</v>
      </c>
      <c r="G11" s="74">
        <v>231</v>
      </c>
      <c r="H11" s="74">
        <v>364</v>
      </c>
      <c r="I11" s="74">
        <v>429</v>
      </c>
      <c r="J11" s="74">
        <v>437</v>
      </c>
      <c r="K11" s="74">
        <v>407</v>
      </c>
    </row>
    <row r="12" spans="1:11" x14ac:dyDescent="0.2">
      <c r="A12" s="7" t="s">
        <v>8</v>
      </c>
      <c r="B12" s="73">
        <v>157</v>
      </c>
      <c r="C12" s="73">
        <v>202</v>
      </c>
      <c r="D12" s="73">
        <v>222</v>
      </c>
      <c r="E12" s="73">
        <v>252</v>
      </c>
      <c r="F12" s="73">
        <v>218</v>
      </c>
      <c r="G12" s="73">
        <v>185</v>
      </c>
      <c r="H12" s="73">
        <v>273</v>
      </c>
      <c r="I12" s="73">
        <v>348</v>
      </c>
      <c r="J12" s="73">
        <v>356</v>
      </c>
      <c r="K12" s="73">
        <v>364</v>
      </c>
    </row>
    <row r="13" spans="1:11" x14ac:dyDescent="0.2">
      <c r="A13" s="6" t="s">
        <v>9</v>
      </c>
      <c r="B13" s="74">
        <v>172</v>
      </c>
      <c r="C13" s="74">
        <v>221</v>
      </c>
      <c r="D13" s="74">
        <v>235</v>
      </c>
      <c r="E13" s="74">
        <v>255</v>
      </c>
      <c r="F13" s="74">
        <v>227</v>
      </c>
      <c r="G13" s="74">
        <v>192</v>
      </c>
      <c r="H13" s="74">
        <v>278</v>
      </c>
      <c r="I13" s="74">
        <v>274</v>
      </c>
      <c r="J13" s="74">
        <v>305</v>
      </c>
      <c r="K13" s="74">
        <v>321</v>
      </c>
    </row>
    <row r="14" spans="1:11" x14ac:dyDescent="0.2">
      <c r="A14" s="7" t="s">
        <v>10</v>
      </c>
      <c r="B14" s="73">
        <v>305</v>
      </c>
      <c r="C14" s="73">
        <v>359</v>
      </c>
      <c r="D14" s="73">
        <v>401</v>
      </c>
      <c r="E14" s="73">
        <v>440</v>
      </c>
      <c r="F14" s="73">
        <v>474</v>
      </c>
      <c r="G14" s="73">
        <v>258</v>
      </c>
      <c r="H14" s="73">
        <v>765</v>
      </c>
      <c r="I14" s="73">
        <v>765</v>
      </c>
      <c r="J14" s="73">
        <v>800</v>
      </c>
      <c r="K14" s="73">
        <v>880</v>
      </c>
    </row>
    <row r="15" spans="1:11" x14ac:dyDescent="0.2">
      <c r="A15" s="6" t="s">
        <v>11</v>
      </c>
      <c r="B15" s="74">
        <v>244</v>
      </c>
      <c r="C15" s="74">
        <v>296</v>
      </c>
      <c r="D15" s="74">
        <v>326</v>
      </c>
      <c r="E15" s="74">
        <v>348</v>
      </c>
      <c r="F15" s="74">
        <v>308</v>
      </c>
      <c r="G15" s="74">
        <v>223</v>
      </c>
      <c r="H15" s="74">
        <v>350</v>
      </c>
      <c r="I15" s="74">
        <v>381</v>
      </c>
      <c r="J15" s="74">
        <v>416</v>
      </c>
      <c r="K15" s="74">
        <v>467</v>
      </c>
    </row>
    <row r="16" spans="1:11" x14ac:dyDescent="0.2">
      <c r="A16" s="7" t="s">
        <v>12</v>
      </c>
      <c r="B16" s="73">
        <v>157</v>
      </c>
      <c r="C16" s="73">
        <v>205</v>
      </c>
      <c r="D16" s="73">
        <v>222</v>
      </c>
      <c r="E16" s="73">
        <v>243</v>
      </c>
      <c r="F16" s="73">
        <v>217</v>
      </c>
      <c r="G16" s="73">
        <v>179</v>
      </c>
      <c r="H16" s="73">
        <v>264</v>
      </c>
      <c r="I16" s="73">
        <v>263</v>
      </c>
      <c r="J16" s="73">
        <v>320</v>
      </c>
      <c r="K16" s="73">
        <v>342</v>
      </c>
    </row>
    <row r="17" spans="1:11" x14ac:dyDescent="0.2">
      <c r="A17" s="6" t="s">
        <v>13</v>
      </c>
      <c r="B17" s="74">
        <v>185</v>
      </c>
      <c r="C17" s="74">
        <v>257</v>
      </c>
      <c r="D17" s="74">
        <v>258</v>
      </c>
      <c r="E17" s="74">
        <v>282</v>
      </c>
      <c r="F17" s="74">
        <v>262</v>
      </c>
      <c r="G17" s="74">
        <v>219</v>
      </c>
      <c r="H17" s="74">
        <v>362</v>
      </c>
      <c r="I17" s="74">
        <v>425</v>
      </c>
      <c r="J17" s="74">
        <v>353</v>
      </c>
      <c r="K17" s="74">
        <v>569</v>
      </c>
    </row>
    <row r="18" spans="1:11" x14ac:dyDescent="0.2">
      <c r="A18" s="7" t="s">
        <v>14</v>
      </c>
      <c r="B18" s="73">
        <v>333</v>
      </c>
      <c r="C18" s="73">
        <v>371</v>
      </c>
      <c r="D18" s="73">
        <v>395</v>
      </c>
      <c r="E18" s="73">
        <v>434</v>
      </c>
      <c r="F18" s="73">
        <v>400</v>
      </c>
      <c r="G18" s="73">
        <v>316</v>
      </c>
      <c r="H18" s="73">
        <v>465</v>
      </c>
      <c r="I18" s="73">
        <v>516</v>
      </c>
      <c r="J18" s="73">
        <v>522</v>
      </c>
      <c r="K18" s="73">
        <v>551</v>
      </c>
    </row>
    <row r="19" spans="1:11" x14ac:dyDescent="0.2">
      <c r="A19" s="6" t="s">
        <v>15</v>
      </c>
      <c r="B19" s="74">
        <v>155</v>
      </c>
      <c r="C19" s="74">
        <v>206</v>
      </c>
      <c r="D19" s="74">
        <v>213</v>
      </c>
      <c r="E19" s="74">
        <v>224</v>
      </c>
      <c r="F19" s="74">
        <v>210</v>
      </c>
      <c r="G19" s="74">
        <v>186</v>
      </c>
      <c r="H19" s="74">
        <v>272</v>
      </c>
      <c r="I19" s="74">
        <v>258</v>
      </c>
      <c r="J19" s="74">
        <v>291</v>
      </c>
      <c r="K19" s="74">
        <v>306</v>
      </c>
    </row>
    <row r="20" spans="1:11" x14ac:dyDescent="0.2">
      <c r="A20" s="7" t="s">
        <v>16</v>
      </c>
      <c r="B20" s="73">
        <v>210</v>
      </c>
      <c r="C20" s="73">
        <v>253</v>
      </c>
      <c r="D20" s="73">
        <v>259</v>
      </c>
      <c r="E20" s="73">
        <v>294</v>
      </c>
      <c r="F20" s="73">
        <v>266</v>
      </c>
      <c r="G20" s="73">
        <v>218</v>
      </c>
      <c r="H20" s="73">
        <v>326</v>
      </c>
      <c r="I20" s="73">
        <v>371</v>
      </c>
      <c r="J20" s="73">
        <v>373</v>
      </c>
      <c r="K20" s="73">
        <v>417</v>
      </c>
    </row>
    <row r="21" spans="1:11" x14ac:dyDescent="0.2">
      <c r="A21" s="6" t="s">
        <v>17</v>
      </c>
      <c r="B21" s="74">
        <v>146</v>
      </c>
      <c r="C21" s="74">
        <v>179</v>
      </c>
      <c r="D21" s="74">
        <v>204</v>
      </c>
      <c r="E21" s="74">
        <v>283</v>
      </c>
      <c r="F21" s="74">
        <v>239</v>
      </c>
      <c r="G21" s="74">
        <v>212</v>
      </c>
      <c r="H21" s="74">
        <v>352</v>
      </c>
      <c r="I21" s="74">
        <v>329</v>
      </c>
      <c r="J21" s="74">
        <v>333</v>
      </c>
      <c r="K21" s="74">
        <v>355</v>
      </c>
    </row>
    <row r="22" spans="1:11" x14ac:dyDescent="0.2">
      <c r="A22" s="7" t="s">
        <v>18</v>
      </c>
      <c r="B22" s="73">
        <v>154</v>
      </c>
      <c r="C22" s="73">
        <v>204</v>
      </c>
      <c r="D22" s="73">
        <v>223</v>
      </c>
      <c r="E22" s="73">
        <v>234</v>
      </c>
      <c r="F22" s="73">
        <v>214</v>
      </c>
      <c r="G22" s="73">
        <v>199</v>
      </c>
      <c r="H22" s="73">
        <v>271</v>
      </c>
      <c r="I22" s="73">
        <v>259</v>
      </c>
      <c r="J22" s="73">
        <v>305</v>
      </c>
      <c r="K22" s="73">
        <v>320</v>
      </c>
    </row>
    <row r="23" spans="1:11" x14ac:dyDescent="0.2">
      <c r="A23" s="6" t="s">
        <v>19</v>
      </c>
      <c r="B23" s="74">
        <v>156</v>
      </c>
      <c r="C23" s="74">
        <v>204</v>
      </c>
      <c r="D23" s="74">
        <v>214</v>
      </c>
      <c r="E23" s="74">
        <v>224</v>
      </c>
      <c r="F23" s="74">
        <v>209</v>
      </c>
      <c r="G23" s="74">
        <v>181</v>
      </c>
      <c r="H23" s="74">
        <v>268</v>
      </c>
      <c r="I23" s="74">
        <v>262</v>
      </c>
      <c r="J23" s="74">
        <v>272</v>
      </c>
      <c r="K23" s="74">
        <v>302</v>
      </c>
    </row>
    <row r="24" spans="1:11" x14ac:dyDescent="0.2">
      <c r="A24" s="7" t="s">
        <v>20</v>
      </c>
      <c r="B24" s="73">
        <v>376</v>
      </c>
      <c r="C24" s="73">
        <v>426</v>
      </c>
      <c r="D24" s="73">
        <v>443</v>
      </c>
      <c r="E24" s="73">
        <v>472</v>
      </c>
      <c r="F24" s="73">
        <v>421</v>
      </c>
      <c r="G24" s="73">
        <v>298</v>
      </c>
      <c r="H24" s="73">
        <v>452</v>
      </c>
      <c r="I24" s="73">
        <v>504</v>
      </c>
      <c r="J24" s="73">
        <v>543</v>
      </c>
      <c r="K24" s="73">
        <v>532</v>
      </c>
    </row>
    <row r="25" spans="1:11" x14ac:dyDescent="0.2">
      <c r="A25" s="6" t="s">
        <v>21</v>
      </c>
      <c r="B25" s="74">
        <v>187</v>
      </c>
      <c r="C25" s="74">
        <v>222</v>
      </c>
      <c r="D25" s="74">
        <v>241</v>
      </c>
      <c r="E25" s="74">
        <v>258</v>
      </c>
      <c r="F25" s="74">
        <v>236</v>
      </c>
      <c r="G25" s="74">
        <v>183</v>
      </c>
      <c r="H25" s="74">
        <v>274</v>
      </c>
      <c r="I25" s="74">
        <v>267</v>
      </c>
      <c r="J25" s="74">
        <v>320</v>
      </c>
      <c r="K25" s="74">
        <v>357</v>
      </c>
    </row>
    <row r="26" spans="1:11" x14ac:dyDescent="0.2">
      <c r="A26" s="7" t="s">
        <v>22</v>
      </c>
      <c r="B26" s="73">
        <v>166</v>
      </c>
      <c r="C26" s="73">
        <v>211</v>
      </c>
      <c r="D26" s="73">
        <v>223</v>
      </c>
      <c r="E26" s="73">
        <v>244</v>
      </c>
      <c r="F26" s="73">
        <v>218</v>
      </c>
      <c r="G26" s="73">
        <v>188</v>
      </c>
      <c r="H26" s="73">
        <v>272</v>
      </c>
      <c r="I26" s="73">
        <v>261</v>
      </c>
      <c r="J26" s="73">
        <v>285</v>
      </c>
      <c r="K26" s="73">
        <v>318</v>
      </c>
    </row>
    <row r="27" spans="1:11" x14ac:dyDescent="0.2">
      <c r="A27" s="6" t="s">
        <v>23</v>
      </c>
      <c r="B27" s="74">
        <v>140</v>
      </c>
      <c r="C27" s="74">
        <v>184</v>
      </c>
      <c r="D27" s="74">
        <v>268</v>
      </c>
      <c r="E27" s="74">
        <v>300</v>
      </c>
      <c r="F27" s="74">
        <v>259</v>
      </c>
      <c r="G27" s="74">
        <v>236</v>
      </c>
      <c r="H27" s="74">
        <v>345</v>
      </c>
      <c r="I27" s="74">
        <v>371</v>
      </c>
      <c r="J27" s="74">
        <v>396</v>
      </c>
      <c r="K27" s="74">
        <v>472</v>
      </c>
    </row>
    <row r="28" spans="1:11" x14ac:dyDescent="0.2">
      <c r="A28" s="7" t="s">
        <v>24</v>
      </c>
      <c r="B28" s="73">
        <v>173</v>
      </c>
      <c r="C28" s="73">
        <v>218</v>
      </c>
      <c r="D28" s="73">
        <v>235</v>
      </c>
      <c r="E28" s="73">
        <v>246</v>
      </c>
      <c r="F28" s="73">
        <v>222</v>
      </c>
      <c r="G28" s="73">
        <v>206</v>
      </c>
      <c r="H28" s="73">
        <v>302</v>
      </c>
      <c r="I28" s="73">
        <v>366</v>
      </c>
      <c r="J28" s="73">
        <v>369</v>
      </c>
      <c r="K28" s="73">
        <v>455</v>
      </c>
    </row>
    <row r="29" spans="1:11" x14ac:dyDescent="0.2">
      <c r="A29" s="6" t="s">
        <v>25</v>
      </c>
      <c r="B29" s="74">
        <v>178</v>
      </c>
      <c r="C29" s="74">
        <v>223</v>
      </c>
      <c r="D29" s="74">
        <v>246</v>
      </c>
      <c r="E29" s="74">
        <v>287</v>
      </c>
      <c r="F29" s="74">
        <v>240</v>
      </c>
      <c r="G29" s="74">
        <v>201</v>
      </c>
      <c r="H29" s="74">
        <v>291</v>
      </c>
      <c r="I29" s="74">
        <v>300</v>
      </c>
      <c r="J29" s="74">
        <v>335</v>
      </c>
      <c r="K29" s="74">
        <v>361</v>
      </c>
    </row>
    <row r="30" spans="1:11" x14ac:dyDescent="0.2">
      <c r="A30" s="7" t="s">
        <v>26</v>
      </c>
      <c r="B30" s="73">
        <v>164</v>
      </c>
      <c r="C30" s="73">
        <v>240</v>
      </c>
      <c r="D30" s="73">
        <v>263</v>
      </c>
      <c r="E30" s="73">
        <v>286</v>
      </c>
      <c r="F30" s="73">
        <v>245</v>
      </c>
      <c r="G30" s="73">
        <v>192</v>
      </c>
      <c r="H30" s="73">
        <v>279</v>
      </c>
      <c r="I30" s="73">
        <v>289</v>
      </c>
      <c r="J30" s="73">
        <v>320</v>
      </c>
      <c r="K30" s="73">
        <v>354</v>
      </c>
    </row>
    <row r="31" spans="1:11" x14ac:dyDescent="0.2">
      <c r="A31" s="6" t="s">
        <v>27</v>
      </c>
      <c r="B31" s="74">
        <v>187</v>
      </c>
      <c r="C31" s="74">
        <v>259</v>
      </c>
      <c r="D31" s="74">
        <v>262</v>
      </c>
      <c r="E31" s="74">
        <v>285</v>
      </c>
      <c r="F31" s="74">
        <v>255</v>
      </c>
      <c r="G31" s="74">
        <v>205</v>
      </c>
      <c r="H31" s="74">
        <v>306</v>
      </c>
      <c r="I31" s="74">
        <v>319</v>
      </c>
      <c r="J31" s="74">
        <v>363</v>
      </c>
      <c r="K31" s="74">
        <v>401</v>
      </c>
    </row>
    <row r="32" spans="1:11" x14ac:dyDescent="0.2">
      <c r="A32" s="7" t="s">
        <v>28</v>
      </c>
      <c r="B32" s="73">
        <v>193</v>
      </c>
      <c r="C32" s="73">
        <v>250</v>
      </c>
      <c r="D32" s="73">
        <v>275</v>
      </c>
      <c r="E32" s="73">
        <v>334</v>
      </c>
      <c r="F32" s="73">
        <v>264</v>
      </c>
      <c r="G32" s="73">
        <v>194</v>
      </c>
      <c r="H32" s="73">
        <v>299</v>
      </c>
      <c r="I32" s="73">
        <v>305</v>
      </c>
      <c r="J32" s="73">
        <v>341</v>
      </c>
      <c r="K32" s="73">
        <v>380</v>
      </c>
    </row>
    <row r="33" spans="1:11" x14ac:dyDescent="0.2">
      <c r="A33" s="6" t="s">
        <v>29</v>
      </c>
      <c r="B33" s="74">
        <v>164</v>
      </c>
      <c r="C33" s="74">
        <v>221</v>
      </c>
      <c r="D33" s="74">
        <v>243</v>
      </c>
      <c r="E33" s="74">
        <v>258</v>
      </c>
      <c r="F33" s="74">
        <v>226</v>
      </c>
      <c r="G33" s="74">
        <v>262</v>
      </c>
      <c r="H33" s="74">
        <v>308</v>
      </c>
      <c r="I33" s="74">
        <v>274</v>
      </c>
      <c r="J33" s="74">
        <v>318</v>
      </c>
      <c r="K33" s="74">
        <v>340</v>
      </c>
    </row>
    <row r="34" spans="1:11" x14ac:dyDescent="0.2">
      <c r="A34" s="7" t="s">
        <v>30</v>
      </c>
      <c r="B34" s="73">
        <v>155</v>
      </c>
      <c r="C34" s="73">
        <v>222</v>
      </c>
      <c r="D34" s="73">
        <v>255</v>
      </c>
      <c r="E34" s="73">
        <v>269</v>
      </c>
      <c r="F34" s="73">
        <v>231</v>
      </c>
      <c r="G34" s="73">
        <v>213</v>
      </c>
      <c r="H34" s="73">
        <v>291</v>
      </c>
      <c r="I34" s="73">
        <v>323</v>
      </c>
      <c r="J34" s="73">
        <v>362</v>
      </c>
      <c r="K34" s="73">
        <v>389</v>
      </c>
    </row>
  </sheetData>
  <mergeCells count="2">
    <mergeCell ref="A1:K1"/>
    <mergeCell ref="A2:K2"/>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D25DC-D330-C549-B58C-E7ABB1F600C1}">
  <dimension ref="A1:K34"/>
  <sheetViews>
    <sheetView workbookViewId="0">
      <pane xSplit="1" ySplit="4" topLeftCell="B5" activePane="bottomRight" state="frozen"/>
      <selection pane="topRight" activeCell="B1" sqref="B1"/>
      <selection pane="bottomLeft" activeCell="A5" sqref="A5"/>
      <selection pane="bottomRight" activeCell="N3" sqref="N3"/>
    </sheetView>
  </sheetViews>
  <sheetFormatPr baseColWidth="10" defaultRowHeight="16" x14ac:dyDescent="0.2"/>
  <cols>
    <col min="1" max="1" width="38.6640625" customWidth="1"/>
    <col min="2" max="11" width="11.6640625" customWidth="1"/>
  </cols>
  <sheetData>
    <row r="1" spans="1:11" ht="27" x14ac:dyDescent="0.2">
      <c r="A1" s="54" t="s">
        <v>167</v>
      </c>
      <c r="B1" s="54"/>
      <c r="C1" s="54"/>
      <c r="D1" s="54"/>
      <c r="E1" s="54"/>
      <c r="F1" s="54"/>
      <c r="G1" s="54"/>
      <c r="H1" s="54"/>
      <c r="I1" s="54"/>
      <c r="J1" s="54"/>
      <c r="K1" s="54"/>
    </row>
    <row r="2" spans="1:11" ht="37" customHeight="1" x14ac:dyDescent="0.2">
      <c r="A2" s="126" t="s">
        <v>168</v>
      </c>
      <c r="B2" s="126"/>
      <c r="C2" s="126"/>
      <c r="D2" s="126"/>
      <c r="E2" s="126"/>
      <c r="F2" s="126"/>
      <c r="G2" s="126"/>
      <c r="H2" s="126"/>
      <c r="I2" s="126"/>
      <c r="J2" s="126"/>
      <c r="K2" s="126"/>
    </row>
    <row r="3" spans="1:11" x14ac:dyDescent="0.2">
      <c r="A3" s="66" t="s">
        <v>0</v>
      </c>
      <c r="B3" s="67" t="s">
        <v>32</v>
      </c>
      <c r="C3" s="67" t="s">
        <v>33</v>
      </c>
      <c r="D3" s="67" t="s">
        <v>34</v>
      </c>
      <c r="E3" s="67" t="s">
        <v>35</v>
      </c>
      <c r="F3" s="67" t="s">
        <v>36</v>
      </c>
      <c r="G3" s="67" t="s">
        <v>37</v>
      </c>
      <c r="H3" s="67" t="s">
        <v>38</v>
      </c>
      <c r="I3" s="67" t="s">
        <v>39</v>
      </c>
      <c r="J3" s="67" t="s">
        <v>40</v>
      </c>
      <c r="K3" s="67" t="s">
        <v>41</v>
      </c>
    </row>
    <row r="4" spans="1:11" ht="41" customHeight="1" x14ac:dyDescent="0.2">
      <c r="A4" s="70" t="s">
        <v>153</v>
      </c>
      <c r="B4" s="71" t="s">
        <v>154</v>
      </c>
      <c r="C4" s="71" t="s">
        <v>155</v>
      </c>
      <c r="D4" s="71" t="s">
        <v>156</v>
      </c>
      <c r="E4" s="71" t="s">
        <v>157</v>
      </c>
      <c r="F4" s="71" t="s">
        <v>158</v>
      </c>
      <c r="G4" s="71" t="s">
        <v>159</v>
      </c>
      <c r="H4" s="71" t="s">
        <v>160</v>
      </c>
      <c r="I4" s="71" t="s">
        <v>161</v>
      </c>
      <c r="J4" s="71" t="s">
        <v>162</v>
      </c>
      <c r="K4" s="71" t="s">
        <v>163</v>
      </c>
    </row>
    <row r="5" spans="1:11" x14ac:dyDescent="0.2">
      <c r="A5" s="68" t="s">
        <v>1</v>
      </c>
      <c r="B5" s="72">
        <v>19.8</v>
      </c>
      <c r="C5" s="72">
        <v>22</v>
      </c>
      <c r="D5" s="72">
        <v>42</v>
      </c>
      <c r="E5" s="72">
        <v>78</v>
      </c>
      <c r="F5" s="72">
        <v>36</v>
      </c>
      <c r="G5" s="72">
        <v>37</v>
      </c>
      <c r="H5" s="72">
        <v>84</v>
      </c>
      <c r="I5" s="72">
        <v>85</v>
      </c>
      <c r="J5" s="72">
        <v>94</v>
      </c>
      <c r="K5" s="72">
        <v>203</v>
      </c>
    </row>
    <row r="6" spans="1:11" x14ac:dyDescent="0.2">
      <c r="A6" s="7" t="s">
        <v>2</v>
      </c>
      <c r="B6" s="73">
        <v>60.1</v>
      </c>
      <c r="C6" s="73">
        <v>85</v>
      </c>
      <c r="D6" s="73">
        <v>100</v>
      </c>
      <c r="E6" s="73">
        <v>88</v>
      </c>
      <c r="F6" s="73">
        <v>86</v>
      </c>
      <c r="G6" s="73">
        <v>46</v>
      </c>
      <c r="H6" s="73">
        <v>137</v>
      </c>
      <c r="I6" s="73">
        <v>88</v>
      </c>
      <c r="J6" s="73">
        <v>121</v>
      </c>
      <c r="K6" s="73">
        <v>116</v>
      </c>
    </row>
    <row r="7" spans="1:11" x14ac:dyDescent="0.2">
      <c r="A7" s="6" t="s">
        <v>3</v>
      </c>
      <c r="B7" s="74">
        <v>15.7</v>
      </c>
      <c r="C7" s="74">
        <v>52</v>
      </c>
      <c r="D7" s="74">
        <v>53</v>
      </c>
      <c r="E7" s="74">
        <v>42</v>
      </c>
      <c r="F7" s="74">
        <v>44</v>
      </c>
      <c r="G7" s="74">
        <v>-80</v>
      </c>
      <c r="H7" s="74">
        <v>-34</v>
      </c>
      <c r="I7" s="74">
        <v>-5.4</v>
      </c>
      <c r="J7" s="74">
        <v>43</v>
      </c>
      <c r="K7" s="74">
        <v>50</v>
      </c>
    </row>
    <row r="8" spans="1:11" x14ac:dyDescent="0.2">
      <c r="A8" s="7" t="s">
        <v>4</v>
      </c>
      <c r="B8" s="73">
        <v>9.4</v>
      </c>
      <c r="C8" s="73">
        <v>21</v>
      </c>
      <c r="D8" s="73">
        <v>22</v>
      </c>
      <c r="E8" s="73">
        <v>39</v>
      </c>
      <c r="F8" s="73">
        <v>36</v>
      </c>
      <c r="G8" s="73">
        <v>34</v>
      </c>
      <c r="H8" s="73">
        <v>94</v>
      </c>
      <c r="I8" s="73">
        <v>35</v>
      </c>
      <c r="J8" s="73">
        <v>84</v>
      </c>
      <c r="K8" s="73">
        <v>82</v>
      </c>
    </row>
    <row r="9" spans="1:11" x14ac:dyDescent="0.2">
      <c r="A9" s="6" t="s">
        <v>5</v>
      </c>
      <c r="B9" s="74">
        <v>45.5</v>
      </c>
      <c r="C9" s="74">
        <v>95</v>
      </c>
      <c r="D9" s="74">
        <v>114</v>
      </c>
      <c r="E9" s="74">
        <v>103</v>
      </c>
      <c r="F9" s="74">
        <v>115</v>
      </c>
      <c r="G9" s="74">
        <v>39</v>
      </c>
      <c r="H9" s="74">
        <v>135</v>
      </c>
      <c r="I9" s="74">
        <v>115</v>
      </c>
      <c r="J9" s="74">
        <v>140</v>
      </c>
      <c r="K9" s="74">
        <v>160</v>
      </c>
    </row>
    <row r="10" spans="1:11" x14ac:dyDescent="0.2">
      <c r="A10" s="7" t="s">
        <v>6</v>
      </c>
      <c r="B10" s="73">
        <v>-40.200000000000003</v>
      </c>
      <c r="C10" s="73">
        <v>-6.2</v>
      </c>
      <c r="D10" s="73">
        <v>-13</v>
      </c>
      <c r="E10" s="73">
        <v>39</v>
      </c>
      <c r="F10" s="73">
        <v>46</v>
      </c>
      <c r="G10" s="73">
        <v>11</v>
      </c>
      <c r="H10" s="73">
        <v>74</v>
      </c>
      <c r="I10" s="73">
        <v>78</v>
      </c>
      <c r="J10" s="73">
        <v>97</v>
      </c>
      <c r="K10" s="73">
        <v>127</v>
      </c>
    </row>
    <row r="11" spans="1:11" x14ac:dyDescent="0.2">
      <c r="A11" s="6" t="s">
        <v>7</v>
      </c>
      <c r="B11" s="74">
        <v>40.299999999999997</v>
      </c>
      <c r="C11" s="74">
        <v>21</v>
      </c>
      <c r="D11" s="74">
        <v>99</v>
      </c>
      <c r="E11" s="74">
        <v>105</v>
      </c>
      <c r="F11" s="74">
        <v>84</v>
      </c>
      <c r="G11" s="74">
        <v>55</v>
      </c>
      <c r="H11" s="74">
        <v>143</v>
      </c>
      <c r="I11" s="74">
        <v>83</v>
      </c>
      <c r="J11" s="74">
        <v>158</v>
      </c>
      <c r="K11" s="74">
        <v>87</v>
      </c>
    </row>
    <row r="12" spans="1:11" x14ac:dyDescent="0.2">
      <c r="A12" s="7" t="s">
        <v>8</v>
      </c>
      <c r="B12" s="73">
        <v>21.2</v>
      </c>
      <c r="C12" s="73">
        <v>49</v>
      </c>
      <c r="D12" s="73">
        <v>47</v>
      </c>
      <c r="E12" s="73">
        <v>52</v>
      </c>
      <c r="F12" s="73">
        <v>27</v>
      </c>
      <c r="G12" s="73">
        <v>15</v>
      </c>
      <c r="H12" s="73">
        <v>67</v>
      </c>
      <c r="I12" s="73">
        <v>71</v>
      </c>
      <c r="J12" s="73">
        <v>57</v>
      </c>
      <c r="K12" s="73">
        <v>67</v>
      </c>
    </row>
    <row r="13" spans="1:11" x14ac:dyDescent="0.2">
      <c r="A13" s="6" t="s">
        <v>9</v>
      </c>
      <c r="B13" s="74">
        <v>21.8</v>
      </c>
      <c r="C13" s="74">
        <v>22</v>
      </c>
      <c r="D13" s="74">
        <v>52</v>
      </c>
      <c r="E13" s="74">
        <v>52</v>
      </c>
      <c r="F13" s="74">
        <v>45</v>
      </c>
      <c r="G13" s="74">
        <v>43</v>
      </c>
      <c r="H13" s="74">
        <v>92</v>
      </c>
      <c r="I13" s="74">
        <v>83</v>
      </c>
      <c r="J13" s="74">
        <v>89</v>
      </c>
      <c r="K13" s="74">
        <v>106</v>
      </c>
    </row>
    <row r="14" spans="1:11" x14ac:dyDescent="0.2">
      <c r="A14" s="7" t="s">
        <v>10</v>
      </c>
      <c r="B14" s="73">
        <v>74.2</v>
      </c>
      <c r="C14" s="73">
        <v>120</v>
      </c>
      <c r="D14" s="73">
        <v>103</v>
      </c>
      <c r="E14" s="73">
        <v>109</v>
      </c>
      <c r="F14" s="73">
        <v>200</v>
      </c>
      <c r="G14" s="73">
        <v>-44</v>
      </c>
      <c r="H14" s="73">
        <v>206</v>
      </c>
      <c r="I14" s="73">
        <v>79</v>
      </c>
      <c r="J14" s="73">
        <v>142</v>
      </c>
      <c r="K14" s="73">
        <v>409</v>
      </c>
    </row>
    <row r="15" spans="1:11" x14ac:dyDescent="0.2">
      <c r="A15" s="6" t="s">
        <v>11</v>
      </c>
      <c r="B15" s="74">
        <v>62.7</v>
      </c>
      <c r="C15" s="74">
        <v>95</v>
      </c>
      <c r="D15" s="74">
        <v>103</v>
      </c>
      <c r="E15" s="74">
        <v>110</v>
      </c>
      <c r="F15" s="74">
        <v>94</v>
      </c>
      <c r="G15" s="74">
        <v>33</v>
      </c>
      <c r="H15" s="74">
        <v>113</v>
      </c>
      <c r="I15" s="74">
        <v>125</v>
      </c>
      <c r="J15" s="74">
        <v>160</v>
      </c>
      <c r="K15" s="74">
        <v>191</v>
      </c>
    </row>
    <row r="16" spans="1:11" x14ac:dyDescent="0.2">
      <c r="A16" s="7" t="s">
        <v>12</v>
      </c>
      <c r="B16" s="73">
        <v>23.9</v>
      </c>
      <c r="C16" s="73">
        <v>29</v>
      </c>
      <c r="D16" s="73">
        <v>50</v>
      </c>
      <c r="E16" s="73">
        <v>55</v>
      </c>
      <c r="F16" s="73">
        <v>39</v>
      </c>
      <c r="G16" s="73">
        <v>4.0999999999999996</v>
      </c>
      <c r="H16" s="73">
        <v>65</v>
      </c>
      <c r="I16" s="73">
        <v>68</v>
      </c>
      <c r="J16" s="73">
        <v>94</v>
      </c>
      <c r="K16" s="73">
        <v>89</v>
      </c>
    </row>
    <row r="17" spans="1:11" x14ac:dyDescent="0.2">
      <c r="A17" s="6" t="s">
        <v>13</v>
      </c>
      <c r="B17" s="74">
        <v>-11.8</v>
      </c>
      <c r="C17" s="74">
        <v>35</v>
      </c>
      <c r="D17" s="74">
        <v>40</v>
      </c>
      <c r="E17" s="74">
        <v>73</v>
      </c>
      <c r="F17" s="74">
        <v>57</v>
      </c>
      <c r="G17" s="74">
        <v>18</v>
      </c>
      <c r="H17" s="74">
        <v>12</v>
      </c>
      <c r="I17" s="74">
        <v>-12</v>
      </c>
      <c r="J17" s="74">
        <v>-96</v>
      </c>
      <c r="K17" s="74">
        <v>154</v>
      </c>
    </row>
    <row r="18" spans="1:11" x14ac:dyDescent="0.2">
      <c r="A18" s="7" t="s">
        <v>14</v>
      </c>
      <c r="B18" s="73">
        <v>119.2</v>
      </c>
      <c r="C18" s="73">
        <v>136</v>
      </c>
      <c r="D18" s="73">
        <v>147</v>
      </c>
      <c r="E18" s="73">
        <v>178</v>
      </c>
      <c r="F18" s="73">
        <v>155</v>
      </c>
      <c r="G18" s="73">
        <v>63</v>
      </c>
      <c r="H18" s="73">
        <v>115</v>
      </c>
      <c r="I18" s="73">
        <v>159</v>
      </c>
      <c r="J18" s="73">
        <v>199</v>
      </c>
      <c r="K18" s="73">
        <v>170</v>
      </c>
    </row>
    <row r="19" spans="1:11" x14ac:dyDescent="0.2">
      <c r="A19" s="6" t="s">
        <v>15</v>
      </c>
      <c r="B19" s="74">
        <v>0.2</v>
      </c>
      <c r="C19" s="74">
        <v>15</v>
      </c>
      <c r="D19" s="74">
        <v>27</v>
      </c>
      <c r="E19" s="74">
        <v>24</v>
      </c>
      <c r="F19" s="74">
        <v>22</v>
      </c>
      <c r="G19" s="74">
        <v>12</v>
      </c>
      <c r="H19" s="74">
        <v>107</v>
      </c>
      <c r="I19" s="74">
        <v>51</v>
      </c>
      <c r="J19" s="74">
        <v>44</v>
      </c>
      <c r="K19" s="74">
        <v>28</v>
      </c>
    </row>
    <row r="20" spans="1:11" x14ac:dyDescent="0.2">
      <c r="A20" s="7" t="s">
        <v>16</v>
      </c>
      <c r="B20" s="73">
        <v>21.1</v>
      </c>
      <c r="C20" s="73">
        <v>63</v>
      </c>
      <c r="D20" s="73">
        <v>40</v>
      </c>
      <c r="E20" s="73">
        <v>58</v>
      </c>
      <c r="F20" s="73">
        <v>38</v>
      </c>
      <c r="G20" s="73">
        <v>16</v>
      </c>
      <c r="H20" s="73">
        <v>83</v>
      </c>
      <c r="I20" s="73">
        <v>108</v>
      </c>
      <c r="J20" s="73">
        <v>62</v>
      </c>
      <c r="K20" s="73">
        <v>110</v>
      </c>
    </row>
    <row r="21" spans="1:11" x14ac:dyDescent="0.2">
      <c r="A21" s="6" t="s">
        <v>17</v>
      </c>
      <c r="B21" s="74">
        <v>24</v>
      </c>
      <c r="C21" s="74">
        <v>20</v>
      </c>
      <c r="D21" s="74">
        <v>25</v>
      </c>
      <c r="E21" s="74">
        <v>69</v>
      </c>
      <c r="F21" s="74">
        <v>27</v>
      </c>
      <c r="G21" s="74">
        <v>11</v>
      </c>
      <c r="H21" s="74">
        <v>51</v>
      </c>
      <c r="I21" s="74">
        <v>-36</v>
      </c>
      <c r="J21" s="74">
        <v>-16</v>
      </c>
      <c r="K21" s="74">
        <v>26</v>
      </c>
    </row>
    <row r="22" spans="1:11" x14ac:dyDescent="0.2">
      <c r="A22" s="7" t="s">
        <v>18</v>
      </c>
      <c r="B22" s="73">
        <v>25.9</v>
      </c>
      <c r="C22" s="73">
        <v>53</v>
      </c>
      <c r="D22" s="73">
        <v>47</v>
      </c>
      <c r="E22" s="73">
        <v>46</v>
      </c>
      <c r="F22" s="73">
        <v>32</v>
      </c>
      <c r="G22" s="73">
        <v>29</v>
      </c>
      <c r="H22" s="73">
        <v>87</v>
      </c>
      <c r="I22" s="73">
        <v>47</v>
      </c>
      <c r="J22" s="73">
        <v>72</v>
      </c>
      <c r="K22" s="73">
        <v>-41</v>
      </c>
    </row>
    <row r="23" spans="1:11" x14ac:dyDescent="0.2">
      <c r="A23" s="6" t="s">
        <v>19</v>
      </c>
      <c r="B23" s="74">
        <v>16.7</v>
      </c>
      <c r="C23" s="74">
        <v>37</v>
      </c>
      <c r="D23" s="74">
        <v>29</v>
      </c>
      <c r="E23" s="74">
        <v>49</v>
      </c>
      <c r="F23" s="74">
        <v>44</v>
      </c>
      <c r="G23" s="74">
        <v>24</v>
      </c>
      <c r="H23" s="74">
        <v>94</v>
      </c>
      <c r="I23" s="74">
        <v>57</v>
      </c>
      <c r="J23" s="74">
        <v>41</v>
      </c>
      <c r="K23" s="74">
        <v>78</v>
      </c>
    </row>
    <row r="24" spans="1:11" x14ac:dyDescent="0.2">
      <c r="A24" s="7" t="s">
        <v>20</v>
      </c>
      <c r="B24" s="73">
        <v>141.19999999999999</v>
      </c>
      <c r="C24" s="73">
        <v>140</v>
      </c>
      <c r="D24" s="73">
        <v>155</v>
      </c>
      <c r="E24" s="73">
        <v>157</v>
      </c>
      <c r="F24" s="73">
        <v>178</v>
      </c>
      <c r="G24" s="73">
        <v>71</v>
      </c>
      <c r="H24" s="73">
        <v>155</v>
      </c>
      <c r="I24" s="73">
        <v>169</v>
      </c>
      <c r="J24" s="73">
        <v>182</v>
      </c>
      <c r="K24" s="73">
        <v>98</v>
      </c>
    </row>
    <row r="25" spans="1:11" x14ac:dyDescent="0.2">
      <c r="A25" s="6" t="s">
        <v>21</v>
      </c>
      <c r="B25" s="74">
        <v>-8.4</v>
      </c>
      <c r="C25" s="74">
        <v>64</v>
      </c>
      <c r="D25" s="74">
        <v>10</v>
      </c>
      <c r="E25" s="74">
        <v>-23</v>
      </c>
      <c r="F25" s="74">
        <v>51</v>
      </c>
      <c r="G25" s="74">
        <v>48</v>
      </c>
      <c r="H25" s="74">
        <v>129</v>
      </c>
      <c r="I25" s="74">
        <v>49</v>
      </c>
      <c r="J25" s="74">
        <v>90</v>
      </c>
      <c r="K25" s="74">
        <v>114</v>
      </c>
    </row>
    <row r="26" spans="1:11" x14ac:dyDescent="0.2">
      <c r="A26" s="7" t="s">
        <v>22</v>
      </c>
      <c r="B26" s="73">
        <v>44.7</v>
      </c>
      <c r="C26" s="73">
        <v>39</v>
      </c>
      <c r="D26" s="73">
        <v>64</v>
      </c>
      <c r="E26" s="73">
        <v>70</v>
      </c>
      <c r="F26" s="73">
        <v>37</v>
      </c>
      <c r="G26" s="73">
        <v>29</v>
      </c>
      <c r="H26" s="73">
        <v>98</v>
      </c>
      <c r="I26" s="73">
        <v>66</v>
      </c>
      <c r="J26" s="73">
        <v>82</v>
      </c>
      <c r="K26" s="73">
        <v>94</v>
      </c>
    </row>
    <row r="27" spans="1:11" x14ac:dyDescent="0.2">
      <c r="A27" s="6" t="s">
        <v>23</v>
      </c>
      <c r="B27" s="74">
        <v>18.2</v>
      </c>
      <c r="C27" s="74">
        <v>40</v>
      </c>
      <c r="D27" s="74">
        <v>68</v>
      </c>
      <c r="E27" s="74">
        <v>90</v>
      </c>
      <c r="F27" s="74">
        <v>51</v>
      </c>
      <c r="G27" s="74">
        <v>13</v>
      </c>
      <c r="H27" s="74">
        <v>87</v>
      </c>
      <c r="I27" s="74">
        <v>120</v>
      </c>
      <c r="J27" s="74">
        <v>120</v>
      </c>
      <c r="K27" s="74">
        <v>203</v>
      </c>
    </row>
    <row r="28" spans="1:11" x14ac:dyDescent="0.2">
      <c r="A28" s="7" t="s">
        <v>24</v>
      </c>
      <c r="B28" s="73">
        <v>26.3</v>
      </c>
      <c r="C28" s="73">
        <v>31</v>
      </c>
      <c r="D28" s="73">
        <v>47</v>
      </c>
      <c r="E28" s="73">
        <v>42</v>
      </c>
      <c r="F28" s="73">
        <v>20</v>
      </c>
      <c r="G28" s="73">
        <v>15</v>
      </c>
      <c r="H28" s="73">
        <v>87</v>
      </c>
      <c r="I28" s="73">
        <v>15</v>
      </c>
      <c r="J28" s="73">
        <v>-14</v>
      </c>
      <c r="K28" s="73">
        <v>-33</v>
      </c>
    </row>
    <row r="29" spans="1:11" x14ac:dyDescent="0.2">
      <c r="A29" s="6" t="s">
        <v>25</v>
      </c>
      <c r="B29" s="74">
        <v>41.2</v>
      </c>
      <c r="C29" s="74">
        <v>25</v>
      </c>
      <c r="D29" s="74">
        <v>40</v>
      </c>
      <c r="E29" s="74">
        <v>51</v>
      </c>
      <c r="F29" s="74">
        <v>27</v>
      </c>
      <c r="G29" s="74">
        <v>19</v>
      </c>
      <c r="H29" s="74">
        <v>81</v>
      </c>
      <c r="I29" s="74">
        <v>65</v>
      </c>
      <c r="J29" s="74">
        <v>81</v>
      </c>
      <c r="K29" s="74">
        <v>111</v>
      </c>
    </row>
    <row r="30" spans="1:11" x14ac:dyDescent="0.2">
      <c r="A30" s="7" t="s">
        <v>26</v>
      </c>
      <c r="B30" s="73">
        <v>18.399999999999999</v>
      </c>
      <c r="C30" s="73">
        <v>50</v>
      </c>
      <c r="D30" s="73">
        <v>72</v>
      </c>
      <c r="E30" s="73">
        <v>81</v>
      </c>
      <c r="F30" s="73">
        <v>45</v>
      </c>
      <c r="G30" s="73">
        <v>25</v>
      </c>
      <c r="H30" s="73">
        <v>29</v>
      </c>
      <c r="I30" s="73">
        <v>36</v>
      </c>
      <c r="J30" s="73">
        <v>54</v>
      </c>
      <c r="K30" s="73">
        <v>76</v>
      </c>
    </row>
    <row r="31" spans="1:11" x14ac:dyDescent="0.2">
      <c r="A31" s="6" t="s">
        <v>27</v>
      </c>
      <c r="B31" s="74">
        <v>18.399999999999999</v>
      </c>
      <c r="C31" s="74">
        <v>59</v>
      </c>
      <c r="D31" s="74">
        <v>63</v>
      </c>
      <c r="E31" s="74">
        <v>66</v>
      </c>
      <c r="F31" s="74">
        <v>63</v>
      </c>
      <c r="G31" s="74">
        <v>39</v>
      </c>
      <c r="H31" s="74">
        <v>99</v>
      </c>
      <c r="I31" s="74">
        <v>113</v>
      </c>
      <c r="J31" s="74">
        <v>118</v>
      </c>
      <c r="K31" s="74">
        <v>151</v>
      </c>
    </row>
    <row r="32" spans="1:11" x14ac:dyDescent="0.2">
      <c r="A32" s="7" t="s">
        <v>28</v>
      </c>
      <c r="B32" s="73">
        <v>46.1</v>
      </c>
      <c r="C32" s="73">
        <v>51</v>
      </c>
      <c r="D32" s="73">
        <v>76</v>
      </c>
      <c r="E32" s="73">
        <v>79</v>
      </c>
      <c r="F32" s="73">
        <v>79</v>
      </c>
      <c r="G32" s="73">
        <v>2.1</v>
      </c>
      <c r="H32" s="73">
        <v>86</v>
      </c>
      <c r="I32" s="73">
        <v>75</v>
      </c>
      <c r="J32" s="73">
        <v>97</v>
      </c>
      <c r="K32" s="73">
        <v>136</v>
      </c>
    </row>
    <row r="33" spans="1:11" x14ac:dyDescent="0.2">
      <c r="A33" s="6" t="s">
        <v>29</v>
      </c>
      <c r="B33" s="74">
        <v>36</v>
      </c>
      <c r="C33" s="74">
        <v>61</v>
      </c>
      <c r="D33" s="74">
        <v>59</v>
      </c>
      <c r="E33" s="74">
        <v>63</v>
      </c>
      <c r="F33" s="74">
        <v>42</v>
      </c>
      <c r="G33" s="74">
        <v>96</v>
      </c>
      <c r="H33" s="74">
        <v>58</v>
      </c>
      <c r="I33" s="74">
        <v>46</v>
      </c>
      <c r="J33" s="74">
        <v>89</v>
      </c>
      <c r="K33" s="74">
        <v>103</v>
      </c>
    </row>
    <row r="34" spans="1:11" x14ac:dyDescent="0.2">
      <c r="A34" s="7" t="s">
        <v>30</v>
      </c>
      <c r="B34" s="73">
        <v>6.6</v>
      </c>
      <c r="C34" s="73">
        <v>21</v>
      </c>
      <c r="D34" s="73">
        <v>34</v>
      </c>
      <c r="E34" s="73">
        <v>55</v>
      </c>
      <c r="F34" s="73">
        <v>39</v>
      </c>
      <c r="G34" s="73">
        <v>15</v>
      </c>
      <c r="H34" s="73">
        <v>90</v>
      </c>
      <c r="I34" s="73">
        <v>85</v>
      </c>
      <c r="J34" s="73">
        <v>118</v>
      </c>
      <c r="K34" s="73">
        <v>135</v>
      </c>
    </row>
  </sheetData>
  <mergeCells count="2">
    <mergeCell ref="A1:K1"/>
    <mergeCell ref="A2:K2"/>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CC857-3DCA-4C4C-98B1-550F7BF420FA}">
  <dimension ref="A1:L67"/>
  <sheetViews>
    <sheetView workbookViewId="0">
      <pane xSplit="1" topLeftCell="B1" activePane="topRight" state="frozen"/>
      <selection pane="topRight" activeCell="E22" sqref="E22"/>
    </sheetView>
  </sheetViews>
  <sheetFormatPr baseColWidth="10" defaultRowHeight="16" x14ac:dyDescent="0.2"/>
  <cols>
    <col min="1" max="1" width="38.6640625" customWidth="1"/>
    <col min="2" max="11" width="13.6640625" customWidth="1"/>
    <col min="12" max="12" width="20" customWidth="1"/>
  </cols>
  <sheetData>
    <row r="1" spans="1:12" ht="27" x14ac:dyDescent="0.2">
      <c r="A1" s="54" t="s">
        <v>203</v>
      </c>
      <c r="B1" s="54"/>
      <c r="C1" s="54"/>
      <c r="D1" s="54"/>
      <c r="E1" s="54"/>
      <c r="F1" s="54"/>
      <c r="G1" s="54"/>
      <c r="H1" s="54"/>
      <c r="I1" s="54"/>
      <c r="J1" s="54"/>
      <c r="K1" s="54"/>
      <c r="L1" s="54"/>
    </row>
    <row r="2" spans="1:12" ht="37" customHeight="1" x14ac:dyDescent="0.2">
      <c r="A2" s="126" t="s">
        <v>340</v>
      </c>
      <c r="B2" s="126"/>
      <c r="C2" s="126"/>
      <c r="D2" s="126"/>
      <c r="E2" s="126"/>
      <c r="F2" s="126"/>
      <c r="G2" s="126"/>
      <c r="H2" s="126"/>
      <c r="I2" s="126"/>
      <c r="J2" s="126"/>
      <c r="K2" s="126"/>
      <c r="L2" s="126"/>
    </row>
    <row r="3" spans="1:12" ht="33" customHeight="1" x14ac:dyDescent="0.2">
      <c r="A3" s="66" t="s">
        <v>204</v>
      </c>
      <c r="B3" s="67" t="s">
        <v>32</v>
      </c>
      <c r="C3" s="67" t="s">
        <v>33</v>
      </c>
      <c r="D3" s="67" t="s">
        <v>34</v>
      </c>
      <c r="E3" s="67" t="s">
        <v>35</v>
      </c>
      <c r="F3" s="67" t="s">
        <v>36</v>
      </c>
      <c r="G3" s="67" t="s">
        <v>37</v>
      </c>
      <c r="H3" s="67" t="s">
        <v>38</v>
      </c>
      <c r="I3" s="67" t="s">
        <v>39</v>
      </c>
      <c r="J3" s="67" t="s">
        <v>40</v>
      </c>
      <c r="K3" s="67" t="s">
        <v>41</v>
      </c>
      <c r="L3" s="84" t="s">
        <v>339</v>
      </c>
    </row>
    <row r="4" spans="1:12" ht="20" customHeight="1" x14ac:dyDescent="0.2">
      <c r="A4" s="70" t="s">
        <v>205</v>
      </c>
      <c r="B4" s="71" t="s">
        <v>206</v>
      </c>
      <c r="C4" s="71" t="s">
        <v>207</v>
      </c>
      <c r="D4" s="71" t="s">
        <v>208</v>
      </c>
      <c r="E4" s="71" t="s">
        <v>209</v>
      </c>
      <c r="F4" s="71" t="s">
        <v>210</v>
      </c>
      <c r="G4" s="71" t="s">
        <v>211</v>
      </c>
      <c r="H4" s="71" t="s">
        <v>212</v>
      </c>
      <c r="I4" s="71" t="s">
        <v>213</v>
      </c>
      <c r="J4" s="71" t="s">
        <v>214</v>
      </c>
      <c r="K4" s="71" t="s">
        <v>215</v>
      </c>
      <c r="L4" s="71" t="s">
        <v>209</v>
      </c>
    </row>
    <row r="5" spans="1:12" x14ac:dyDescent="0.2">
      <c r="A5" s="68" t="s">
        <v>1</v>
      </c>
      <c r="B5" s="85">
        <v>5876763</v>
      </c>
      <c r="C5" s="85">
        <v>5951394</v>
      </c>
      <c r="D5" s="85">
        <v>6027231</v>
      </c>
      <c r="E5" s="85">
        <v>6120770</v>
      </c>
      <c r="F5" s="85">
        <v>6160335</v>
      </c>
      <c r="G5" s="85">
        <v>6250876</v>
      </c>
      <c r="H5" s="85">
        <v>6333350</v>
      </c>
      <c r="I5" s="85">
        <v>6420229</v>
      </c>
      <c r="J5" s="85">
        <v>6482182</v>
      </c>
      <c r="K5" s="85" t="s">
        <v>52</v>
      </c>
      <c r="L5" s="133">
        <f>E5</f>
        <v>6120770</v>
      </c>
    </row>
    <row r="6" spans="1:12" x14ac:dyDescent="0.2">
      <c r="A6" s="7" t="s">
        <v>2</v>
      </c>
      <c r="B6" s="86">
        <v>4845221</v>
      </c>
      <c r="C6" s="86">
        <v>4862290</v>
      </c>
      <c r="D6" s="86">
        <v>4876271</v>
      </c>
      <c r="E6" s="86">
        <v>4921409</v>
      </c>
      <c r="F6" s="86">
        <v>4907671</v>
      </c>
      <c r="G6" s="86">
        <v>4933469</v>
      </c>
      <c r="H6" s="86">
        <v>4970657</v>
      </c>
      <c r="I6" s="86">
        <v>5022230</v>
      </c>
      <c r="J6" s="86">
        <v>5034221</v>
      </c>
      <c r="K6" s="86" t="s">
        <v>52</v>
      </c>
      <c r="L6" s="134">
        <f>E6</f>
        <v>4921409</v>
      </c>
    </row>
    <row r="7" spans="1:12" x14ac:dyDescent="0.2">
      <c r="A7" s="6" t="s">
        <v>3</v>
      </c>
      <c r="B7" s="87">
        <v>19325115</v>
      </c>
      <c r="C7" s="87">
        <v>19289420</v>
      </c>
      <c r="D7" s="87">
        <v>19232494</v>
      </c>
      <c r="E7" s="87">
        <v>19999993</v>
      </c>
      <c r="F7" s="87">
        <v>19704474</v>
      </c>
      <c r="G7" s="87">
        <v>19629390</v>
      </c>
      <c r="H7" s="87">
        <v>19788976</v>
      </c>
      <c r="I7" s="87">
        <v>20080087</v>
      </c>
      <c r="J7" s="87">
        <v>20112448</v>
      </c>
      <c r="K7" s="87" t="s">
        <v>52</v>
      </c>
      <c r="L7" s="135">
        <f>E7</f>
        <v>19999993</v>
      </c>
    </row>
    <row r="8" spans="1:12" x14ac:dyDescent="0.2">
      <c r="A8" s="7" t="s">
        <v>4</v>
      </c>
      <c r="B8" s="86">
        <v>2552701</v>
      </c>
      <c r="C8" s="86">
        <v>2596204</v>
      </c>
      <c r="D8" s="86">
        <v>2640117</v>
      </c>
      <c r="E8" s="86">
        <v>2668342</v>
      </c>
      <c r="F8" s="86">
        <v>2706093</v>
      </c>
      <c r="G8" s="86">
        <v>2758749</v>
      </c>
      <c r="H8" s="86">
        <v>2818271</v>
      </c>
      <c r="I8" s="86">
        <v>2884708</v>
      </c>
      <c r="J8" s="86">
        <v>2938830</v>
      </c>
      <c r="K8" s="86" t="s">
        <v>52</v>
      </c>
      <c r="L8" s="134">
        <f>E8</f>
        <v>2668342</v>
      </c>
    </row>
    <row r="9" spans="1:12" x14ac:dyDescent="0.2">
      <c r="A9" s="6" t="s">
        <v>5</v>
      </c>
      <c r="B9" s="87">
        <v>9513947</v>
      </c>
      <c r="C9" s="87">
        <v>9485403</v>
      </c>
      <c r="D9" s="87">
        <v>9454282</v>
      </c>
      <c r="E9" s="87">
        <v>9435971</v>
      </c>
      <c r="F9" s="87">
        <v>9365495</v>
      </c>
      <c r="G9" s="87">
        <v>9303151</v>
      </c>
      <c r="H9" s="87">
        <v>9335921</v>
      </c>
      <c r="I9" s="87">
        <v>9411198</v>
      </c>
      <c r="J9" s="87">
        <v>9434123</v>
      </c>
      <c r="K9" s="87" t="s">
        <v>52</v>
      </c>
      <c r="L9" s="135">
        <f>E9</f>
        <v>9435971</v>
      </c>
    </row>
    <row r="10" spans="1:12" x14ac:dyDescent="0.2">
      <c r="A10" s="7" t="s">
        <v>6</v>
      </c>
      <c r="B10" s="86">
        <v>2057650</v>
      </c>
      <c r="C10" s="86">
        <v>2053841</v>
      </c>
      <c r="D10" s="86">
        <v>2049028</v>
      </c>
      <c r="E10" s="86">
        <v>2184166</v>
      </c>
      <c r="F10" s="86">
        <v>2169628</v>
      </c>
      <c r="G10" s="86">
        <v>2160973</v>
      </c>
      <c r="H10" s="86">
        <v>2161313</v>
      </c>
      <c r="I10" s="86">
        <v>2163236</v>
      </c>
      <c r="J10" s="86">
        <v>2165775</v>
      </c>
      <c r="K10" s="86" t="s">
        <v>52</v>
      </c>
      <c r="L10" s="134">
        <f>E10</f>
        <v>2184166</v>
      </c>
    </row>
    <row r="11" spans="1:12" x14ac:dyDescent="0.2">
      <c r="A11" s="6" t="s">
        <v>7</v>
      </c>
      <c r="B11" s="87">
        <v>7337707</v>
      </c>
      <c r="C11" s="87">
        <v>7457586</v>
      </c>
      <c r="D11" s="87">
        <v>7574390</v>
      </c>
      <c r="E11" s="87">
        <v>7667416</v>
      </c>
      <c r="F11" s="87">
        <v>7777844</v>
      </c>
      <c r="G11" s="87">
        <v>7972652</v>
      </c>
      <c r="H11" s="87">
        <v>8164140</v>
      </c>
      <c r="I11" s="87">
        <v>8353600</v>
      </c>
      <c r="J11" s="87">
        <v>8477157</v>
      </c>
      <c r="K11" s="87" t="s">
        <v>52</v>
      </c>
      <c r="L11" s="135">
        <f>E11</f>
        <v>7667416</v>
      </c>
    </row>
    <row r="12" spans="1:12" x14ac:dyDescent="0.2">
      <c r="A12" s="7" t="s">
        <v>8</v>
      </c>
      <c r="B12" s="86">
        <v>2893661</v>
      </c>
      <c r="C12" s="86">
        <v>2933991</v>
      </c>
      <c r="D12" s="86">
        <v>2964811</v>
      </c>
      <c r="E12" s="86">
        <v>2970099</v>
      </c>
      <c r="F12" s="86">
        <v>2978802</v>
      </c>
      <c r="G12" s="86">
        <v>2994295</v>
      </c>
      <c r="H12" s="86">
        <v>3031278</v>
      </c>
      <c r="I12" s="86">
        <v>3081092</v>
      </c>
      <c r="J12" s="86">
        <v>3092037</v>
      </c>
      <c r="K12" s="86" t="s">
        <v>52</v>
      </c>
      <c r="L12" s="134">
        <f>E12</f>
        <v>2970099</v>
      </c>
    </row>
    <row r="13" spans="1:12" x14ac:dyDescent="0.2">
      <c r="A13" s="6" t="s">
        <v>9</v>
      </c>
      <c r="B13" s="87">
        <v>4322490</v>
      </c>
      <c r="C13" s="87">
        <v>4323861</v>
      </c>
      <c r="D13" s="87">
        <v>4319413</v>
      </c>
      <c r="E13" s="87">
        <v>4385353</v>
      </c>
      <c r="F13" s="87">
        <v>4370695</v>
      </c>
      <c r="G13" s="87">
        <v>4354135</v>
      </c>
      <c r="H13" s="87">
        <v>4356818</v>
      </c>
      <c r="I13" s="87">
        <v>4377045</v>
      </c>
      <c r="J13" s="87">
        <v>4390913</v>
      </c>
      <c r="K13" s="87" t="s">
        <v>52</v>
      </c>
      <c r="L13" s="135">
        <f>E13</f>
        <v>4385353</v>
      </c>
    </row>
    <row r="14" spans="1:12" x14ac:dyDescent="0.2">
      <c r="A14" s="7" t="s">
        <v>10</v>
      </c>
      <c r="B14" s="86">
        <v>4711551</v>
      </c>
      <c r="C14" s="86">
        <v>4725613</v>
      </c>
      <c r="D14" s="86">
        <v>4724016</v>
      </c>
      <c r="E14" s="86">
        <v>4745853</v>
      </c>
      <c r="F14" s="86">
        <v>4623626</v>
      </c>
      <c r="G14" s="86">
        <v>4595850</v>
      </c>
      <c r="H14" s="86">
        <v>4601326</v>
      </c>
      <c r="I14" s="86">
        <v>4623434</v>
      </c>
      <c r="J14" s="86">
        <v>4630041</v>
      </c>
      <c r="K14" s="86" t="s">
        <v>52</v>
      </c>
      <c r="L14" s="134">
        <f>E14</f>
        <v>4745853</v>
      </c>
    </row>
    <row r="15" spans="1:12" x14ac:dyDescent="0.2">
      <c r="A15" s="6" t="s">
        <v>11</v>
      </c>
      <c r="B15" s="87">
        <v>6898912</v>
      </c>
      <c r="C15" s="87">
        <v>6974948</v>
      </c>
      <c r="D15" s="87">
        <v>7063400</v>
      </c>
      <c r="E15" s="87">
        <v>7169284</v>
      </c>
      <c r="F15" s="87">
        <v>7248044</v>
      </c>
      <c r="G15" s="87">
        <v>7406285</v>
      </c>
      <c r="H15" s="87">
        <v>7587646</v>
      </c>
      <c r="I15" s="87">
        <v>7777907</v>
      </c>
      <c r="J15" s="87">
        <v>7904627</v>
      </c>
      <c r="K15" s="87" t="s">
        <v>52</v>
      </c>
      <c r="L15" s="135">
        <f>E15</f>
        <v>7169284</v>
      </c>
    </row>
    <row r="16" spans="1:12" x14ac:dyDescent="0.2">
      <c r="A16" s="7" t="s">
        <v>12</v>
      </c>
      <c r="B16" s="86">
        <v>2028973</v>
      </c>
      <c r="C16" s="86">
        <v>2053475</v>
      </c>
      <c r="D16" s="86">
        <v>2073336</v>
      </c>
      <c r="E16" s="86">
        <v>2092783</v>
      </c>
      <c r="F16" s="86">
        <v>2106709</v>
      </c>
      <c r="G16" s="86">
        <v>2126489</v>
      </c>
      <c r="H16" s="86">
        <v>2152012</v>
      </c>
      <c r="I16" s="86">
        <v>2183424</v>
      </c>
      <c r="J16" s="86">
        <v>2205695</v>
      </c>
      <c r="K16" s="86" t="s">
        <v>52</v>
      </c>
      <c r="L16" s="134">
        <f>E16</f>
        <v>2092783</v>
      </c>
    </row>
    <row r="17" spans="1:12" x14ac:dyDescent="0.2">
      <c r="A17" s="6" t="s">
        <v>13</v>
      </c>
      <c r="B17" s="87">
        <v>13266524</v>
      </c>
      <c r="C17" s="87">
        <v>13237112</v>
      </c>
      <c r="D17" s="87">
        <v>13182453</v>
      </c>
      <c r="E17" s="87">
        <v>13182677</v>
      </c>
      <c r="F17" s="87">
        <v>12971258</v>
      </c>
      <c r="G17" s="87">
        <v>12904776</v>
      </c>
      <c r="H17" s="87">
        <v>12881909</v>
      </c>
      <c r="I17" s="87">
        <v>12906895</v>
      </c>
      <c r="J17" s="87">
        <v>12844441</v>
      </c>
      <c r="K17" s="87" t="s">
        <v>52</v>
      </c>
      <c r="L17" s="135">
        <f>E17</f>
        <v>13182677</v>
      </c>
    </row>
    <row r="18" spans="1:12" x14ac:dyDescent="0.2">
      <c r="A18" s="7" t="s">
        <v>14</v>
      </c>
      <c r="B18" s="86">
        <v>13266524</v>
      </c>
      <c r="C18" s="86">
        <v>13237112</v>
      </c>
      <c r="D18" s="86">
        <v>13182453</v>
      </c>
      <c r="E18" s="86">
        <v>13182677</v>
      </c>
      <c r="F18" s="86">
        <v>12971258</v>
      </c>
      <c r="G18" s="86">
        <v>12904776</v>
      </c>
      <c r="H18" s="86">
        <v>12881909</v>
      </c>
      <c r="I18" s="86">
        <v>12906895</v>
      </c>
      <c r="J18" s="86">
        <v>12844441</v>
      </c>
      <c r="K18" s="86" t="s">
        <v>52</v>
      </c>
      <c r="L18" s="134">
        <f>E18</f>
        <v>13182677</v>
      </c>
    </row>
    <row r="19" spans="1:12" x14ac:dyDescent="0.2">
      <c r="A19" s="6" t="s">
        <v>15</v>
      </c>
      <c r="B19" s="87">
        <v>1339678</v>
      </c>
      <c r="C19" s="87">
        <v>1343892</v>
      </c>
      <c r="D19" s="87">
        <v>1346346</v>
      </c>
      <c r="E19" s="87">
        <v>1346138</v>
      </c>
      <c r="F19" s="87">
        <v>1342504</v>
      </c>
      <c r="G19" s="87">
        <v>1341834</v>
      </c>
      <c r="H19" s="87">
        <v>1342386</v>
      </c>
      <c r="I19" s="87">
        <v>1345629</v>
      </c>
      <c r="J19" s="87">
        <v>1341412</v>
      </c>
      <c r="K19" s="87" t="s">
        <v>52</v>
      </c>
      <c r="L19" s="135">
        <f>E19</f>
        <v>1346138</v>
      </c>
    </row>
    <row r="20" spans="1:12" x14ac:dyDescent="0.2">
      <c r="A20" s="7" t="s">
        <v>16</v>
      </c>
      <c r="B20" s="86">
        <v>6115654</v>
      </c>
      <c r="C20" s="86">
        <v>6140602</v>
      </c>
      <c r="D20" s="86">
        <v>6164887</v>
      </c>
      <c r="E20" s="86">
        <v>6133159</v>
      </c>
      <c r="F20" s="86">
        <v>6110225</v>
      </c>
      <c r="G20" s="86">
        <v>6233455</v>
      </c>
      <c r="H20" s="86">
        <v>6353900</v>
      </c>
      <c r="I20" s="86">
        <v>6399981</v>
      </c>
      <c r="J20" s="86">
        <v>6391072</v>
      </c>
      <c r="K20" s="86" t="s">
        <v>52</v>
      </c>
      <c r="L20" s="134">
        <f>E20</f>
        <v>6133159</v>
      </c>
    </row>
    <row r="21" spans="1:12" x14ac:dyDescent="0.2">
      <c r="A21" s="6" t="s">
        <v>17</v>
      </c>
      <c r="B21" s="87">
        <v>1575443</v>
      </c>
      <c r="C21" s="87">
        <v>1575530</v>
      </c>
      <c r="D21" s="87">
        <v>1577455</v>
      </c>
      <c r="E21" s="87">
        <v>1574549</v>
      </c>
      <c r="F21" s="87">
        <v>1563919</v>
      </c>
      <c r="G21" s="87">
        <v>1563459</v>
      </c>
      <c r="H21" s="87">
        <v>1567195</v>
      </c>
      <c r="I21" s="87">
        <v>1572498</v>
      </c>
      <c r="J21" s="87">
        <v>1575010</v>
      </c>
      <c r="K21" s="87" t="s">
        <v>52</v>
      </c>
      <c r="L21" s="135">
        <f>E21</f>
        <v>1574549</v>
      </c>
    </row>
    <row r="22" spans="1:12" x14ac:dyDescent="0.2">
      <c r="A22" s="7" t="s">
        <v>18</v>
      </c>
      <c r="B22" s="86">
        <v>3577815</v>
      </c>
      <c r="C22" s="86">
        <v>3611648</v>
      </c>
      <c r="D22" s="86">
        <v>3639892</v>
      </c>
      <c r="E22" s="86">
        <v>3694131</v>
      </c>
      <c r="F22" s="86">
        <v>3692614</v>
      </c>
      <c r="G22" s="86">
        <v>3700187</v>
      </c>
      <c r="H22" s="86">
        <v>3721774</v>
      </c>
      <c r="I22" s="86">
        <v>3760895</v>
      </c>
      <c r="J22" s="86">
        <v>3790295</v>
      </c>
      <c r="K22" s="86" t="s">
        <v>52</v>
      </c>
      <c r="L22" s="134">
        <f>E22</f>
        <v>3694131</v>
      </c>
    </row>
    <row r="23" spans="1:12" x14ac:dyDescent="0.2">
      <c r="A23" s="6" t="s">
        <v>19</v>
      </c>
      <c r="B23" s="87">
        <v>1271460</v>
      </c>
      <c r="C23" s="87">
        <v>1271921</v>
      </c>
      <c r="D23" s="87">
        <v>1273979</v>
      </c>
      <c r="E23" s="87">
        <v>1005404</v>
      </c>
      <c r="F23" s="87">
        <v>993881</v>
      </c>
      <c r="G23" s="87">
        <v>978983</v>
      </c>
      <c r="H23" s="87">
        <v>972093</v>
      </c>
      <c r="I23" s="87">
        <v>973384</v>
      </c>
      <c r="J23" s="87">
        <v>970849</v>
      </c>
      <c r="K23" s="87" t="s">
        <v>52</v>
      </c>
      <c r="L23" s="135">
        <f>E23</f>
        <v>1005404</v>
      </c>
    </row>
    <row r="24" spans="1:12" x14ac:dyDescent="0.2">
      <c r="A24" s="7" t="s">
        <v>20</v>
      </c>
      <c r="B24" s="86">
        <v>19325115</v>
      </c>
      <c r="C24" s="86">
        <v>19289420</v>
      </c>
      <c r="D24" s="86">
        <v>19232494</v>
      </c>
      <c r="E24" s="86">
        <v>19999993</v>
      </c>
      <c r="F24" s="86">
        <v>19704474</v>
      </c>
      <c r="G24" s="86">
        <v>19629390</v>
      </c>
      <c r="H24" s="86">
        <v>19788976</v>
      </c>
      <c r="I24" s="86">
        <v>20080087</v>
      </c>
      <c r="J24" s="86">
        <v>20112448</v>
      </c>
      <c r="K24" s="86" t="s">
        <v>52</v>
      </c>
      <c r="L24" s="134">
        <f>E24</f>
        <v>19999993</v>
      </c>
    </row>
    <row r="25" spans="1:12" x14ac:dyDescent="0.2">
      <c r="A25" s="6" t="s">
        <v>21</v>
      </c>
      <c r="B25" s="87">
        <v>1381897</v>
      </c>
      <c r="C25" s="87">
        <v>1394449</v>
      </c>
      <c r="D25" s="87">
        <v>1409988</v>
      </c>
      <c r="E25" s="87">
        <v>1430019</v>
      </c>
      <c r="F25" s="87">
        <v>1444349</v>
      </c>
      <c r="G25" s="87">
        <v>1462720</v>
      </c>
      <c r="H25" s="87">
        <v>1481123</v>
      </c>
      <c r="I25" s="87">
        <v>1499068</v>
      </c>
      <c r="J25" s="87">
        <v>1512813</v>
      </c>
      <c r="K25" s="87" t="s">
        <v>52</v>
      </c>
      <c r="L25" s="135">
        <f>E25</f>
        <v>1430019</v>
      </c>
    </row>
    <row r="26" spans="1:12" x14ac:dyDescent="0.2">
      <c r="A26" s="7" t="s">
        <v>22</v>
      </c>
      <c r="B26" s="86">
        <v>2519926</v>
      </c>
      <c r="C26" s="86">
        <v>2576297</v>
      </c>
      <c r="D26" s="86">
        <v>2608273</v>
      </c>
      <c r="E26" s="86">
        <v>2680430</v>
      </c>
      <c r="F26" s="86">
        <v>2699589</v>
      </c>
      <c r="G26" s="86">
        <v>2786534</v>
      </c>
      <c r="H26" s="86">
        <v>2863651</v>
      </c>
      <c r="I26" s="86">
        <v>2919982</v>
      </c>
      <c r="J26" s="86">
        <v>2957672</v>
      </c>
      <c r="K26" s="86" t="s">
        <v>52</v>
      </c>
      <c r="L26" s="134">
        <f>E26</f>
        <v>2680430</v>
      </c>
    </row>
    <row r="27" spans="1:12" x14ac:dyDescent="0.2">
      <c r="A27" s="6" t="s">
        <v>23</v>
      </c>
      <c r="B27" s="87">
        <v>6082355</v>
      </c>
      <c r="C27" s="87">
        <v>6096805</v>
      </c>
      <c r="D27" s="87">
        <v>6104777</v>
      </c>
      <c r="E27" s="87">
        <v>6242164</v>
      </c>
      <c r="F27" s="87">
        <v>6255303</v>
      </c>
      <c r="G27" s="87">
        <v>6254276</v>
      </c>
      <c r="H27" s="87">
        <v>6277370</v>
      </c>
      <c r="I27" s="87">
        <v>6313158</v>
      </c>
      <c r="J27" s="87">
        <v>6329118</v>
      </c>
      <c r="K27" s="87" t="s">
        <v>52</v>
      </c>
      <c r="L27" s="135">
        <f>E27</f>
        <v>6242164</v>
      </c>
    </row>
    <row r="28" spans="1:12" x14ac:dyDescent="0.2">
      <c r="A28" s="7" t="s">
        <v>24</v>
      </c>
      <c r="B28" s="86">
        <v>4760717</v>
      </c>
      <c r="C28" s="86">
        <v>4851830</v>
      </c>
      <c r="D28" s="86">
        <v>4953901</v>
      </c>
      <c r="E28" s="86">
        <v>4875256</v>
      </c>
      <c r="F28" s="86">
        <v>4949187</v>
      </c>
      <c r="G28" s="86">
        <v>5025111</v>
      </c>
      <c r="H28" s="86">
        <v>5087631</v>
      </c>
      <c r="I28" s="86">
        <v>5169873</v>
      </c>
      <c r="J28" s="86">
        <v>5228938</v>
      </c>
      <c r="K28" s="86" t="s">
        <v>52</v>
      </c>
      <c r="L28" s="134">
        <f>E28</f>
        <v>4875256</v>
      </c>
    </row>
    <row r="29" spans="1:12" x14ac:dyDescent="0.2">
      <c r="A29" s="6" t="s">
        <v>25</v>
      </c>
      <c r="B29" s="87">
        <v>2457258</v>
      </c>
      <c r="C29" s="87">
        <v>2475249</v>
      </c>
      <c r="D29" s="87">
        <v>2492479</v>
      </c>
      <c r="E29" s="87">
        <v>2517518</v>
      </c>
      <c r="F29" s="87">
        <v>2517451</v>
      </c>
      <c r="G29" s="87">
        <v>2509813</v>
      </c>
      <c r="H29" s="87">
        <v>2519045</v>
      </c>
      <c r="I29" s="87">
        <v>2531245</v>
      </c>
      <c r="J29" s="87">
        <v>2542282</v>
      </c>
      <c r="K29" s="87" t="s">
        <v>52</v>
      </c>
      <c r="L29" s="135">
        <f>E29</f>
        <v>2517518</v>
      </c>
    </row>
    <row r="30" spans="1:12" x14ac:dyDescent="0.2">
      <c r="A30" s="7" t="s">
        <v>26</v>
      </c>
      <c r="B30" s="86">
        <v>2320595</v>
      </c>
      <c r="C30" s="86">
        <v>2343292</v>
      </c>
      <c r="D30" s="86">
        <v>2363654</v>
      </c>
      <c r="E30" s="86">
        <v>2401737</v>
      </c>
      <c r="F30" s="86">
        <v>2409135</v>
      </c>
      <c r="G30" s="86">
        <v>2422944</v>
      </c>
      <c r="H30" s="86">
        <v>2435884</v>
      </c>
      <c r="I30" s="86">
        <v>2459807</v>
      </c>
      <c r="J30" s="86">
        <v>2477274</v>
      </c>
      <c r="K30" s="86" t="s">
        <v>52</v>
      </c>
      <c r="L30" s="134">
        <f>E30</f>
        <v>2401737</v>
      </c>
    </row>
    <row r="31" spans="1:12" x14ac:dyDescent="0.2">
      <c r="A31" s="6" t="s">
        <v>27</v>
      </c>
      <c r="B31" s="87">
        <v>2471603</v>
      </c>
      <c r="C31" s="87">
        <v>2512526</v>
      </c>
      <c r="D31" s="87">
        <v>2550147</v>
      </c>
      <c r="E31" s="87">
        <v>2568772</v>
      </c>
      <c r="F31" s="87">
        <v>2605822</v>
      </c>
      <c r="G31" s="87">
        <v>2661946</v>
      </c>
      <c r="H31" s="87">
        <v>2719892</v>
      </c>
      <c r="I31" s="87">
        <v>2774738</v>
      </c>
      <c r="J31" s="87">
        <v>2813140</v>
      </c>
      <c r="K31" s="87" t="s">
        <v>52</v>
      </c>
      <c r="L31" s="135">
        <f>E31</f>
        <v>2568772</v>
      </c>
    </row>
    <row r="32" spans="1:12" x14ac:dyDescent="0.2">
      <c r="A32" s="7" t="s">
        <v>28</v>
      </c>
      <c r="B32" s="86">
        <v>6202798</v>
      </c>
      <c r="C32" s="86">
        <v>6313488</v>
      </c>
      <c r="D32" s="86">
        <v>6426293</v>
      </c>
      <c r="E32" s="86">
        <v>6491939</v>
      </c>
      <c r="F32" s="86">
        <v>6472951</v>
      </c>
      <c r="G32" s="86">
        <v>6591642</v>
      </c>
      <c r="H32" s="86">
        <v>6840723</v>
      </c>
      <c r="I32" s="86">
        <v>7109866</v>
      </c>
      <c r="J32" s="86">
        <v>7108874</v>
      </c>
      <c r="K32" s="86" t="s">
        <v>52</v>
      </c>
      <c r="L32" s="134">
        <f>E32</f>
        <v>6491939</v>
      </c>
    </row>
    <row r="33" spans="1:12" x14ac:dyDescent="0.2">
      <c r="A33" s="6" t="s">
        <v>29</v>
      </c>
      <c r="B33" s="87">
        <v>1204763</v>
      </c>
      <c r="C33" s="87">
        <v>1218895</v>
      </c>
      <c r="D33" s="87">
        <v>1230695</v>
      </c>
      <c r="E33" s="87">
        <v>1260358</v>
      </c>
      <c r="F33" s="87">
        <v>1263430</v>
      </c>
      <c r="G33" s="87">
        <v>1274775</v>
      </c>
      <c r="H33" s="87">
        <v>1287775</v>
      </c>
      <c r="I33" s="87">
        <v>1302282</v>
      </c>
      <c r="J33" s="87">
        <v>1308377</v>
      </c>
      <c r="K33" s="87" t="s">
        <v>52</v>
      </c>
      <c r="L33" s="135">
        <f>E33</f>
        <v>1260358</v>
      </c>
    </row>
    <row r="34" spans="1:12" x14ac:dyDescent="0.2">
      <c r="A34" s="7" t="s">
        <v>30</v>
      </c>
      <c r="B34" s="86">
        <v>6217791</v>
      </c>
      <c r="C34" s="86">
        <v>6256312</v>
      </c>
      <c r="D34" s="86">
        <v>6297454</v>
      </c>
      <c r="E34" s="86">
        <v>6260638</v>
      </c>
      <c r="F34" s="86">
        <v>6259621</v>
      </c>
      <c r="G34" s="86">
        <v>6280312</v>
      </c>
      <c r="H34" s="86">
        <v>6328730</v>
      </c>
      <c r="I34" s="86">
        <v>6415518</v>
      </c>
      <c r="J34" s="86">
        <v>6465724</v>
      </c>
      <c r="K34" s="86" t="s">
        <v>52</v>
      </c>
      <c r="L34" s="134">
        <f>E34</f>
        <v>6260638</v>
      </c>
    </row>
    <row r="36" spans="1:12" x14ac:dyDescent="0.2">
      <c r="A36" s="66" t="s">
        <v>216</v>
      </c>
      <c r="B36" s="67" t="s">
        <v>32</v>
      </c>
      <c r="C36" s="67" t="s">
        <v>33</v>
      </c>
      <c r="D36" s="67" t="s">
        <v>34</v>
      </c>
      <c r="E36" s="67" t="s">
        <v>35</v>
      </c>
      <c r="F36" s="67" t="s">
        <v>36</v>
      </c>
      <c r="G36" s="67" t="s">
        <v>37</v>
      </c>
      <c r="H36" s="67" t="s">
        <v>38</v>
      </c>
      <c r="I36" s="67" t="s">
        <v>39</v>
      </c>
      <c r="J36" s="67" t="s">
        <v>40</v>
      </c>
      <c r="K36" s="67" t="s">
        <v>41</v>
      </c>
    </row>
    <row r="37" spans="1:12" ht="20" customHeight="1" x14ac:dyDescent="0.2">
      <c r="A37" s="70" t="s">
        <v>217</v>
      </c>
      <c r="B37" s="71" t="s">
        <v>218</v>
      </c>
      <c r="C37" s="71" t="s">
        <v>219</v>
      </c>
      <c r="D37" s="71" t="s">
        <v>220</v>
      </c>
      <c r="E37" s="71" t="s">
        <v>221</v>
      </c>
      <c r="F37" s="71" t="s">
        <v>222</v>
      </c>
      <c r="G37" s="71" t="s">
        <v>223</v>
      </c>
      <c r="H37" s="71" t="s">
        <v>224</v>
      </c>
      <c r="I37" s="71" t="s">
        <v>225</v>
      </c>
      <c r="J37" s="71" t="s">
        <v>226</v>
      </c>
      <c r="K37" s="71" t="s">
        <v>227</v>
      </c>
    </row>
    <row r="38" spans="1:12" x14ac:dyDescent="0.2">
      <c r="A38" s="68" t="s">
        <v>1</v>
      </c>
      <c r="B38" s="75" t="s">
        <v>52</v>
      </c>
      <c r="C38" s="75" t="s">
        <v>52</v>
      </c>
      <c r="D38" s="75" t="s">
        <v>52</v>
      </c>
      <c r="E38" s="75" t="s">
        <v>52</v>
      </c>
      <c r="F38" s="75" t="s">
        <v>52</v>
      </c>
      <c r="G38" s="75" t="s">
        <v>52</v>
      </c>
      <c r="H38" s="75" t="s">
        <v>52</v>
      </c>
      <c r="I38" s="75">
        <v>6</v>
      </c>
      <c r="J38" s="75">
        <v>7</v>
      </c>
      <c r="K38" s="75" t="s">
        <v>52</v>
      </c>
    </row>
    <row r="39" spans="1:12" x14ac:dyDescent="0.2">
      <c r="A39" s="7" t="s">
        <v>2</v>
      </c>
      <c r="B39" s="76" t="s">
        <v>52</v>
      </c>
      <c r="C39" s="76" t="s">
        <v>52</v>
      </c>
      <c r="D39" s="76" t="s">
        <v>52</v>
      </c>
      <c r="E39" s="76" t="s">
        <v>52</v>
      </c>
      <c r="F39" s="76" t="s">
        <v>52</v>
      </c>
      <c r="G39" s="76" t="s">
        <v>52</v>
      </c>
      <c r="H39" s="76" t="s">
        <v>52</v>
      </c>
      <c r="I39" s="76">
        <v>9</v>
      </c>
      <c r="J39" s="76">
        <v>9</v>
      </c>
      <c r="K39" s="76" t="s">
        <v>52</v>
      </c>
    </row>
    <row r="40" spans="1:12" x14ac:dyDescent="0.2">
      <c r="A40" s="6" t="s">
        <v>3</v>
      </c>
      <c r="B40" s="77" t="s">
        <v>52</v>
      </c>
      <c r="C40" s="77" t="s">
        <v>52</v>
      </c>
      <c r="D40" s="77" t="s">
        <v>52</v>
      </c>
      <c r="E40" s="77" t="s">
        <v>52</v>
      </c>
      <c r="F40" s="77" t="s">
        <v>52</v>
      </c>
      <c r="G40" s="77" t="s">
        <v>52</v>
      </c>
      <c r="H40" s="77" t="s">
        <v>52</v>
      </c>
      <c r="I40" s="77">
        <v>1</v>
      </c>
      <c r="J40" s="77">
        <v>1</v>
      </c>
      <c r="K40" s="77" t="s">
        <v>52</v>
      </c>
    </row>
    <row r="41" spans="1:12" x14ac:dyDescent="0.2">
      <c r="A41" s="7" t="s">
        <v>4</v>
      </c>
      <c r="B41" s="76" t="s">
        <v>52</v>
      </c>
      <c r="C41" s="76" t="s">
        <v>52</v>
      </c>
      <c r="D41" s="76" t="s">
        <v>52</v>
      </c>
      <c r="E41" s="76" t="s">
        <v>52</v>
      </c>
      <c r="F41" s="76" t="s">
        <v>52</v>
      </c>
      <c r="G41" s="76" t="s">
        <v>52</v>
      </c>
      <c r="H41" s="76" t="s">
        <v>52</v>
      </c>
      <c r="I41" s="76">
        <v>21</v>
      </c>
      <c r="J41" s="76">
        <v>21</v>
      </c>
      <c r="K41" s="76" t="s">
        <v>52</v>
      </c>
    </row>
    <row r="42" spans="1:12" x14ac:dyDescent="0.2">
      <c r="A42" s="6" t="s">
        <v>5</v>
      </c>
      <c r="B42" s="77" t="s">
        <v>52</v>
      </c>
      <c r="C42" s="77" t="s">
        <v>52</v>
      </c>
      <c r="D42" s="77" t="s">
        <v>52</v>
      </c>
      <c r="E42" s="77" t="s">
        <v>52</v>
      </c>
      <c r="F42" s="77" t="s">
        <v>52</v>
      </c>
      <c r="G42" s="77" t="s">
        <v>52</v>
      </c>
      <c r="H42" s="77" t="s">
        <v>52</v>
      </c>
      <c r="I42" s="77">
        <v>3</v>
      </c>
      <c r="J42" s="77">
        <v>3</v>
      </c>
      <c r="K42" s="77" t="s">
        <v>52</v>
      </c>
    </row>
    <row r="43" spans="1:12" x14ac:dyDescent="0.2">
      <c r="A43" s="7" t="s">
        <v>6</v>
      </c>
      <c r="B43" s="76" t="s">
        <v>52</v>
      </c>
      <c r="C43" s="76" t="s">
        <v>52</v>
      </c>
      <c r="D43" s="76" t="s">
        <v>52</v>
      </c>
      <c r="E43" s="76" t="s">
        <v>52</v>
      </c>
      <c r="F43" s="76" t="s">
        <v>52</v>
      </c>
      <c r="G43" s="76" t="s">
        <v>52</v>
      </c>
      <c r="H43" s="76" t="s">
        <v>52</v>
      </c>
      <c r="I43" s="76">
        <v>19</v>
      </c>
      <c r="J43" s="76">
        <v>19</v>
      </c>
      <c r="K43" s="76" t="s">
        <v>52</v>
      </c>
    </row>
    <row r="44" spans="1:12" x14ac:dyDescent="0.2">
      <c r="A44" s="6" t="s">
        <v>7</v>
      </c>
      <c r="B44" s="77" t="s">
        <v>52</v>
      </c>
      <c r="C44" s="77" t="s">
        <v>52</v>
      </c>
      <c r="D44" s="77" t="s">
        <v>52</v>
      </c>
      <c r="E44" s="77" t="s">
        <v>52</v>
      </c>
      <c r="F44" s="77" t="s">
        <v>52</v>
      </c>
      <c r="G44" s="77" t="s">
        <v>52</v>
      </c>
      <c r="H44" s="77" t="s">
        <v>52</v>
      </c>
      <c r="I44" s="77">
        <v>5</v>
      </c>
      <c r="J44" s="77">
        <v>4</v>
      </c>
      <c r="K44" s="77" t="s">
        <v>52</v>
      </c>
    </row>
    <row r="45" spans="1:12" x14ac:dyDescent="0.2">
      <c r="A45" s="7" t="s">
        <v>8</v>
      </c>
      <c r="B45" s="76" t="s">
        <v>52</v>
      </c>
      <c r="C45" s="76" t="s">
        <v>52</v>
      </c>
      <c r="D45" s="76" t="s">
        <v>52</v>
      </c>
      <c r="E45" s="76" t="s">
        <v>52</v>
      </c>
      <c r="F45" s="76" t="s">
        <v>52</v>
      </c>
      <c r="G45" s="76" t="s">
        <v>52</v>
      </c>
      <c r="H45" s="76" t="s">
        <v>52</v>
      </c>
      <c r="I45" s="76">
        <v>16</v>
      </c>
      <c r="J45" s="76">
        <v>17</v>
      </c>
      <c r="K45" s="76" t="s">
        <v>52</v>
      </c>
    </row>
    <row r="46" spans="1:12" x14ac:dyDescent="0.2">
      <c r="A46" s="6" t="s">
        <v>9</v>
      </c>
      <c r="B46" s="77" t="s">
        <v>52</v>
      </c>
      <c r="C46" s="77" t="s">
        <v>52</v>
      </c>
      <c r="D46" s="77" t="s">
        <v>52</v>
      </c>
      <c r="E46" s="77" t="s">
        <v>52</v>
      </c>
      <c r="F46" s="77" t="s">
        <v>52</v>
      </c>
      <c r="G46" s="77" t="s">
        <v>52</v>
      </c>
      <c r="H46" s="77" t="s">
        <v>52</v>
      </c>
      <c r="I46" s="77">
        <v>14</v>
      </c>
      <c r="J46" s="77">
        <v>14</v>
      </c>
      <c r="K46" s="77" t="s">
        <v>52</v>
      </c>
    </row>
    <row r="47" spans="1:12" x14ac:dyDescent="0.2">
      <c r="A47" s="7" t="s">
        <v>10</v>
      </c>
      <c r="B47" s="76" t="s">
        <v>52</v>
      </c>
      <c r="C47" s="76" t="s">
        <v>52</v>
      </c>
      <c r="D47" s="76" t="s">
        <v>52</v>
      </c>
      <c r="E47" s="76" t="s">
        <v>52</v>
      </c>
      <c r="F47" s="76" t="s">
        <v>52</v>
      </c>
      <c r="G47" s="76" t="s">
        <v>52</v>
      </c>
      <c r="H47" s="76" t="s">
        <v>52</v>
      </c>
      <c r="I47" s="76">
        <v>10</v>
      </c>
      <c r="J47" s="76">
        <v>10</v>
      </c>
      <c r="K47" s="76" t="s">
        <v>52</v>
      </c>
    </row>
    <row r="48" spans="1:12" x14ac:dyDescent="0.2">
      <c r="A48" s="6" t="s">
        <v>11</v>
      </c>
      <c r="B48" s="77" t="s">
        <v>52</v>
      </c>
      <c r="C48" s="77" t="s">
        <v>52</v>
      </c>
      <c r="D48" s="77" t="s">
        <v>52</v>
      </c>
      <c r="E48" s="77" t="s">
        <v>52</v>
      </c>
      <c r="F48" s="77" t="s">
        <v>52</v>
      </c>
      <c r="G48" s="77" t="s">
        <v>52</v>
      </c>
      <c r="H48" s="77" t="s">
        <v>52</v>
      </c>
      <c r="I48" s="77">
        <v>7</v>
      </c>
      <c r="J48" s="77">
        <v>6</v>
      </c>
      <c r="K48" s="77" t="s">
        <v>52</v>
      </c>
    </row>
    <row r="49" spans="1:11" x14ac:dyDescent="0.2">
      <c r="A49" s="7" t="s">
        <v>12</v>
      </c>
      <c r="B49" s="76" t="s">
        <v>52</v>
      </c>
      <c r="C49" s="76" t="s">
        <v>52</v>
      </c>
      <c r="D49" s="76" t="s">
        <v>52</v>
      </c>
      <c r="E49" s="76" t="s">
        <v>52</v>
      </c>
      <c r="F49" s="76" t="s">
        <v>52</v>
      </c>
      <c r="G49" s="76" t="s">
        <v>52</v>
      </c>
      <c r="H49" s="76" t="s">
        <v>52</v>
      </c>
      <c r="I49" s="76">
        <v>25</v>
      </c>
      <c r="J49" s="76">
        <v>25</v>
      </c>
      <c r="K49" s="76" t="s">
        <v>52</v>
      </c>
    </row>
    <row r="50" spans="1:11" x14ac:dyDescent="0.2">
      <c r="A50" s="6" t="s">
        <v>13</v>
      </c>
      <c r="B50" s="77" t="s">
        <v>52</v>
      </c>
      <c r="C50" s="77" t="s">
        <v>52</v>
      </c>
      <c r="D50" s="77" t="s">
        <v>52</v>
      </c>
      <c r="E50" s="77" t="s">
        <v>52</v>
      </c>
      <c r="F50" s="77" t="s">
        <v>52</v>
      </c>
      <c r="G50" s="77" t="s">
        <v>52</v>
      </c>
      <c r="H50" s="77" t="s">
        <v>52</v>
      </c>
      <c r="I50" s="77">
        <v>2</v>
      </c>
      <c r="J50" s="77">
        <v>2</v>
      </c>
      <c r="K50" s="77" t="s">
        <v>52</v>
      </c>
    </row>
    <row r="51" spans="1:11" x14ac:dyDescent="0.2">
      <c r="A51" s="7" t="s">
        <v>14</v>
      </c>
      <c r="B51" s="76" t="s">
        <v>52</v>
      </c>
      <c r="C51" s="76" t="s">
        <v>52</v>
      </c>
      <c r="D51" s="76" t="s">
        <v>52</v>
      </c>
      <c r="E51" s="76" t="s">
        <v>52</v>
      </c>
      <c r="F51" s="76" t="s">
        <v>52</v>
      </c>
      <c r="G51" s="76" t="s">
        <v>52</v>
      </c>
      <c r="H51" s="76" t="s">
        <v>52</v>
      </c>
      <c r="I51" s="76">
        <v>2</v>
      </c>
      <c r="J51" s="76">
        <v>2</v>
      </c>
      <c r="K51" s="76" t="s">
        <v>52</v>
      </c>
    </row>
    <row r="52" spans="1:11" x14ac:dyDescent="0.2">
      <c r="A52" s="6" t="s">
        <v>15</v>
      </c>
      <c r="B52" s="77" t="s">
        <v>52</v>
      </c>
      <c r="C52" s="77" t="s">
        <v>52</v>
      </c>
      <c r="D52" s="77" t="s">
        <v>52</v>
      </c>
      <c r="E52" s="77" t="s">
        <v>52</v>
      </c>
      <c r="F52" s="77" t="s">
        <v>52</v>
      </c>
      <c r="G52" s="77" t="s">
        <v>52</v>
      </c>
      <c r="H52" s="77" t="s">
        <v>52</v>
      </c>
      <c r="I52" s="77">
        <v>52</v>
      </c>
      <c r="J52" s="77">
        <v>51</v>
      </c>
      <c r="K52" s="77" t="s">
        <v>52</v>
      </c>
    </row>
    <row r="53" spans="1:11" x14ac:dyDescent="0.2">
      <c r="A53" s="7" t="s">
        <v>16</v>
      </c>
      <c r="B53" s="76" t="s">
        <v>52</v>
      </c>
      <c r="C53" s="76" t="s">
        <v>52</v>
      </c>
      <c r="D53" s="76" t="s">
        <v>52</v>
      </c>
      <c r="E53" s="76" t="s">
        <v>52</v>
      </c>
      <c r="F53" s="76" t="s">
        <v>52</v>
      </c>
      <c r="G53" s="76" t="s">
        <v>52</v>
      </c>
      <c r="H53" s="76" t="s">
        <v>52</v>
      </c>
      <c r="I53" s="76">
        <v>18</v>
      </c>
      <c r="J53" s="76">
        <v>18</v>
      </c>
      <c r="K53" s="76" t="s">
        <v>52</v>
      </c>
    </row>
    <row r="54" spans="1:11" x14ac:dyDescent="0.2">
      <c r="A54" s="6" t="s">
        <v>17</v>
      </c>
      <c r="B54" s="77" t="s">
        <v>52</v>
      </c>
      <c r="C54" s="77" t="s">
        <v>52</v>
      </c>
      <c r="D54" s="77" t="s">
        <v>52</v>
      </c>
      <c r="E54" s="77" t="s">
        <v>52</v>
      </c>
      <c r="F54" s="77" t="s">
        <v>52</v>
      </c>
      <c r="G54" s="77" t="s">
        <v>52</v>
      </c>
      <c r="H54" s="77" t="s">
        <v>52</v>
      </c>
      <c r="I54" s="77">
        <v>38</v>
      </c>
      <c r="J54" s="77">
        <v>38</v>
      </c>
      <c r="K54" s="77" t="s">
        <v>52</v>
      </c>
    </row>
    <row r="55" spans="1:11" x14ac:dyDescent="0.2">
      <c r="A55" s="7" t="s">
        <v>18</v>
      </c>
      <c r="B55" s="76" t="s">
        <v>52</v>
      </c>
      <c r="C55" s="76" t="s">
        <v>52</v>
      </c>
      <c r="D55" s="76" t="s">
        <v>52</v>
      </c>
      <c r="E55" s="76" t="s">
        <v>52</v>
      </c>
      <c r="F55" s="76" t="s">
        <v>52</v>
      </c>
      <c r="G55" s="76" t="s">
        <v>52</v>
      </c>
      <c r="H55" s="76" t="s">
        <v>52</v>
      </c>
      <c r="I55" s="76">
        <v>15</v>
      </c>
      <c r="J55" s="76">
        <v>16</v>
      </c>
      <c r="K55" s="76" t="s">
        <v>52</v>
      </c>
    </row>
    <row r="56" spans="1:11" x14ac:dyDescent="0.2">
      <c r="A56" s="6" t="s">
        <v>19</v>
      </c>
      <c r="B56" s="77" t="s">
        <v>52</v>
      </c>
      <c r="C56" s="77" t="s">
        <v>52</v>
      </c>
      <c r="D56" s="77" t="s">
        <v>52</v>
      </c>
      <c r="E56" s="77" t="s">
        <v>52</v>
      </c>
      <c r="F56" s="77" t="s">
        <v>52</v>
      </c>
      <c r="G56" s="77" t="s">
        <v>52</v>
      </c>
      <c r="H56" s="77" t="s">
        <v>52</v>
      </c>
      <c r="I56" s="77">
        <v>50</v>
      </c>
      <c r="J56" s="77">
        <v>50</v>
      </c>
      <c r="K56" s="77" t="s">
        <v>52</v>
      </c>
    </row>
    <row r="57" spans="1:11" x14ac:dyDescent="0.2">
      <c r="A57" s="7" t="s">
        <v>20</v>
      </c>
      <c r="B57" s="76" t="s">
        <v>52</v>
      </c>
      <c r="C57" s="76" t="s">
        <v>52</v>
      </c>
      <c r="D57" s="76" t="s">
        <v>52</v>
      </c>
      <c r="E57" s="76" t="s">
        <v>52</v>
      </c>
      <c r="F57" s="76" t="s">
        <v>52</v>
      </c>
      <c r="G57" s="76" t="s">
        <v>52</v>
      </c>
      <c r="H57" s="76" t="s">
        <v>52</v>
      </c>
      <c r="I57" s="76">
        <v>1</v>
      </c>
      <c r="J57" s="76">
        <v>1</v>
      </c>
      <c r="K57" s="76" t="s">
        <v>52</v>
      </c>
    </row>
    <row r="58" spans="1:11" x14ac:dyDescent="0.2">
      <c r="A58" s="6" t="s">
        <v>21</v>
      </c>
      <c r="B58" s="77" t="s">
        <v>52</v>
      </c>
      <c r="C58" s="77" t="s">
        <v>52</v>
      </c>
      <c r="D58" s="77" t="s">
        <v>52</v>
      </c>
      <c r="E58" s="77" t="s">
        <v>52</v>
      </c>
      <c r="F58" s="77" t="s">
        <v>52</v>
      </c>
      <c r="G58" s="77" t="s">
        <v>52</v>
      </c>
      <c r="H58" s="77" t="s">
        <v>52</v>
      </c>
      <c r="I58" s="77">
        <v>46</v>
      </c>
      <c r="J58" s="77">
        <v>47</v>
      </c>
      <c r="K58" s="77" t="s">
        <v>52</v>
      </c>
    </row>
    <row r="59" spans="1:11" x14ac:dyDescent="0.2">
      <c r="A59" s="7" t="s">
        <v>22</v>
      </c>
      <c r="B59" s="76" t="s">
        <v>52</v>
      </c>
      <c r="C59" s="76" t="s">
        <v>52</v>
      </c>
      <c r="D59" s="76" t="s">
        <v>52</v>
      </c>
      <c r="E59" s="76" t="s">
        <v>52</v>
      </c>
      <c r="F59" s="76" t="s">
        <v>52</v>
      </c>
      <c r="G59" s="76" t="s">
        <v>52</v>
      </c>
      <c r="H59" s="76" t="s">
        <v>52</v>
      </c>
      <c r="I59" s="76">
        <v>17</v>
      </c>
      <c r="J59" s="76">
        <v>15</v>
      </c>
      <c r="K59" s="76" t="s">
        <v>52</v>
      </c>
    </row>
    <row r="60" spans="1:11" x14ac:dyDescent="0.2">
      <c r="A60" s="6" t="s">
        <v>23</v>
      </c>
      <c r="B60" s="77" t="s">
        <v>52</v>
      </c>
      <c r="C60" s="77" t="s">
        <v>52</v>
      </c>
      <c r="D60" s="77" t="s">
        <v>52</v>
      </c>
      <c r="E60" s="77" t="s">
        <v>52</v>
      </c>
      <c r="F60" s="77" t="s">
        <v>52</v>
      </c>
      <c r="G60" s="77" t="s">
        <v>52</v>
      </c>
      <c r="H60" s="77" t="s">
        <v>52</v>
      </c>
      <c r="I60" s="77">
        <v>4</v>
      </c>
      <c r="J60" s="77">
        <v>5</v>
      </c>
      <c r="K60" s="77" t="s">
        <v>52</v>
      </c>
    </row>
    <row r="61" spans="1:11" x14ac:dyDescent="0.2">
      <c r="A61" s="7" t="s">
        <v>24</v>
      </c>
      <c r="B61" s="76" t="s">
        <v>52</v>
      </c>
      <c r="C61" s="76" t="s">
        <v>52</v>
      </c>
      <c r="D61" s="76" t="s">
        <v>52</v>
      </c>
      <c r="E61" s="76" t="s">
        <v>52</v>
      </c>
      <c r="F61" s="76" t="s">
        <v>52</v>
      </c>
      <c r="G61" s="76" t="s">
        <v>52</v>
      </c>
      <c r="H61" s="76" t="s">
        <v>52</v>
      </c>
      <c r="I61" s="76">
        <v>11</v>
      </c>
      <c r="J61" s="76">
        <v>12</v>
      </c>
      <c r="K61" s="76" t="s">
        <v>52</v>
      </c>
    </row>
    <row r="62" spans="1:11" x14ac:dyDescent="0.2">
      <c r="A62" s="6" t="s">
        <v>25</v>
      </c>
      <c r="B62" s="77" t="s">
        <v>52</v>
      </c>
      <c r="C62" s="77" t="s">
        <v>52</v>
      </c>
      <c r="D62" s="77" t="s">
        <v>52</v>
      </c>
      <c r="E62" s="77" t="s">
        <v>52</v>
      </c>
      <c r="F62" s="77" t="s">
        <v>52</v>
      </c>
      <c r="G62" s="77" t="s">
        <v>52</v>
      </c>
      <c r="H62" s="77" t="s">
        <v>52</v>
      </c>
      <c r="I62" s="77">
        <v>22</v>
      </c>
      <c r="J62" s="77">
        <v>23</v>
      </c>
      <c r="K62" s="77" t="s">
        <v>52</v>
      </c>
    </row>
    <row r="63" spans="1:11" x14ac:dyDescent="0.2">
      <c r="A63" s="7" t="s">
        <v>26</v>
      </c>
      <c r="B63" s="76" t="s">
        <v>52</v>
      </c>
      <c r="C63" s="76" t="s">
        <v>52</v>
      </c>
      <c r="D63" s="76" t="s">
        <v>52</v>
      </c>
      <c r="E63" s="76" t="s">
        <v>52</v>
      </c>
      <c r="F63" s="76" t="s">
        <v>52</v>
      </c>
      <c r="G63" s="76" t="s">
        <v>52</v>
      </c>
      <c r="H63" s="76" t="s">
        <v>52</v>
      </c>
      <c r="I63" s="76">
        <v>20</v>
      </c>
      <c r="J63" s="76">
        <v>20</v>
      </c>
      <c r="K63" s="76" t="s">
        <v>52</v>
      </c>
    </row>
    <row r="64" spans="1:11" x14ac:dyDescent="0.2">
      <c r="A64" s="6" t="s">
        <v>27</v>
      </c>
      <c r="B64" s="77" t="s">
        <v>52</v>
      </c>
      <c r="C64" s="77" t="s">
        <v>52</v>
      </c>
      <c r="D64" s="77" t="s">
        <v>52</v>
      </c>
      <c r="E64" s="77" t="s">
        <v>52</v>
      </c>
      <c r="F64" s="77" t="s">
        <v>52</v>
      </c>
      <c r="G64" s="77" t="s">
        <v>52</v>
      </c>
      <c r="H64" s="77" t="s">
        <v>52</v>
      </c>
      <c r="I64" s="77">
        <v>31</v>
      </c>
      <c r="J64" s="77">
        <v>31</v>
      </c>
      <c r="K64" s="77" t="s">
        <v>52</v>
      </c>
    </row>
    <row r="65" spans="1:11" x14ac:dyDescent="0.2">
      <c r="A65" s="7" t="s">
        <v>28</v>
      </c>
      <c r="B65" s="76" t="s">
        <v>52</v>
      </c>
      <c r="C65" s="76" t="s">
        <v>52</v>
      </c>
      <c r="D65" s="76" t="s">
        <v>52</v>
      </c>
      <c r="E65" s="76" t="s">
        <v>52</v>
      </c>
      <c r="F65" s="76" t="s">
        <v>52</v>
      </c>
      <c r="G65" s="76" t="s">
        <v>52</v>
      </c>
      <c r="H65" s="76" t="s">
        <v>52</v>
      </c>
      <c r="I65" s="76" t="s">
        <v>52</v>
      </c>
      <c r="J65" s="76" t="s">
        <v>52</v>
      </c>
      <c r="K65" s="76" t="s">
        <v>52</v>
      </c>
    </row>
    <row r="66" spans="1:11" x14ac:dyDescent="0.2">
      <c r="A66" s="6" t="s">
        <v>29</v>
      </c>
      <c r="B66" s="77" t="s">
        <v>52</v>
      </c>
      <c r="C66" s="77" t="s">
        <v>52</v>
      </c>
      <c r="D66" s="77" t="s">
        <v>52</v>
      </c>
      <c r="E66" s="77" t="s">
        <v>52</v>
      </c>
      <c r="F66" s="77" t="s">
        <v>52</v>
      </c>
      <c r="G66" s="77" t="s">
        <v>52</v>
      </c>
      <c r="H66" s="77" t="s">
        <v>52</v>
      </c>
      <c r="I66" s="77">
        <v>29</v>
      </c>
      <c r="J66" s="77">
        <v>28</v>
      </c>
      <c r="K66" s="77" t="s">
        <v>52</v>
      </c>
    </row>
    <row r="67" spans="1:11" x14ac:dyDescent="0.2">
      <c r="A67" s="7" t="s">
        <v>30</v>
      </c>
      <c r="B67" s="76" t="s">
        <v>52</v>
      </c>
      <c r="C67" s="76" t="s">
        <v>52</v>
      </c>
      <c r="D67" s="76" t="s">
        <v>52</v>
      </c>
      <c r="E67" s="76" t="s">
        <v>52</v>
      </c>
      <c r="F67" s="76" t="s">
        <v>52</v>
      </c>
      <c r="G67" s="76" t="s">
        <v>52</v>
      </c>
      <c r="H67" s="76" t="s">
        <v>52</v>
      </c>
      <c r="I67" s="76">
        <v>8</v>
      </c>
      <c r="J67" s="76">
        <v>8</v>
      </c>
      <c r="K67" s="76" t="s">
        <v>52</v>
      </c>
    </row>
  </sheetData>
  <mergeCells count="2">
    <mergeCell ref="A2:L2"/>
    <mergeCell ref="A1:L1"/>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43F8A-3C50-B441-A845-C97989E9A1CD}">
  <dimension ref="A1:K100"/>
  <sheetViews>
    <sheetView tabSelected="1" zoomScale="83" zoomScaleNormal="83" workbookViewId="0">
      <pane xSplit="1" topLeftCell="B1" activePane="topRight" state="frozen"/>
      <selection pane="topRight" activeCell="E22" sqref="E22"/>
    </sheetView>
  </sheetViews>
  <sheetFormatPr baseColWidth="10" defaultRowHeight="16" x14ac:dyDescent="0.2"/>
  <cols>
    <col min="1" max="1" width="30" customWidth="1"/>
    <col min="2" max="11" width="19.6640625" customWidth="1"/>
  </cols>
  <sheetData>
    <row r="1" spans="1:11" ht="27" x14ac:dyDescent="0.2">
      <c r="A1" s="54" t="s">
        <v>169</v>
      </c>
      <c r="B1" s="54"/>
      <c r="C1" s="54"/>
      <c r="D1" s="54"/>
      <c r="E1" s="54"/>
      <c r="F1" s="54"/>
      <c r="G1" s="54"/>
      <c r="H1" s="54"/>
      <c r="I1" s="54"/>
      <c r="J1" s="54"/>
      <c r="K1" s="54"/>
    </row>
    <row r="2" spans="1:11" ht="50" customHeight="1" x14ac:dyDescent="0.2">
      <c r="A2" s="126" t="s">
        <v>338</v>
      </c>
      <c r="B2" s="126"/>
      <c r="C2" s="126"/>
      <c r="D2" s="126"/>
      <c r="E2" s="126"/>
      <c r="F2" s="126"/>
      <c r="G2" s="126"/>
      <c r="H2" s="126"/>
      <c r="I2" s="126"/>
      <c r="J2" s="126"/>
      <c r="K2" s="126"/>
    </row>
    <row r="3" spans="1:11" ht="37" customHeight="1" x14ac:dyDescent="0.2">
      <c r="A3" s="66" t="s">
        <v>336</v>
      </c>
      <c r="B3" s="67" t="s">
        <v>32</v>
      </c>
      <c r="C3" s="67" t="s">
        <v>33</v>
      </c>
      <c r="D3" s="67" t="s">
        <v>34</v>
      </c>
      <c r="E3" s="67" t="s">
        <v>35</v>
      </c>
      <c r="F3" s="67" t="s">
        <v>36</v>
      </c>
      <c r="G3" s="67" t="s">
        <v>37</v>
      </c>
      <c r="H3" s="67" t="s">
        <v>38</v>
      </c>
      <c r="I3" s="67" t="s">
        <v>39</v>
      </c>
      <c r="J3" s="67" t="s">
        <v>40</v>
      </c>
      <c r="K3" s="67" t="s">
        <v>41</v>
      </c>
    </row>
    <row r="4" spans="1:11" x14ac:dyDescent="0.2">
      <c r="A4" s="70" t="s">
        <v>329</v>
      </c>
      <c r="B4" s="71" t="s">
        <v>330</v>
      </c>
      <c r="C4" s="71" t="s">
        <v>218</v>
      </c>
      <c r="D4" s="71" t="s">
        <v>219</v>
      </c>
      <c r="E4" s="71" t="s">
        <v>220</v>
      </c>
      <c r="F4" s="71" t="s">
        <v>221</v>
      </c>
      <c r="G4" s="71" t="s">
        <v>222</v>
      </c>
      <c r="H4" s="71" t="s">
        <v>223</v>
      </c>
      <c r="I4" s="71" t="s">
        <v>224</v>
      </c>
      <c r="J4" s="71" t="s">
        <v>225</v>
      </c>
      <c r="K4" s="71" t="s">
        <v>226</v>
      </c>
    </row>
    <row r="5" spans="1:11" ht="17" customHeight="1" x14ac:dyDescent="0.2">
      <c r="A5" s="68" t="s">
        <v>1</v>
      </c>
      <c r="B5" s="130" t="s">
        <v>171</v>
      </c>
      <c r="C5" s="130" t="s">
        <v>171</v>
      </c>
      <c r="D5" s="130" t="s">
        <v>171</v>
      </c>
      <c r="E5" s="130" t="s">
        <v>171</v>
      </c>
      <c r="F5" s="130" t="s">
        <v>171</v>
      </c>
      <c r="G5" s="130" t="s">
        <v>171</v>
      </c>
      <c r="H5" s="130" t="s">
        <v>171</v>
      </c>
      <c r="I5" s="130" t="s">
        <v>171</v>
      </c>
      <c r="J5" s="130" t="s">
        <v>171</v>
      </c>
      <c r="K5" s="130" t="s">
        <v>171</v>
      </c>
    </row>
    <row r="6" spans="1:11" ht="17" customHeight="1" x14ac:dyDescent="0.2">
      <c r="A6" s="7" t="s">
        <v>2</v>
      </c>
      <c r="B6" s="131" t="s">
        <v>173</v>
      </c>
      <c r="C6" s="131" t="s">
        <v>173</v>
      </c>
      <c r="D6" s="131" t="s">
        <v>173</v>
      </c>
      <c r="E6" s="131" t="s">
        <v>173</v>
      </c>
      <c r="F6" s="131" t="s">
        <v>173</v>
      </c>
      <c r="G6" s="131" t="s">
        <v>173</v>
      </c>
      <c r="H6" s="131" t="s">
        <v>173</v>
      </c>
      <c r="I6" s="131" t="s">
        <v>173</v>
      </c>
      <c r="J6" s="131" t="s">
        <v>173</v>
      </c>
      <c r="K6" s="131" t="s">
        <v>173</v>
      </c>
    </row>
    <row r="7" spans="1:11" ht="17" customHeight="1" x14ac:dyDescent="0.2">
      <c r="A7" s="6" t="s">
        <v>3</v>
      </c>
      <c r="B7" s="132" t="s">
        <v>174</v>
      </c>
      <c r="C7" s="132" t="s">
        <v>174</v>
      </c>
      <c r="D7" s="132" t="s">
        <v>174</v>
      </c>
      <c r="E7" s="132" t="s">
        <v>174</v>
      </c>
      <c r="F7" s="132" t="s">
        <v>174</v>
      </c>
      <c r="G7" s="132" t="s">
        <v>174</v>
      </c>
      <c r="H7" s="132" t="s">
        <v>174</v>
      </c>
      <c r="I7" s="132" t="s">
        <v>174</v>
      </c>
      <c r="J7" s="132" t="s">
        <v>174</v>
      </c>
      <c r="K7" s="132" t="s">
        <v>174</v>
      </c>
    </row>
    <row r="8" spans="1:11" ht="17" customHeight="1" x14ac:dyDescent="0.2">
      <c r="A8" s="7" t="s">
        <v>4</v>
      </c>
      <c r="B8" s="131" t="s">
        <v>175</v>
      </c>
      <c r="C8" s="131" t="s">
        <v>175</v>
      </c>
      <c r="D8" s="131" t="s">
        <v>175</v>
      </c>
      <c r="E8" s="131" t="s">
        <v>175</v>
      </c>
      <c r="F8" s="131" t="s">
        <v>175</v>
      </c>
      <c r="G8" s="131" t="s">
        <v>175</v>
      </c>
      <c r="H8" s="131" t="s">
        <v>175</v>
      </c>
      <c r="I8" s="131" t="s">
        <v>175</v>
      </c>
      <c r="J8" s="131" t="s">
        <v>175</v>
      </c>
      <c r="K8" s="131" t="s">
        <v>175</v>
      </c>
    </row>
    <row r="9" spans="1:11" ht="17" customHeight="1" x14ac:dyDescent="0.2">
      <c r="A9" s="6" t="s">
        <v>5</v>
      </c>
      <c r="B9" s="132" t="s">
        <v>176</v>
      </c>
      <c r="C9" s="132" t="s">
        <v>176</v>
      </c>
      <c r="D9" s="132" t="s">
        <v>176</v>
      </c>
      <c r="E9" s="132" t="s">
        <v>176</v>
      </c>
      <c r="F9" s="132" t="s">
        <v>176</v>
      </c>
      <c r="G9" s="132" t="s">
        <v>176</v>
      </c>
      <c r="H9" s="132" t="s">
        <v>176</v>
      </c>
      <c r="I9" s="132" t="s">
        <v>176</v>
      </c>
      <c r="J9" s="132" t="s">
        <v>176</v>
      </c>
      <c r="K9" s="132" t="s">
        <v>176</v>
      </c>
    </row>
    <row r="10" spans="1:11" ht="17" customHeight="1" x14ac:dyDescent="0.2">
      <c r="A10" s="7" t="s">
        <v>6</v>
      </c>
      <c r="B10" s="131" t="s">
        <v>178</v>
      </c>
      <c r="C10" s="131" t="s">
        <v>178</v>
      </c>
      <c r="D10" s="131" t="s">
        <v>178</v>
      </c>
      <c r="E10" s="131" t="s">
        <v>178</v>
      </c>
      <c r="F10" s="131" t="s">
        <v>178</v>
      </c>
      <c r="G10" s="131" t="s">
        <v>178</v>
      </c>
      <c r="H10" s="131" t="s">
        <v>178</v>
      </c>
      <c r="I10" s="131" t="s">
        <v>178</v>
      </c>
      <c r="J10" s="131" t="s">
        <v>178</v>
      </c>
      <c r="K10" s="131" t="s">
        <v>178</v>
      </c>
    </row>
    <row r="11" spans="1:11" ht="33" customHeight="1" x14ac:dyDescent="0.2">
      <c r="A11" s="6" t="s">
        <v>7</v>
      </c>
      <c r="B11" s="132" t="s">
        <v>179</v>
      </c>
      <c r="C11" s="132" t="s">
        <v>179</v>
      </c>
      <c r="D11" s="132" t="s">
        <v>179</v>
      </c>
      <c r="E11" s="132" t="s">
        <v>179</v>
      </c>
      <c r="F11" s="132" t="s">
        <v>179</v>
      </c>
      <c r="G11" s="132" t="s">
        <v>179</v>
      </c>
      <c r="H11" s="132" t="s">
        <v>179</v>
      </c>
      <c r="I11" s="132" t="s">
        <v>179</v>
      </c>
      <c r="J11" s="132" t="s">
        <v>179</v>
      </c>
      <c r="K11" s="132" t="s">
        <v>179</v>
      </c>
    </row>
    <row r="12" spans="1:11" ht="17" customHeight="1" x14ac:dyDescent="0.2">
      <c r="A12" s="7" t="s">
        <v>8</v>
      </c>
      <c r="B12" s="131" t="s">
        <v>180</v>
      </c>
      <c r="C12" s="131" t="s">
        <v>180</v>
      </c>
      <c r="D12" s="131" t="s">
        <v>180</v>
      </c>
      <c r="E12" s="131" t="s">
        <v>180</v>
      </c>
      <c r="F12" s="131" t="s">
        <v>180</v>
      </c>
      <c r="G12" s="131" t="s">
        <v>180</v>
      </c>
      <c r="H12" s="131" t="s">
        <v>180</v>
      </c>
      <c r="I12" s="131" t="s">
        <v>180</v>
      </c>
      <c r="J12" s="131" t="s">
        <v>180</v>
      </c>
      <c r="K12" s="131" t="s">
        <v>180</v>
      </c>
    </row>
    <row r="13" spans="1:11" ht="33" customHeight="1" x14ac:dyDescent="0.2">
      <c r="A13" s="6" t="s">
        <v>9</v>
      </c>
      <c r="B13" s="132" t="s">
        <v>331</v>
      </c>
      <c r="C13" s="132" t="s">
        <v>331</v>
      </c>
      <c r="D13" s="132" t="s">
        <v>181</v>
      </c>
      <c r="E13" s="132" t="s">
        <v>181</v>
      </c>
      <c r="F13" s="132" t="s">
        <v>181</v>
      </c>
      <c r="G13" s="132" t="s">
        <v>181</v>
      </c>
      <c r="H13" s="132" t="s">
        <v>181</v>
      </c>
      <c r="I13" s="132" t="s">
        <v>181</v>
      </c>
      <c r="J13" s="132" t="s">
        <v>181</v>
      </c>
      <c r="K13" s="132" t="s">
        <v>181</v>
      </c>
    </row>
    <row r="14" spans="1:11" ht="17" customHeight="1" x14ac:dyDescent="0.2">
      <c r="A14" s="7" t="s">
        <v>10</v>
      </c>
      <c r="B14" s="131" t="s">
        <v>332</v>
      </c>
      <c r="C14" s="131" t="s">
        <v>332</v>
      </c>
      <c r="D14" s="131" t="s">
        <v>332</v>
      </c>
      <c r="E14" s="131" t="s">
        <v>332</v>
      </c>
      <c r="F14" s="131" t="s">
        <v>182</v>
      </c>
      <c r="G14" s="131" t="s">
        <v>182</v>
      </c>
      <c r="H14" s="131" t="s">
        <v>182</v>
      </c>
      <c r="I14" s="131" t="s">
        <v>182</v>
      </c>
      <c r="J14" s="131" t="s">
        <v>182</v>
      </c>
      <c r="K14" s="131" t="s">
        <v>182</v>
      </c>
    </row>
    <row r="15" spans="1:11" ht="17" customHeight="1" x14ac:dyDescent="0.2">
      <c r="A15" s="6" t="s">
        <v>11</v>
      </c>
      <c r="B15" s="132" t="s">
        <v>184</v>
      </c>
      <c r="C15" s="132" t="s">
        <v>184</v>
      </c>
      <c r="D15" s="132" t="s">
        <v>184</v>
      </c>
      <c r="E15" s="132" t="s">
        <v>184</v>
      </c>
      <c r="F15" s="132" t="s">
        <v>184</v>
      </c>
      <c r="G15" s="132" t="s">
        <v>184</v>
      </c>
      <c r="H15" s="132" t="s">
        <v>184</v>
      </c>
      <c r="I15" s="132" t="s">
        <v>184</v>
      </c>
      <c r="J15" s="132" t="s">
        <v>184</v>
      </c>
      <c r="K15" s="132" t="s">
        <v>184</v>
      </c>
    </row>
    <row r="16" spans="1:11" ht="33" customHeight="1" x14ac:dyDescent="0.2">
      <c r="A16" s="7" t="s">
        <v>12</v>
      </c>
      <c r="B16" s="131" t="s">
        <v>185</v>
      </c>
      <c r="C16" s="131" t="s">
        <v>185</v>
      </c>
      <c r="D16" s="131" t="s">
        <v>185</v>
      </c>
      <c r="E16" s="131" t="s">
        <v>185</v>
      </c>
      <c r="F16" s="131" t="s">
        <v>185</v>
      </c>
      <c r="G16" s="131" t="s">
        <v>185</v>
      </c>
      <c r="H16" s="131" t="s">
        <v>185</v>
      </c>
      <c r="I16" s="131" t="s">
        <v>185</v>
      </c>
      <c r="J16" s="131" t="s">
        <v>185</v>
      </c>
      <c r="K16" s="131" t="s">
        <v>185</v>
      </c>
    </row>
    <row r="17" spans="1:11" ht="33" customHeight="1" x14ac:dyDescent="0.2">
      <c r="A17" s="6" t="s">
        <v>13</v>
      </c>
      <c r="B17" s="132" t="s">
        <v>333</v>
      </c>
      <c r="C17" s="132" t="s">
        <v>333</v>
      </c>
      <c r="D17" s="132" t="s">
        <v>333</v>
      </c>
      <c r="E17" s="132" t="s">
        <v>333</v>
      </c>
      <c r="F17" s="132" t="s">
        <v>333</v>
      </c>
      <c r="G17" s="132" t="s">
        <v>333</v>
      </c>
      <c r="H17" s="132" t="s">
        <v>333</v>
      </c>
      <c r="I17" s="132" t="s">
        <v>333</v>
      </c>
      <c r="J17" s="132" t="s">
        <v>333</v>
      </c>
      <c r="K17" s="132" t="s">
        <v>186</v>
      </c>
    </row>
    <row r="18" spans="1:11" ht="33" customHeight="1" x14ac:dyDescent="0.2">
      <c r="A18" s="7" t="s">
        <v>14</v>
      </c>
      <c r="B18" s="131" t="s">
        <v>333</v>
      </c>
      <c r="C18" s="131" t="s">
        <v>333</v>
      </c>
      <c r="D18" s="131" t="s">
        <v>333</v>
      </c>
      <c r="E18" s="131" t="s">
        <v>333</v>
      </c>
      <c r="F18" s="131" t="s">
        <v>333</v>
      </c>
      <c r="G18" s="131" t="s">
        <v>333</v>
      </c>
      <c r="H18" s="131" t="s">
        <v>333</v>
      </c>
      <c r="I18" s="131" t="s">
        <v>333</v>
      </c>
      <c r="J18" s="131" t="s">
        <v>333</v>
      </c>
      <c r="K18" s="131" t="s">
        <v>333</v>
      </c>
    </row>
    <row r="19" spans="1:11" ht="17" customHeight="1" x14ac:dyDescent="0.2">
      <c r="A19" s="6" t="s">
        <v>15</v>
      </c>
      <c r="B19" s="132" t="s">
        <v>187</v>
      </c>
      <c r="C19" s="132" t="s">
        <v>187</v>
      </c>
      <c r="D19" s="132" t="s">
        <v>187</v>
      </c>
      <c r="E19" s="132" t="s">
        <v>187</v>
      </c>
      <c r="F19" s="132" t="s">
        <v>187</v>
      </c>
      <c r="G19" s="132" t="s">
        <v>187</v>
      </c>
      <c r="H19" s="132" t="s">
        <v>187</v>
      </c>
      <c r="I19" s="132" t="s">
        <v>187</v>
      </c>
      <c r="J19" s="132" t="s">
        <v>187</v>
      </c>
      <c r="K19" s="132" t="s">
        <v>187</v>
      </c>
    </row>
    <row r="20" spans="1:11" ht="17" customHeight="1" x14ac:dyDescent="0.2">
      <c r="A20" s="7" t="s">
        <v>16</v>
      </c>
      <c r="B20" s="131" t="s">
        <v>188</v>
      </c>
      <c r="C20" s="131" t="s">
        <v>188</v>
      </c>
      <c r="D20" s="131" t="s">
        <v>188</v>
      </c>
      <c r="E20" s="131" t="s">
        <v>188</v>
      </c>
      <c r="F20" s="131" t="s">
        <v>188</v>
      </c>
      <c r="G20" s="131" t="s">
        <v>188</v>
      </c>
      <c r="H20" s="131" t="s">
        <v>188</v>
      </c>
      <c r="I20" s="131" t="s">
        <v>188</v>
      </c>
      <c r="J20" s="131" t="s">
        <v>188</v>
      </c>
      <c r="K20" s="131" t="s">
        <v>188</v>
      </c>
    </row>
    <row r="21" spans="1:11" ht="33" customHeight="1" x14ac:dyDescent="0.2">
      <c r="A21" s="6" t="s">
        <v>17</v>
      </c>
      <c r="B21" s="132" t="s">
        <v>334</v>
      </c>
      <c r="C21" s="132" t="s">
        <v>334</v>
      </c>
      <c r="D21" s="132" t="s">
        <v>334</v>
      </c>
      <c r="E21" s="132" t="s">
        <v>189</v>
      </c>
      <c r="F21" s="132" t="s">
        <v>189</v>
      </c>
      <c r="G21" s="132" t="s">
        <v>189</v>
      </c>
      <c r="H21" s="132" t="s">
        <v>189</v>
      </c>
      <c r="I21" s="132" t="s">
        <v>189</v>
      </c>
      <c r="J21" s="132" t="s">
        <v>189</v>
      </c>
      <c r="K21" s="132" t="s">
        <v>189</v>
      </c>
    </row>
    <row r="22" spans="1:11" ht="17" customHeight="1" x14ac:dyDescent="0.2">
      <c r="A22" s="7" t="s">
        <v>18</v>
      </c>
      <c r="B22" s="131" t="s">
        <v>190</v>
      </c>
      <c r="C22" s="131" t="s">
        <v>190</v>
      </c>
      <c r="D22" s="131" t="s">
        <v>190</v>
      </c>
      <c r="E22" s="131" t="s">
        <v>190</v>
      </c>
      <c r="F22" s="131" t="s">
        <v>190</v>
      </c>
      <c r="G22" s="131" t="s">
        <v>190</v>
      </c>
      <c r="H22" s="131" t="s">
        <v>190</v>
      </c>
      <c r="I22" s="131" t="s">
        <v>190</v>
      </c>
      <c r="J22" s="131" t="s">
        <v>190</v>
      </c>
      <c r="K22" s="131" t="s">
        <v>190</v>
      </c>
    </row>
    <row r="23" spans="1:11" ht="33" customHeight="1" x14ac:dyDescent="0.2">
      <c r="A23" s="6" t="s">
        <v>19</v>
      </c>
      <c r="B23" s="132" t="s">
        <v>191</v>
      </c>
      <c r="C23" s="132" t="s">
        <v>191</v>
      </c>
      <c r="D23" s="132" t="s">
        <v>191</v>
      </c>
      <c r="E23" s="132" t="s">
        <v>191</v>
      </c>
      <c r="F23" s="132" t="s">
        <v>191</v>
      </c>
      <c r="G23" s="132" t="s">
        <v>191</v>
      </c>
      <c r="H23" s="132" t="s">
        <v>191</v>
      </c>
      <c r="I23" s="132" t="s">
        <v>191</v>
      </c>
      <c r="J23" s="132" t="s">
        <v>191</v>
      </c>
      <c r="K23" s="132" t="s">
        <v>191</v>
      </c>
    </row>
    <row r="24" spans="1:11" ht="33" customHeight="1" x14ac:dyDescent="0.2">
      <c r="A24" s="7" t="s">
        <v>20</v>
      </c>
      <c r="B24" s="131" t="s">
        <v>192</v>
      </c>
      <c r="C24" s="131" t="s">
        <v>192</v>
      </c>
      <c r="D24" s="131" t="s">
        <v>192</v>
      </c>
      <c r="E24" s="131" t="s">
        <v>192</v>
      </c>
      <c r="F24" s="131" t="s">
        <v>192</v>
      </c>
      <c r="G24" s="131" t="s">
        <v>192</v>
      </c>
      <c r="H24" s="131" t="s">
        <v>192</v>
      </c>
      <c r="I24" s="131" t="s">
        <v>192</v>
      </c>
      <c r="J24" s="131" t="s">
        <v>192</v>
      </c>
      <c r="K24" s="131" t="s">
        <v>192</v>
      </c>
    </row>
    <row r="25" spans="1:11" ht="17" customHeight="1" x14ac:dyDescent="0.2">
      <c r="A25" s="6" t="s">
        <v>21</v>
      </c>
      <c r="B25" s="132" t="s">
        <v>193</v>
      </c>
      <c r="C25" s="132" t="s">
        <v>193</v>
      </c>
      <c r="D25" s="132" t="s">
        <v>193</v>
      </c>
      <c r="E25" s="132" t="s">
        <v>193</v>
      </c>
      <c r="F25" s="132" t="s">
        <v>193</v>
      </c>
      <c r="G25" s="132" t="s">
        <v>193</v>
      </c>
      <c r="H25" s="132" t="s">
        <v>193</v>
      </c>
      <c r="I25" s="132" t="s">
        <v>193</v>
      </c>
      <c r="J25" s="132" t="s">
        <v>193</v>
      </c>
      <c r="K25" s="132" t="s">
        <v>193</v>
      </c>
    </row>
    <row r="26" spans="1:11" ht="17" customHeight="1" x14ac:dyDescent="0.2">
      <c r="A26" s="7" t="s">
        <v>22</v>
      </c>
      <c r="B26" s="131" t="s">
        <v>194</v>
      </c>
      <c r="C26" s="131" t="s">
        <v>194</v>
      </c>
      <c r="D26" s="131" t="s">
        <v>194</v>
      </c>
      <c r="E26" s="131" t="s">
        <v>194</v>
      </c>
      <c r="F26" s="131" t="s">
        <v>194</v>
      </c>
      <c r="G26" s="131" t="s">
        <v>194</v>
      </c>
      <c r="H26" s="131" t="s">
        <v>194</v>
      </c>
      <c r="I26" s="131" t="s">
        <v>194</v>
      </c>
      <c r="J26" s="131" t="s">
        <v>194</v>
      </c>
      <c r="K26" s="131" t="s">
        <v>194</v>
      </c>
    </row>
    <row r="27" spans="1:11" ht="33" customHeight="1" x14ac:dyDescent="0.2">
      <c r="A27" s="6" t="s">
        <v>23</v>
      </c>
      <c r="B27" s="132" t="s">
        <v>195</v>
      </c>
      <c r="C27" s="132" t="s">
        <v>195</v>
      </c>
      <c r="D27" s="132" t="s">
        <v>195</v>
      </c>
      <c r="E27" s="132" t="s">
        <v>195</v>
      </c>
      <c r="F27" s="132" t="s">
        <v>195</v>
      </c>
      <c r="G27" s="132" t="s">
        <v>195</v>
      </c>
      <c r="H27" s="132" t="s">
        <v>195</v>
      </c>
      <c r="I27" s="132" t="s">
        <v>195</v>
      </c>
      <c r="J27" s="132" t="s">
        <v>195</v>
      </c>
      <c r="K27" s="132" t="s">
        <v>195</v>
      </c>
    </row>
    <row r="28" spans="1:11" ht="33" customHeight="1" x14ac:dyDescent="0.2">
      <c r="A28" s="7" t="s">
        <v>24</v>
      </c>
      <c r="B28" s="131" t="s">
        <v>196</v>
      </c>
      <c r="C28" s="131" t="s">
        <v>196</v>
      </c>
      <c r="D28" s="131" t="s">
        <v>196</v>
      </c>
      <c r="E28" s="131" t="s">
        <v>196</v>
      </c>
      <c r="F28" s="131" t="s">
        <v>196</v>
      </c>
      <c r="G28" s="131" t="s">
        <v>196</v>
      </c>
      <c r="H28" s="131" t="s">
        <v>196</v>
      </c>
      <c r="I28" s="131" t="s">
        <v>196</v>
      </c>
      <c r="J28" s="131" t="s">
        <v>196</v>
      </c>
      <c r="K28" s="131" t="s">
        <v>196</v>
      </c>
    </row>
    <row r="29" spans="1:11" ht="17" customHeight="1" x14ac:dyDescent="0.2">
      <c r="A29" s="6" t="s">
        <v>25</v>
      </c>
      <c r="B29" s="132" t="s">
        <v>197</v>
      </c>
      <c r="C29" s="132" t="s">
        <v>197</v>
      </c>
      <c r="D29" s="132" t="s">
        <v>197</v>
      </c>
      <c r="E29" s="132" t="s">
        <v>197</v>
      </c>
      <c r="F29" s="132" t="s">
        <v>197</v>
      </c>
      <c r="G29" s="132" t="s">
        <v>197</v>
      </c>
      <c r="H29" s="132" t="s">
        <v>197</v>
      </c>
      <c r="I29" s="132" t="s">
        <v>197</v>
      </c>
      <c r="J29" s="132" t="s">
        <v>197</v>
      </c>
      <c r="K29" s="132" t="s">
        <v>197</v>
      </c>
    </row>
    <row r="30" spans="1:11" ht="33" customHeight="1" x14ac:dyDescent="0.2">
      <c r="A30" s="7" t="s">
        <v>26</v>
      </c>
      <c r="B30" s="131" t="s">
        <v>335</v>
      </c>
      <c r="C30" s="131" t="s">
        <v>198</v>
      </c>
      <c r="D30" s="131" t="s">
        <v>198</v>
      </c>
      <c r="E30" s="131" t="s">
        <v>198</v>
      </c>
      <c r="F30" s="131" t="s">
        <v>198</v>
      </c>
      <c r="G30" s="131" t="s">
        <v>198</v>
      </c>
      <c r="H30" s="131" t="s">
        <v>198</v>
      </c>
      <c r="I30" s="131" t="s">
        <v>198</v>
      </c>
      <c r="J30" s="131" t="s">
        <v>198</v>
      </c>
      <c r="K30" s="131" t="s">
        <v>198</v>
      </c>
    </row>
    <row r="31" spans="1:11" ht="33" customHeight="1" x14ac:dyDescent="0.2">
      <c r="A31" s="6" t="s">
        <v>27</v>
      </c>
      <c r="B31" s="132" t="s">
        <v>199</v>
      </c>
      <c r="C31" s="132" t="s">
        <v>199</v>
      </c>
      <c r="D31" s="132" t="s">
        <v>199</v>
      </c>
      <c r="E31" s="132" t="s">
        <v>199</v>
      </c>
      <c r="F31" s="132" t="s">
        <v>199</v>
      </c>
      <c r="G31" s="132" t="s">
        <v>199</v>
      </c>
      <c r="H31" s="132" t="s">
        <v>199</v>
      </c>
      <c r="I31" s="132" t="s">
        <v>199</v>
      </c>
      <c r="J31" s="132" t="s">
        <v>199</v>
      </c>
      <c r="K31" s="132" t="s">
        <v>199</v>
      </c>
    </row>
    <row r="32" spans="1:11" ht="17" customHeight="1" x14ac:dyDescent="0.2">
      <c r="A32" s="7" t="s">
        <v>28</v>
      </c>
      <c r="B32" s="131" t="s">
        <v>200</v>
      </c>
      <c r="C32" s="131" t="s">
        <v>200</v>
      </c>
      <c r="D32" s="131" t="s">
        <v>200</v>
      </c>
      <c r="E32" s="131" t="s">
        <v>200</v>
      </c>
      <c r="F32" s="131" t="s">
        <v>200</v>
      </c>
      <c r="G32" s="131" t="s">
        <v>200</v>
      </c>
      <c r="H32" s="131" t="s">
        <v>200</v>
      </c>
      <c r="I32" s="131" t="s">
        <v>200</v>
      </c>
      <c r="J32" s="131" t="s">
        <v>200</v>
      </c>
      <c r="K32" s="131" t="s">
        <v>200</v>
      </c>
    </row>
    <row r="33" spans="1:11" ht="17" customHeight="1" x14ac:dyDescent="0.2">
      <c r="A33" s="6" t="s">
        <v>29</v>
      </c>
      <c r="B33" s="132" t="s">
        <v>201</v>
      </c>
      <c r="C33" s="132" t="s">
        <v>201</v>
      </c>
      <c r="D33" s="132" t="s">
        <v>201</v>
      </c>
      <c r="E33" s="132" t="s">
        <v>201</v>
      </c>
      <c r="F33" s="132" t="s">
        <v>201</v>
      </c>
      <c r="G33" s="132" t="s">
        <v>201</v>
      </c>
      <c r="H33" s="132" t="s">
        <v>201</v>
      </c>
      <c r="I33" s="132" t="s">
        <v>201</v>
      </c>
      <c r="J33" s="132" t="s">
        <v>201</v>
      </c>
      <c r="K33" s="132" t="s">
        <v>201</v>
      </c>
    </row>
    <row r="34" spans="1:11" ht="33" customHeight="1" x14ac:dyDescent="0.2">
      <c r="A34" s="7" t="s">
        <v>30</v>
      </c>
      <c r="B34" s="131" t="s">
        <v>202</v>
      </c>
      <c r="C34" s="131" t="s">
        <v>202</v>
      </c>
      <c r="D34" s="131" t="s">
        <v>202</v>
      </c>
      <c r="E34" s="131" t="s">
        <v>202</v>
      </c>
      <c r="F34" s="131" t="s">
        <v>202</v>
      </c>
      <c r="G34" s="131" t="s">
        <v>202</v>
      </c>
      <c r="H34" s="131" t="s">
        <v>202</v>
      </c>
      <c r="I34" s="131" t="s">
        <v>202</v>
      </c>
      <c r="J34" s="131" t="s">
        <v>202</v>
      </c>
      <c r="K34" s="131" t="s">
        <v>202</v>
      </c>
    </row>
    <row r="36" spans="1:11" x14ac:dyDescent="0.2">
      <c r="A36" s="66" t="s">
        <v>337</v>
      </c>
      <c r="B36" s="67" t="s">
        <v>32</v>
      </c>
      <c r="C36" s="67" t="s">
        <v>33</v>
      </c>
      <c r="D36" s="67" t="s">
        <v>34</v>
      </c>
      <c r="E36" s="67" t="s">
        <v>35</v>
      </c>
      <c r="F36" s="67" t="s">
        <v>36</v>
      </c>
      <c r="G36" s="67" t="s">
        <v>37</v>
      </c>
      <c r="H36" s="67" t="s">
        <v>38</v>
      </c>
      <c r="I36" s="67" t="s">
        <v>39</v>
      </c>
      <c r="J36" s="67" t="s">
        <v>40</v>
      </c>
      <c r="K36" s="67" t="s">
        <v>41</v>
      </c>
    </row>
    <row r="37" spans="1:11" x14ac:dyDescent="0.2">
      <c r="A37" s="70" t="s">
        <v>329</v>
      </c>
      <c r="B37" s="71" t="s">
        <v>330</v>
      </c>
      <c r="C37" s="71" t="s">
        <v>218</v>
      </c>
      <c r="D37" s="71" t="s">
        <v>219</v>
      </c>
      <c r="E37" s="71" t="s">
        <v>220</v>
      </c>
      <c r="F37" s="71" t="s">
        <v>221</v>
      </c>
      <c r="G37" s="71" t="s">
        <v>222</v>
      </c>
      <c r="H37" s="71" t="s">
        <v>223</v>
      </c>
      <c r="I37" s="71" t="s">
        <v>224</v>
      </c>
      <c r="J37" s="71" t="s">
        <v>225</v>
      </c>
      <c r="K37" s="71" t="s">
        <v>226</v>
      </c>
    </row>
    <row r="38" spans="1:11" x14ac:dyDescent="0.2">
      <c r="A38" s="68" t="s">
        <v>1</v>
      </c>
      <c r="B38" s="78">
        <v>1999</v>
      </c>
      <c r="C38" s="78">
        <v>1999</v>
      </c>
      <c r="D38" s="78">
        <v>1999</v>
      </c>
      <c r="E38" s="78">
        <v>1999</v>
      </c>
      <c r="F38" s="78">
        <v>1999</v>
      </c>
      <c r="G38" s="78">
        <v>1999</v>
      </c>
      <c r="H38" s="78">
        <v>1999</v>
      </c>
      <c r="I38" s="78">
        <v>1999</v>
      </c>
      <c r="J38" s="78">
        <v>1999</v>
      </c>
      <c r="K38" s="78">
        <v>1999</v>
      </c>
    </row>
    <row r="39" spans="1:11" x14ac:dyDescent="0.2">
      <c r="A39" s="7" t="s">
        <v>2</v>
      </c>
      <c r="B39" s="80">
        <v>1995</v>
      </c>
      <c r="C39" s="80">
        <v>1995</v>
      </c>
      <c r="D39" s="80">
        <v>1995</v>
      </c>
      <c r="E39" s="80">
        <v>1995</v>
      </c>
      <c r="F39" s="80">
        <v>1995</v>
      </c>
      <c r="G39" s="80">
        <v>1995</v>
      </c>
      <c r="H39" s="80">
        <v>1995</v>
      </c>
      <c r="I39" s="80">
        <v>1995</v>
      </c>
      <c r="J39" s="80">
        <v>1995</v>
      </c>
      <c r="K39" s="80">
        <v>1995</v>
      </c>
    </row>
    <row r="40" spans="1:11" x14ac:dyDescent="0.2">
      <c r="A40" s="6" t="s">
        <v>3</v>
      </c>
      <c r="B40" s="82">
        <v>2012</v>
      </c>
      <c r="C40" s="82">
        <v>2012</v>
      </c>
      <c r="D40" s="82">
        <v>2012</v>
      </c>
      <c r="E40" s="82">
        <v>2012</v>
      </c>
      <c r="F40" s="82">
        <v>2012</v>
      </c>
      <c r="G40" s="82">
        <v>2012</v>
      </c>
      <c r="H40" s="82">
        <v>2012</v>
      </c>
      <c r="I40" s="82">
        <v>2012</v>
      </c>
      <c r="J40" s="82">
        <v>2012</v>
      </c>
      <c r="K40" s="82">
        <v>2012</v>
      </c>
    </row>
    <row r="41" spans="1:11" x14ac:dyDescent="0.2">
      <c r="A41" s="7" t="s">
        <v>4</v>
      </c>
      <c r="B41" s="80">
        <v>2005</v>
      </c>
      <c r="C41" s="80">
        <v>2005</v>
      </c>
      <c r="D41" s="80">
        <v>2005</v>
      </c>
      <c r="E41" s="80">
        <v>2005</v>
      </c>
      <c r="F41" s="80">
        <v>2005</v>
      </c>
      <c r="G41" s="80">
        <v>2005</v>
      </c>
      <c r="H41" s="80">
        <v>2005</v>
      </c>
      <c r="I41" s="80">
        <v>2005</v>
      </c>
      <c r="J41" s="80">
        <v>2005</v>
      </c>
      <c r="K41" s="80">
        <v>2005</v>
      </c>
    </row>
    <row r="42" spans="1:11" x14ac:dyDescent="0.2">
      <c r="A42" s="6" t="s">
        <v>5</v>
      </c>
      <c r="B42" s="82">
        <v>1994</v>
      </c>
      <c r="C42" s="82">
        <v>1994</v>
      </c>
      <c r="D42" s="82">
        <v>1994</v>
      </c>
      <c r="E42" s="82">
        <v>1994</v>
      </c>
      <c r="F42" s="82">
        <v>1994</v>
      </c>
      <c r="G42" s="82">
        <v>1994</v>
      </c>
      <c r="H42" s="82">
        <v>1994</v>
      </c>
      <c r="I42" s="82">
        <v>1994</v>
      </c>
      <c r="J42" s="82">
        <v>1994</v>
      </c>
      <c r="K42" s="82">
        <v>1994</v>
      </c>
    </row>
    <row r="43" spans="1:11" x14ac:dyDescent="0.2">
      <c r="A43" s="7" t="s">
        <v>6</v>
      </c>
      <c r="B43" s="80">
        <v>1994</v>
      </c>
      <c r="C43" s="80">
        <v>1994</v>
      </c>
      <c r="D43" s="80">
        <v>1994</v>
      </c>
      <c r="E43" s="80">
        <v>1994</v>
      </c>
      <c r="F43" s="80">
        <v>1994</v>
      </c>
      <c r="G43" s="80">
        <v>1994</v>
      </c>
      <c r="H43" s="80">
        <v>1994</v>
      </c>
      <c r="I43" s="80">
        <v>1994</v>
      </c>
      <c r="J43" s="80">
        <v>1994</v>
      </c>
      <c r="K43" s="80">
        <v>1994</v>
      </c>
    </row>
    <row r="44" spans="1:11" x14ac:dyDescent="0.2">
      <c r="A44" s="6" t="s">
        <v>7</v>
      </c>
      <c r="B44" s="82">
        <v>2001</v>
      </c>
      <c r="C44" s="82">
        <v>2001</v>
      </c>
      <c r="D44" s="82">
        <v>2001</v>
      </c>
      <c r="E44" s="82">
        <v>2001</v>
      </c>
      <c r="F44" s="82">
        <v>2001</v>
      </c>
      <c r="G44" s="82">
        <v>2001</v>
      </c>
      <c r="H44" s="82">
        <v>2001</v>
      </c>
      <c r="I44" s="82">
        <v>2001</v>
      </c>
      <c r="J44" s="82">
        <v>2001</v>
      </c>
      <c r="K44" s="82">
        <v>2001</v>
      </c>
    </row>
    <row r="45" spans="1:11" x14ac:dyDescent="0.2">
      <c r="A45" s="7" t="s">
        <v>8</v>
      </c>
      <c r="B45" s="80">
        <v>1999</v>
      </c>
      <c r="C45" s="80">
        <v>1999</v>
      </c>
      <c r="D45" s="80">
        <v>1999</v>
      </c>
      <c r="E45" s="80">
        <v>1999</v>
      </c>
      <c r="F45" s="80">
        <v>1999</v>
      </c>
      <c r="G45" s="80">
        <v>1999</v>
      </c>
      <c r="H45" s="80">
        <v>1999</v>
      </c>
      <c r="I45" s="80">
        <v>1999</v>
      </c>
      <c r="J45" s="80">
        <v>1999</v>
      </c>
      <c r="K45" s="80">
        <v>1999</v>
      </c>
    </row>
    <row r="46" spans="1:11" x14ac:dyDescent="0.2">
      <c r="A46" s="6" t="s">
        <v>9</v>
      </c>
      <c r="B46" s="82">
        <v>1988</v>
      </c>
      <c r="C46" s="82">
        <v>1988</v>
      </c>
      <c r="D46" s="82">
        <v>2017</v>
      </c>
      <c r="E46" s="82">
        <v>2017</v>
      </c>
      <c r="F46" s="82">
        <v>2017</v>
      </c>
      <c r="G46" s="82">
        <v>2017</v>
      </c>
      <c r="H46" s="82">
        <v>2017</v>
      </c>
      <c r="I46" s="82">
        <v>2017</v>
      </c>
      <c r="J46" s="82">
        <v>2017</v>
      </c>
      <c r="K46" s="82">
        <v>2017</v>
      </c>
    </row>
    <row r="47" spans="1:11" x14ac:dyDescent="0.2">
      <c r="A47" s="7" t="s">
        <v>10</v>
      </c>
      <c r="B47" s="80">
        <v>1966</v>
      </c>
      <c r="C47" s="80">
        <v>1966</v>
      </c>
      <c r="D47" s="80">
        <v>1966</v>
      </c>
      <c r="E47" s="80">
        <v>1966</v>
      </c>
      <c r="F47" s="80">
        <v>2019</v>
      </c>
      <c r="G47" s="80">
        <v>2019</v>
      </c>
      <c r="H47" s="80">
        <v>2019</v>
      </c>
      <c r="I47" s="80">
        <v>2019</v>
      </c>
      <c r="J47" s="80">
        <v>2019</v>
      </c>
      <c r="K47" s="80">
        <v>2019</v>
      </c>
    </row>
    <row r="48" spans="1:11" x14ac:dyDescent="0.2">
      <c r="A48" s="6" t="s">
        <v>11</v>
      </c>
      <c r="B48" s="82">
        <v>2003</v>
      </c>
      <c r="C48" s="82">
        <v>2003</v>
      </c>
      <c r="D48" s="82">
        <v>2003</v>
      </c>
      <c r="E48" s="82">
        <v>2003</v>
      </c>
      <c r="F48" s="82">
        <v>2003</v>
      </c>
      <c r="G48" s="82">
        <v>2003</v>
      </c>
      <c r="H48" s="82">
        <v>2003</v>
      </c>
      <c r="I48" s="82">
        <v>2003</v>
      </c>
      <c r="J48" s="82">
        <v>2003</v>
      </c>
      <c r="K48" s="82">
        <v>2003</v>
      </c>
    </row>
    <row r="49" spans="1:11" x14ac:dyDescent="0.2">
      <c r="A49" s="7" t="s">
        <v>12</v>
      </c>
      <c r="B49" s="80">
        <v>1999</v>
      </c>
      <c r="C49" s="80">
        <v>1999</v>
      </c>
      <c r="D49" s="80">
        <v>1999</v>
      </c>
      <c r="E49" s="80">
        <v>1999</v>
      </c>
      <c r="F49" s="80">
        <v>1999</v>
      </c>
      <c r="G49" s="80">
        <v>1999</v>
      </c>
      <c r="H49" s="80">
        <v>1999</v>
      </c>
      <c r="I49" s="80">
        <v>1999</v>
      </c>
      <c r="J49" s="80">
        <v>1999</v>
      </c>
      <c r="K49" s="80">
        <v>1999</v>
      </c>
    </row>
    <row r="50" spans="1:11" x14ac:dyDescent="0.2">
      <c r="A50" s="6" t="s">
        <v>13</v>
      </c>
      <c r="B50" s="82">
        <v>1999</v>
      </c>
      <c r="C50" s="82">
        <v>1999</v>
      </c>
      <c r="D50" s="82">
        <v>1999</v>
      </c>
      <c r="E50" s="82">
        <v>1999</v>
      </c>
      <c r="F50" s="82">
        <v>1999</v>
      </c>
      <c r="G50" s="82">
        <v>1999</v>
      </c>
      <c r="H50" s="82">
        <v>1999</v>
      </c>
      <c r="I50" s="82">
        <v>1999</v>
      </c>
      <c r="J50" s="82">
        <v>1999</v>
      </c>
      <c r="K50" s="82">
        <v>2024</v>
      </c>
    </row>
    <row r="51" spans="1:11" x14ac:dyDescent="0.2">
      <c r="A51" s="7" t="s">
        <v>14</v>
      </c>
      <c r="B51" s="80">
        <v>1999</v>
      </c>
      <c r="C51" s="80">
        <v>1999</v>
      </c>
      <c r="D51" s="80">
        <v>1999</v>
      </c>
      <c r="E51" s="80">
        <v>1999</v>
      </c>
      <c r="F51" s="80">
        <v>1999</v>
      </c>
      <c r="G51" s="80">
        <v>1999</v>
      </c>
      <c r="H51" s="80">
        <v>1999</v>
      </c>
      <c r="I51" s="80">
        <v>1999</v>
      </c>
      <c r="J51" s="80">
        <v>1999</v>
      </c>
      <c r="K51" s="80">
        <v>1999</v>
      </c>
    </row>
    <row r="52" spans="1:11" x14ac:dyDescent="0.2">
      <c r="A52" s="6" t="s">
        <v>15</v>
      </c>
      <c r="B52" s="82">
        <v>2004</v>
      </c>
      <c r="C52" s="82">
        <v>2004</v>
      </c>
      <c r="D52" s="82">
        <v>2004</v>
      </c>
      <c r="E52" s="82">
        <v>2004</v>
      </c>
      <c r="F52" s="82">
        <v>2004</v>
      </c>
      <c r="G52" s="82">
        <v>2004</v>
      </c>
      <c r="H52" s="82">
        <v>2004</v>
      </c>
      <c r="I52" s="82">
        <v>2004</v>
      </c>
      <c r="J52" s="82">
        <v>2004</v>
      </c>
      <c r="K52" s="82">
        <v>2004</v>
      </c>
    </row>
    <row r="53" spans="1:11" x14ac:dyDescent="0.2">
      <c r="A53" s="7" t="s">
        <v>16</v>
      </c>
      <c r="B53" s="80">
        <v>1999</v>
      </c>
      <c r="C53" s="80">
        <v>1999</v>
      </c>
      <c r="D53" s="80">
        <v>1999</v>
      </c>
      <c r="E53" s="80">
        <v>1999</v>
      </c>
      <c r="F53" s="80">
        <v>1999</v>
      </c>
      <c r="G53" s="80">
        <v>1999</v>
      </c>
      <c r="H53" s="80">
        <v>1999</v>
      </c>
      <c r="I53" s="80">
        <v>1999</v>
      </c>
      <c r="J53" s="80">
        <v>1999</v>
      </c>
      <c r="K53" s="80">
        <v>1999</v>
      </c>
    </row>
    <row r="54" spans="1:11" x14ac:dyDescent="0.2">
      <c r="A54" s="6" t="s">
        <v>17</v>
      </c>
      <c r="B54" s="82">
        <v>1988</v>
      </c>
      <c r="C54" s="82">
        <v>1988</v>
      </c>
      <c r="D54" s="82">
        <v>1988</v>
      </c>
      <c r="E54" s="82">
        <v>2018</v>
      </c>
      <c r="F54" s="82">
        <v>2018</v>
      </c>
      <c r="G54" s="82">
        <v>2018</v>
      </c>
      <c r="H54" s="82">
        <v>2018</v>
      </c>
      <c r="I54" s="82">
        <v>2018</v>
      </c>
      <c r="J54" s="82">
        <v>2018</v>
      </c>
      <c r="K54" s="82">
        <v>2018</v>
      </c>
    </row>
    <row r="55" spans="1:11" x14ac:dyDescent="0.2">
      <c r="A55" s="7" t="s">
        <v>18</v>
      </c>
      <c r="B55" s="80">
        <v>1990</v>
      </c>
      <c r="C55" s="80">
        <v>1990</v>
      </c>
      <c r="D55" s="80">
        <v>1990</v>
      </c>
      <c r="E55" s="80">
        <v>1990</v>
      </c>
      <c r="F55" s="80">
        <v>1990</v>
      </c>
      <c r="G55" s="80">
        <v>1990</v>
      </c>
      <c r="H55" s="80">
        <v>1990</v>
      </c>
      <c r="I55" s="80">
        <v>1990</v>
      </c>
      <c r="J55" s="80">
        <v>1990</v>
      </c>
      <c r="K55" s="80">
        <v>1990</v>
      </c>
    </row>
    <row r="56" spans="1:11" x14ac:dyDescent="0.2">
      <c r="A56" s="6" t="s">
        <v>19</v>
      </c>
      <c r="B56" s="82">
        <v>1999</v>
      </c>
      <c r="C56" s="82">
        <v>1999</v>
      </c>
      <c r="D56" s="82">
        <v>1999</v>
      </c>
      <c r="E56" s="82">
        <v>1999</v>
      </c>
      <c r="F56" s="82">
        <v>1999</v>
      </c>
      <c r="G56" s="82">
        <v>1999</v>
      </c>
      <c r="H56" s="82">
        <v>1999</v>
      </c>
      <c r="I56" s="82">
        <v>1999</v>
      </c>
      <c r="J56" s="82">
        <v>1999</v>
      </c>
      <c r="K56" s="82">
        <v>1999</v>
      </c>
    </row>
    <row r="57" spans="1:11" x14ac:dyDescent="0.2">
      <c r="A57" s="7" t="s">
        <v>20</v>
      </c>
      <c r="B57" s="80">
        <v>1968</v>
      </c>
      <c r="C57" s="80">
        <v>1968</v>
      </c>
      <c r="D57" s="80">
        <v>1968</v>
      </c>
      <c r="E57" s="80">
        <v>1968</v>
      </c>
      <c r="F57" s="80">
        <v>1968</v>
      </c>
      <c r="G57" s="80">
        <v>1968</v>
      </c>
      <c r="H57" s="80">
        <v>1968</v>
      </c>
      <c r="I57" s="80">
        <v>1968</v>
      </c>
      <c r="J57" s="80">
        <v>1968</v>
      </c>
      <c r="K57" s="80">
        <v>1968</v>
      </c>
    </row>
    <row r="58" spans="1:11" x14ac:dyDescent="0.2">
      <c r="A58" s="6" t="s">
        <v>21</v>
      </c>
      <c r="B58" s="82">
        <v>2002</v>
      </c>
      <c r="C58" s="82">
        <v>2002</v>
      </c>
      <c r="D58" s="82">
        <v>2002</v>
      </c>
      <c r="E58" s="82">
        <v>2002</v>
      </c>
      <c r="F58" s="82">
        <v>2002</v>
      </c>
      <c r="G58" s="82">
        <v>2002</v>
      </c>
      <c r="H58" s="82">
        <v>2002</v>
      </c>
      <c r="I58" s="82">
        <v>2002</v>
      </c>
      <c r="J58" s="82">
        <v>2002</v>
      </c>
      <c r="K58" s="82">
        <v>2002</v>
      </c>
    </row>
    <row r="59" spans="1:11" x14ac:dyDescent="0.2">
      <c r="A59" s="7" t="s">
        <v>22</v>
      </c>
      <c r="B59" s="80">
        <v>2010</v>
      </c>
      <c r="C59" s="80">
        <v>2010</v>
      </c>
      <c r="D59" s="80">
        <v>2010</v>
      </c>
      <c r="E59" s="80">
        <v>2010</v>
      </c>
      <c r="F59" s="80">
        <v>2010</v>
      </c>
      <c r="G59" s="80">
        <v>2010</v>
      </c>
      <c r="H59" s="80">
        <v>2010</v>
      </c>
      <c r="I59" s="80">
        <v>2010</v>
      </c>
      <c r="J59" s="80">
        <v>2010</v>
      </c>
      <c r="K59" s="80">
        <v>2010</v>
      </c>
    </row>
    <row r="60" spans="1:11" x14ac:dyDescent="0.2">
      <c r="A60" s="6" t="s">
        <v>23</v>
      </c>
      <c r="B60" s="82">
        <v>1996</v>
      </c>
      <c r="C60" s="82">
        <v>1996</v>
      </c>
      <c r="D60" s="82">
        <v>1996</v>
      </c>
      <c r="E60" s="82">
        <v>1996</v>
      </c>
      <c r="F60" s="82">
        <v>1996</v>
      </c>
      <c r="G60" s="82">
        <v>1996</v>
      </c>
      <c r="H60" s="82">
        <v>1996</v>
      </c>
      <c r="I60" s="82">
        <v>1996</v>
      </c>
      <c r="J60" s="82">
        <v>1996</v>
      </c>
      <c r="K60" s="82">
        <v>1996</v>
      </c>
    </row>
    <row r="61" spans="1:11" x14ac:dyDescent="0.2">
      <c r="A61" s="7" t="s">
        <v>24</v>
      </c>
      <c r="B61" s="80">
        <v>1992</v>
      </c>
      <c r="C61" s="80">
        <v>1992</v>
      </c>
      <c r="D61" s="80">
        <v>1992</v>
      </c>
      <c r="E61" s="80">
        <v>1992</v>
      </c>
      <c r="F61" s="80">
        <v>1992</v>
      </c>
      <c r="G61" s="80">
        <v>1992</v>
      </c>
      <c r="H61" s="80">
        <v>1992</v>
      </c>
      <c r="I61" s="80">
        <v>1992</v>
      </c>
      <c r="J61" s="80">
        <v>1992</v>
      </c>
      <c r="K61" s="80">
        <v>1992</v>
      </c>
    </row>
    <row r="62" spans="1:11" x14ac:dyDescent="0.2">
      <c r="A62" s="6" t="s">
        <v>25</v>
      </c>
      <c r="B62" s="82">
        <v>1995</v>
      </c>
      <c r="C62" s="82">
        <v>1995</v>
      </c>
      <c r="D62" s="82">
        <v>1995</v>
      </c>
      <c r="E62" s="82">
        <v>1995</v>
      </c>
      <c r="F62" s="82">
        <v>1995</v>
      </c>
      <c r="G62" s="82">
        <v>1995</v>
      </c>
      <c r="H62" s="82">
        <v>1995</v>
      </c>
      <c r="I62" s="82">
        <v>1995</v>
      </c>
      <c r="J62" s="82">
        <v>1995</v>
      </c>
      <c r="K62" s="82">
        <v>1995</v>
      </c>
    </row>
    <row r="63" spans="1:11" x14ac:dyDescent="0.2">
      <c r="A63" s="7" t="s">
        <v>26</v>
      </c>
      <c r="B63" s="80">
        <v>1988</v>
      </c>
      <c r="C63" s="80">
        <v>2016</v>
      </c>
      <c r="D63" s="80">
        <v>2016</v>
      </c>
      <c r="E63" s="80">
        <v>2016</v>
      </c>
      <c r="F63" s="80">
        <v>2016</v>
      </c>
      <c r="G63" s="80">
        <v>2016</v>
      </c>
      <c r="H63" s="80">
        <v>2016</v>
      </c>
      <c r="I63" s="80">
        <v>2016</v>
      </c>
      <c r="J63" s="80">
        <v>2016</v>
      </c>
      <c r="K63" s="80">
        <v>2016</v>
      </c>
    </row>
    <row r="64" spans="1:11" x14ac:dyDescent="0.2">
      <c r="A64" s="6" t="s">
        <v>27</v>
      </c>
      <c r="B64" s="82">
        <v>2002</v>
      </c>
      <c r="C64" s="82">
        <v>2002</v>
      </c>
      <c r="D64" s="82">
        <v>2002</v>
      </c>
      <c r="E64" s="82">
        <v>2002</v>
      </c>
      <c r="F64" s="82">
        <v>2002</v>
      </c>
      <c r="G64" s="82">
        <v>2002</v>
      </c>
      <c r="H64" s="82">
        <v>2002</v>
      </c>
      <c r="I64" s="82">
        <v>2002</v>
      </c>
      <c r="J64" s="82">
        <v>2002</v>
      </c>
      <c r="K64" s="82">
        <v>2002</v>
      </c>
    </row>
    <row r="65" spans="1:11" x14ac:dyDescent="0.2">
      <c r="A65" s="7" t="s">
        <v>28</v>
      </c>
      <c r="B65" s="80">
        <v>1999</v>
      </c>
      <c r="C65" s="80">
        <v>1999</v>
      </c>
      <c r="D65" s="80">
        <v>1999</v>
      </c>
      <c r="E65" s="80">
        <v>1999</v>
      </c>
      <c r="F65" s="80">
        <v>1999</v>
      </c>
      <c r="G65" s="80">
        <v>1999</v>
      </c>
      <c r="H65" s="80">
        <v>1999</v>
      </c>
      <c r="I65" s="80">
        <v>1999</v>
      </c>
      <c r="J65" s="80">
        <v>1999</v>
      </c>
      <c r="K65" s="80">
        <v>1999</v>
      </c>
    </row>
    <row r="66" spans="1:11" x14ac:dyDescent="0.2">
      <c r="A66" s="6" t="s">
        <v>29</v>
      </c>
      <c r="B66" s="82">
        <v>1991</v>
      </c>
      <c r="C66" s="82">
        <v>1991</v>
      </c>
      <c r="D66" s="82">
        <v>1991</v>
      </c>
      <c r="E66" s="82">
        <v>1991</v>
      </c>
      <c r="F66" s="82">
        <v>1991</v>
      </c>
      <c r="G66" s="82">
        <v>1991</v>
      </c>
      <c r="H66" s="82">
        <v>1991</v>
      </c>
      <c r="I66" s="82">
        <v>1991</v>
      </c>
      <c r="J66" s="82">
        <v>1991</v>
      </c>
      <c r="K66" s="82">
        <v>1991</v>
      </c>
    </row>
    <row r="67" spans="1:11" x14ac:dyDescent="0.2">
      <c r="A67" s="7" t="s">
        <v>30</v>
      </c>
      <c r="B67" s="80">
        <v>1997</v>
      </c>
      <c r="C67" s="80">
        <v>1997</v>
      </c>
      <c r="D67" s="80">
        <v>1997</v>
      </c>
      <c r="E67" s="80">
        <v>1997</v>
      </c>
      <c r="F67" s="80">
        <v>1997</v>
      </c>
      <c r="G67" s="80">
        <v>1997</v>
      </c>
      <c r="H67" s="80">
        <v>1997</v>
      </c>
      <c r="I67" s="80">
        <v>1997</v>
      </c>
      <c r="J67" s="80">
        <v>1997</v>
      </c>
      <c r="K67" s="80">
        <v>1997</v>
      </c>
    </row>
    <row r="69" spans="1:11" x14ac:dyDescent="0.2">
      <c r="A69" s="66" t="s">
        <v>352</v>
      </c>
      <c r="B69" s="67" t="s">
        <v>32</v>
      </c>
      <c r="C69" s="67" t="s">
        <v>33</v>
      </c>
      <c r="D69" s="67" t="s">
        <v>34</v>
      </c>
      <c r="E69" s="67" t="s">
        <v>35</v>
      </c>
      <c r="F69" s="67" t="s">
        <v>36</v>
      </c>
      <c r="G69" s="67" t="s">
        <v>37</v>
      </c>
      <c r="H69" s="67" t="s">
        <v>38</v>
      </c>
      <c r="I69" s="67" t="s">
        <v>39</v>
      </c>
      <c r="J69" s="67" t="s">
        <v>40</v>
      </c>
      <c r="K69" s="67" t="s">
        <v>41</v>
      </c>
    </row>
    <row r="70" spans="1:11" x14ac:dyDescent="0.2">
      <c r="A70" s="70" t="s">
        <v>329</v>
      </c>
      <c r="B70" s="71" t="s">
        <v>330</v>
      </c>
      <c r="C70" s="71" t="s">
        <v>218</v>
      </c>
      <c r="D70" s="71" t="s">
        <v>219</v>
      </c>
      <c r="E70" s="71" t="s">
        <v>220</v>
      </c>
      <c r="F70" s="71" t="s">
        <v>221</v>
      </c>
      <c r="G70" s="71" t="s">
        <v>222</v>
      </c>
      <c r="H70" s="71" t="s">
        <v>223</v>
      </c>
      <c r="I70" s="71" t="s">
        <v>224</v>
      </c>
      <c r="J70" s="71" t="s">
        <v>225</v>
      </c>
      <c r="K70" s="71" t="s">
        <v>226</v>
      </c>
    </row>
    <row r="71" spans="1:11" x14ac:dyDescent="0.2">
      <c r="A71" s="68" t="s">
        <v>1</v>
      </c>
      <c r="B71" s="79" t="s">
        <v>172</v>
      </c>
      <c r="C71" s="79" t="s">
        <v>172</v>
      </c>
      <c r="D71" s="79" t="s">
        <v>172</v>
      </c>
      <c r="E71" s="79" t="s">
        <v>172</v>
      </c>
      <c r="F71" s="79" t="s">
        <v>172</v>
      </c>
      <c r="G71" s="79" t="s">
        <v>172</v>
      </c>
      <c r="H71" s="79" t="s">
        <v>172</v>
      </c>
      <c r="I71" s="79" t="s">
        <v>172</v>
      </c>
      <c r="J71" s="79" t="s">
        <v>172</v>
      </c>
      <c r="K71" s="79" t="s">
        <v>172</v>
      </c>
    </row>
    <row r="72" spans="1:11" x14ac:dyDescent="0.2">
      <c r="A72" s="7" t="s">
        <v>2</v>
      </c>
      <c r="B72" s="81" t="s">
        <v>172</v>
      </c>
      <c r="C72" s="81" t="s">
        <v>172</v>
      </c>
      <c r="D72" s="81" t="s">
        <v>172</v>
      </c>
      <c r="E72" s="81" t="s">
        <v>172</v>
      </c>
      <c r="F72" s="81" t="s">
        <v>172</v>
      </c>
      <c r="G72" s="81" t="s">
        <v>172</v>
      </c>
      <c r="H72" s="81" t="s">
        <v>172</v>
      </c>
      <c r="I72" s="81" t="s">
        <v>172</v>
      </c>
      <c r="J72" s="81" t="s">
        <v>172</v>
      </c>
      <c r="K72" s="81" t="s">
        <v>172</v>
      </c>
    </row>
    <row r="73" spans="1:11" x14ac:dyDescent="0.2">
      <c r="A73" s="6" t="s">
        <v>3</v>
      </c>
      <c r="B73" s="83" t="s">
        <v>172</v>
      </c>
      <c r="C73" s="83" t="s">
        <v>172</v>
      </c>
      <c r="D73" s="83" t="s">
        <v>172</v>
      </c>
      <c r="E73" s="83" t="s">
        <v>172</v>
      </c>
      <c r="F73" s="83" t="s">
        <v>172</v>
      </c>
      <c r="G73" s="83" t="s">
        <v>172</v>
      </c>
      <c r="H73" s="83" t="s">
        <v>172</v>
      </c>
      <c r="I73" s="83" t="s">
        <v>172</v>
      </c>
      <c r="J73" s="83" t="s">
        <v>172</v>
      </c>
      <c r="K73" s="83" t="s">
        <v>172</v>
      </c>
    </row>
    <row r="74" spans="1:11" x14ac:dyDescent="0.2">
      <c r="A74" s="7" t="s">
        <v>4</v>
      </c>
      <c r="B74" s="81" t="s">
        <v>172</v>
      </c>
      <c r="C74" s="81" t="s">
        <v>172</v>
      </c>
      <c r="D74" s="81" t="s">
        <v>172</v>
      </c>
      <c r="E74" s="81" t="s">
        <v>172</v>
      </c>
      <c r="F74" s="81" t="s">
        <v>172</v>
      </c>
      <c r="G74" s="81" t="s">
        <v>172</v>
      </c>
      <c r="H74" s="81" t="s">
        <v>172</v>
      </c>
      <c r="I74" s="81" t="s">
        <v>172</v>
      </c>
      <c r="J74" s="81" t="s">
        <v>172</v>
      </c>
      <c r="K74" s="81" t="s">
        <v>172</v>
      </c>
    </row>
    <row r="75" spans="1:11" x14ac:dyDescent="0.2">
      <c r="A75" s="6" t="s">
        <v>5</v>
      </c>
      <c r="B75" s="83" t="s">
        <v>177</v>
      </c>
      <c r="C75" s="83" t="s">
        <v>177</v>
      </c>
      <c r="D75" s="83" t="s">
        <v>177</v>
      </c>
      <c r="E75" s="83" t="s">
        <v>177</v>
      </c>
      <c r="F75" s="83" t="s">
        <v>177</v>
      </c>
      <c r="G75" s="83" t="s">
        <v>177</v>
      </c>
      <c r="H75" s="83" t="s">
        <v>177</v>
      </c>
      <c r="I75" s="83" t="s">
        <v>177</v>
      </c>
      <c r="J75" s="83" t="s">
        <v>177</v>
      </c>
      <c r="K75" s="83" t="s">
        <v>177</v>
      </c>
    </row>
    <row r="76" spans="1:11" x14ac:dyDescent="0.2">
      <c r="A76" s="7" t="s">
        <v>6</v>
      </c>
      <c r="B76" s="81" t="s">
        <v>172</v>
      </c>
      <c r="C76" s="81" t="s">
        <v>172</v>
      </c>
      <c r="D76" s="81" t="s">
        <v>172</v>
      </c>
      <c r="E76" s="81" t="s">
        <v>172</v>
      </c>
      <c r="F76" s="81" t="s">
        <v>172</v>
      </c>
      <c r="G76" s="81" t="s">
        <v>172</v>
      </c>
      <c r="H76" s="81" t="s">
        <v>172</v>
      </c>
      <c r="I76" s="81" t="s">
        <v>172</v>
      </c>
      <c r="J76" s="81" t="s">
        <v>172</v>
      </c>
      <c r="K76" s="81" t="s">
        <v>172</v>
      </c>
    </row>
    <row r="77" spans="1:11" x14ac:dyDescent="0.2">
      <c r="A77" s="6" t="s">
        <v>7</v>
      </c>
      <c r="B77" s="83" t="s">
        <v>172</v>
      </c>
      <c r="C77" s="83" t="s">
        <v>172</v>
      </c>
      <c r="D77" s="83" t="s">
        <v>172</v>
      </c>
      <c r="E77" s="83" t="s">
        <v>172</v>
      </c>
      <c r="F77" s="83" t="s">
        <v>172</v>
      </c>
      <c r="G77" s="83" t="s">
        <v>172</v>
      </c>
      <c r="H77" s="83" t="s">
        <v>172</v>
      </c>
      <c r="I77" s="83" t="s">
        <v>172</v>
      </c>
      <c r="J77" s="83" t="s">
        <v>172</v>
      </c>
      <c r="K77" s="83" t="s">
        <v>172</v>
      </c>
    </row>
    <row r="78" spans="1:11" x14ac:dyDescent="0.2">
      <c r="A78" s="7" t="s">
        <v>8</v>
      </c>
      <c r="B78" s="81" t="s">
        <v>177</v>
      </c>
      <c r="C78" s="81" t="s">
        <v>177</v>
      </c>
      <c r="D78" s="81" t="s">
        <v>177</v>
      </c>
      <c r="E78" s="81" t="s">
        <v>177</v>
      </c>
      <c r="F78" s="81" t="s">
        <v>177</v>
      </c>
      <c r="G78" s="81" t="s">
        <v>177</v>
      </c>
      <c r="H78" s="81" t="s">
        <v>177</v>
      </c>
      <c r="I78" s="81" t="s">
        <v>177</v>
      </c>
      <c r="J78" s="81" t="s">
        <v>177</v>
      </c>
      <c r="K78" s="81" t="s">
        <v>177</v>
      </c>
    </row>
    <row r="79" spans="1:11" x14ac:dyDescent="0.2">
      <c r="A79" s="6" t="s">
        <v>9</v>
      </c>
      <c r="B79" s="83" t="s">
        <v>177</v>
      </c>
      <c r="C79" s="83" t="s">
        <v>177</v>
      </c>
      <c r="D79" s="83" t="s">
        <v>172</v>
      </c>
      <c r="E79" s="83" t="s">
        <v>172</v>
      </c>
      <c r="F79" s="83" t="s">
        <v>172</v>
      </c>
      <c r="G79" s="83" t="s">
        <v>172</v>
      </c>
      <c r="H79" s="83" t="s">
        <v>172</v>
      </c>
      <c r="I79" s="83" t="s">
        <v>172</v>
      </c>
      <c r="J79" s="83" t="s">
        <v>172</v>
      </c>
      <c r="K79" s="83" t="s">
        <v>172</v>
      </c>
    </row>
    <row r="80" spans="1:11" x14ac:dyDescent="0.2">
      <c r="A80" s="7" t="s">
        <v>10</v>
      </c>
      <c r="B80" s="81" t="s">
        <v>172</v>
      </c>
      <c r="C80" s="81" t="s">
        <v>172</v>
      </c>
      <c r="D80" s="81" t="s">
        <v>172</v>
      </c>
      <c r="E80" s="81" t="s">
        <v>172</v>
      </c>
      <c r="F80" s="81" t="s">
        <v>177</v>
      </c>
      <c r="G80" s="81" t="s">
        <v>177</v>
      </c>
      <c r="H80" s="81" t="s">
        <v>177</v>
      </c>
      <c r="I80" s="81" t="s">
        <v>177</v>
      </c>
      <c r="J80" s="81" t="s">
        <v>177</v>
      </c>
      <c r="K80" s="81" t="s">
        <v>177</v>
      </c>
    </row>
    <row r="81" spans="1:11" x14ac:dyDescent="0.2">
      <c r="A81" s="6" t="s">
        <v>11</v>
      </c>
      <c r="B81" s="83" t="s">
        <v>172</v>
      </c>
      <c r="C81" s="83" t="s">
        <v>172</v>
      </c>
      <c r="D81" s="83" t="s">
        <v>172</v>
      </c>
      <c r="E81" s="83" t="s">
        <v>172</v>
      </c>
      <c r="F81" s="83" t="s">
        <v>172</v>
      </c>
      <c r="G81" s="83" t="s">
        <v>172</v>
      </c>
      <c r="H81" s="83" t="s">
        <v>172</v>
      </c>
      <c r="I81" s="83" t="s">
        <v>172</v>
      </c>
      <c r="J81" s="83" t="s">
        <v>172</v>
      </c>
      <c r="K81" s="83" t="s">
        <v>172</v>
      </c>
    </row>
    <row r="82" spans="1:11" x14ac:dyDescent="0.2">
      <c r="A82" s="7" t="s">
        <v>12</v>
      </c>
      <c r="B82" s="81" t="s">
        <v>172</v>
      </c>
      <c r="C82" s="81" t="s">
        <v>172</v>
      </c>
      <c r="D82" s="81" t="s">
        <v>172</v>
      </c>
      <c r="E82" s="81" t="s">
        <v>172</v>
      </c>
      <c r="F82" s="81" t="s">
        <v>172</v>
      </c>
      <c r="G82" s="81" t="s">
        <v>172</v>
      </c>
      <c r="H82" s="81" t="s">
        <v>172</v>
      </c>
      <c r="I82" s="81" t="s">
        <v>172</v>
      </c>
      <c r="J82" s="81" t="s">
        <v>172</v>
      </c>
      <c r="K82" s="81" t="s">
        <v>172</v>
      </c>
    </row>
    <row r="83" spans="1:11" x14ac:dyDescent="0.2">
      <c r="A83" s="6" t="s">
        <v>13</v>
      </c>
      <c r="B83" s="83" t="s">
        <v>172</v>
      </c>
      <c r="C83" s="83" t="s">
        <v>172</v>
      </c>
      <c r="D83" s="83" t="s">
        <v>172</v>
      </c>
      <c r="E83" s="83" t="s">
        <v>172</v>
      </c>
      <c r="F83" s="83" t="s">
        <v>172</v>
      </c>
      <c r="G83" s="83" t="s">
        <v>172</v>
      </c>
      <c r="H83" s="83" t="s">
        <v>172</v>
      </c>
      <c r="I83" s="83" t="s">
        <v>172</v>
      </c>
      <c r="J83" s="83" t="s">
        <v>172</v>
      </c>
      <c r="K83" s="83" t="s">
        <v>177</v>
      </c>
    </row>
    <row r="84" spans="1:11" x14ac:dyDescent="0.2">
      <c r="A84" s="7" t="s">
        <v>14</v>
      </c>
      <c r="B84" s="81" t="s">
        <v>172</v>
      </c>
      <c r="C84" s="81" t="s">
        <v>172</v>
      </c>
      <c r="D84" s="81" t="s">
        <v>172</v>
      </c>
      <c r="E84" s="81" t="s">
        <v>172</v>
      </c>
      <c r="F84" s="81" t="s">
        <v>172</v>
      </c>
      <c r="G84" s="81" t="s">
        <v>172</v>
      </c>
      <c r="H84" s="81" t="s">
        <v>172</v>
      </c>
      <c r="I84" s="81" t="s">
        <v>172</v>
      </c>
      <c r="J84" s="81" t="s">
        <v>172</v>
      </c>
      <c r="K84" s="81" t="s">
        <v>172</v>
      </c>
    </row>
    <row r="85" spans="1:11" x14ac:dyDescent="0.2">
      <c r="A85" s="6" t="s">
        <v>15</v>
      </c>
      <c r="B85" s="83" t="s">
        <v>172</v>
      </c>
      <c r="C85" s="83" t="s">
        <v>172</v>
      </c>
      <c r="D85" s="83" t="s">
        <v>172</v>
      </c>
      <c r="E85" s="83" t="s">
        <v>172</v>
      </c>
      <c r="F85" s="83" t="s">
        <v>172</v>
      </c>
      <c r="G85" s="83" t="s">
        <v>172</v>
      </c>
      <c r="H85" s="83" t="s">
        <v>172</v>
      </c>
      <c r="I85" s="83" t="s">
        <v>172</v>
      </c>
      <c r="J85" s="83" t="s">
        <v>172</v>
      </c>
      <c r="K85" s="83" t="s">
        <v>172</v>
      </c>
    </row>
    <row r="86" spans="1:11" x14ac:dyDescent="0.2">
      <c r="A86" s="7" t="s">
        <v>16</v>
      </c>
      <c r="B86" s="81" t="s">
        <v>172</v>
      </c>
      <c r="C86" s="81" t="s">
        <v>172</v>
      </c>
      <c r="D86" s="81" t="s">
        <v>172</v>
      </c>
      <c r="E86" s="81" t="s">
        <v>172</v>
      </c>
      <c r="F86" s="81" t="s">
        <v>172</v>
      </c>
      <c r="G86" s="81" t="s">
        <v>172</v>
      </c>
      <c r="H86" s="81" t="s">
        <v>172</v>
      </c>
      <c r="I86" s="81" t="s">
        <v>172</v>
      </c>
      <c r="J86" s="81" t="s">
        <v>172</v>
      </c>
      <c r="K86" s="81" t="s">
        <v>172</v>
      </c>
    </row>
    <row r="87" spans="1:11" x14ac:dyDescent="0.2">
      <c r="A87" s="6" t="s">
        <v>17</v>
      </c>
      <c r="B87" s="83" t="s">
        <v>172</v>
      </c>
      <c r="C87" s="83" t="s">
        <v>172</v>
      </c>
      <c r="D87" s="83" t="s">
        <v>172</v>
      </c>
      <c r="E87" s="83" t="s">
        <v>172</v>
      </c>
      <c r="F87" s="83" t="s">
        <v>172</v>
      </c>
      <c r="G87" s="83" t="s">
        <v>172</v>
      </c>
      <c r="H87" s="83" t="s">
        <v>172</v>
      </c>
      <c r="I87" s="83" t="s">
        <v>172</v>
      </c>
      <c r="J87" s="83" t="s">
        <v>172</v>
      </c>
      <c r="K87" s="83" t="s">
        <v>172</v>
      </c>
    </row>
    <row r="88" spans="1:11" x14ac:dyDescent="0.2">
      <c r="A88" s="7" t="s">
        <v>18</v>
      </c>
      <c r="B88" s="81" t="s">
        <v>172</v>
      </c>
      <c r="C88" s="81" t="s">
        <v>172</v>
      </c>
      <c r="D88" s="81" t="s">
        <v>172</v>
      </c>
      <c r="E88" s="81" t="s">
        <v>172</v>
      </c>
      <c r="F88" s="81" t="s">
        <v>172</v>
      </c>
      <c r="G88" s="81" t="s">
        <v>172</v>
      </c>
      <c r="H88" s="81" t="s">
        <v>172</v>
      </c>
      <c r="I88" s="81" t="s">
        <v>172</v>
      </c>
      <c r="J88" s="81" t="s">
        <v>172</v>
      </c>
      <c r="K88" s="81" t="s">
        <v>172</v>
      </c>
    </row>
    <row r="89" spans="1:11" x14ac:dyDescent="0.2">
      <c r="A89" s="6" t="s">
        <v>19</v>
      </c>
      <c r="B89" s="83" t="s">
        <v>172</v>
      </c>
      <c r="C89" s="83" t="s">
        <v>172</v>
      </c>
      <c r="D89" s="83" t="s">
        <v>172</v>
      </c>
      <c r="E89" s="83" t="s">
        <v>172</v>
      </c>
      <c r="F89" s="83" t="s">
        <v>172</v>
      </c>
      <c r="G89" s="83" t="s">
        <v>172</v>
      </c>
      <c r="H89" s="83" t="s">
        <v>172</v>
      </c>
      <c r="I89" s="83" t="s">
        <v>172</v>
      </c>
      <c r="J89" s="83" t="s">
        <v>172</v>
      </c>
      <c r="K89" s="83" t="s">
        <v>172</v>
      </c>
    </row>
    <row r="90" spans="1:11" x14ac:dyDescent="0.2">
      <c r="A90" s="7" t="s">
        <v>20</v>
      </c>
      <c r="B90" s="81" t="s">
        <v>177</v>
      </c>
      <c r="C90" s="81" t="s">
        <v>177</v>
      </c>
      <c r="D90" s="81" t="s">
        <v>177</v>
      </c>
      <c r="E90" s="81" t="s">
        <v>177</v>
      </c>
      <c r="F90" s="81" t="s">
        <v>177</v>
      </c>
      <c r="G90" s="81" t="s">
        <v>177</v>
      </c>
      <c r="H90" s="81" t="s">
        <v>177</v>
      </c>
      <c r="I90" s="81" t="s">
        <v>177</v>
      </c>
      <c r="J90" s="81" t="s">
        <v>177</v>
      </c>
      <c r="K90" s="81" t="s">
        <v>177</v>
      </c>
    </row>
    <row r="91" spans="1:11" x14ac:dyDescent="0.2">
      <c r="A91" s="6" t="s">
        <v>21</v>
      </c>
      <c r="B91" s="83" t="s">
        <v>172</v>
      </c>
      <c r="C91" s="83" t="s">
        <v>172</v>
      </c>
      <c r="D91" s="83" t="s">
        <v>172</v>
      </c>
      <c r="E91" s="83" t="s">
        <v>172</v>
      </c>
      <c r="F91" s="83" t="s">
        <v>172</v>
      </c>
      <c r="G91" s="83" t="s">
        <v>172</v>
      </c>
      <c r="H91" s="83" t="s">
        <v>172</v>
      </c>
      <c r="I91" s="83" t="s">
        <v>172</v>
      </c>
      <c r="J91" s="83" t="s">
        <v>172</v>
      </c>
      <c r="K91" s="83" t="s">
        <v>172</v>
      </c>
    </row>
    <row r="92" spans="1:11" x14ac:dyDescent="0.2">
      <c r="A92" s="7" t="s">
        <v>22</v>
      </c>
      <c r="B92" s="81" t="s">
        <v>172</v>
      </c>
      <c r="C92" s="81" t="s">
        <v>172</v>
      </c>
      <c r="D92" s="81" t="s">
        <v>172</v>
      </c>
      <c r="E92" s="81" t="s">
        <v>172</v>
      </c>
      <c r="F92" s="81" t="s">
        <v>172</v>
      </c>
      <c r="G92" s="81" t="s">
        <v>172</v>
      </c>
      <c r="H92" s="81" t="s">
        <v>172</v>
      </c>
      <c r="I92" s="81" t="s">
        <v>172</v>
      </c>
      <c r="J92" s="81" t="s">
        <v>172</v>
      </c>
      <c r="K92" s="81" t="s">
        <v>172</v>
      </c>
    </row>
    <row r="93" spans="1:11" x14ac:dyDescent="0.2">
      <c r="A93" s="6" t="s">
        <v>23</v>
      </c>
      <c r="B93" s="83" t="s">
        <v>172</v>
      </c>
      <c r="C93" s="83" t="s">
        <v>172</v>
      </c>
      <c r="D93" s="83" t="s">
        <v>172</v>
      </c>
      <c r="E93" s="83" t="s">
        <v>172</v>
      </c>
      <c r="F93" s="83" t="s">
        <v>172</v>
      </c>
      <c r="G93" s="83" t="s">
        <v>172</v>
      </c>
      <c r="H93" s="83" t="s">
        <v>172</v>
      </c>
      <c r="I93" s="83" t="s">
        <v>172</v>
      </c>
      <c r="J93" s="83" t="s">
        <v>172</v>
      </c>
      <c r="K93" s="83" t="s">
        <v>172</v>
      </c>
    </row>
    <row r="94" spans="1:11" x14ac:dyDescent="0.2">
      <c r="A94" s="7" t="s">
        <v>24</v>
      </c>
      <c r="B94" s="81" t="s">
        <v>172</v>
      </c>
      <c r="C94" s="81" t="s">
        <v>172</v>
      </c>
      <c r="D94" s="81" t="s">
        <v>172</v>
      </c>
      <c r="E94" s="81" t="s">
        <v>172</v>
      </c>
      <c r="F94" s="81" t="s">
        <v>172</v>
      </c>
      <c r="G94" s="81" t="s">
        <v>172</v>
      </c>
      <c r="H94" s="81" t="s">
        <v>172</v>
      </c>
      <c r="I94" s="81" t="s">
        <v>172</v>
      </c>
      <c r="J94" s="81" t="s">
        <v>172</v>
      </c>
      <c r="K94" s="81" t="s">
        <v>172</v>
      </c>
    </row>
    <row r="95" spans="1:11" x14ac:dyDescent="0.2">
      <c r="A95" s="6" t="s">
        <v>25</v>
      </c>
      <c r="B95" s="83" t="s">
        <v>177</v>
      </c>
      <c r="C95" s="83" t="s">
        <v>177</v>
      </c>
      <c r="D95" s="83" t="s">
        <v>177</v>
      </c>
      <c r="E95" s="83" t="s">
        <v>177</v>
      </c>
      <c r="F95" s="83" t="s">
        <v>177</v>
      </c>
      <c r="G95" s="83" t="s">
        <v>177</v>
      </c>
      <c r="H95" s="83" t="s">
        <v>177</v>
      </c>
      <c r="I95" s="83" t="s">
        <v>177</v>
      </c>
      <c r="J95" s="83" t="s">
        <v>177</v>
      </c>
      <c r="K95" s="83" t="s">
        <v>172</v>
      </c>
    </row>
    <row r="96" spans="1:11" x14ac:dyDescent="0.2">
      <c r="A96" s="7" t="s">
        <v>26</v>
      </c>
      <c r="B96" s="81" t="s">
        <v>177</v>
      </c>
      <c r="C96" s="81" t="s">
        <v>172</v>
      </c>
      <c r="D96" s="81" t="s">
        <v>172</v>
      </c>
      <c r="E96" s="81" t="s">
        <v>172</v>
      </c>
      <c r="F96" s="81" t="s">
        <v>172</v>
      </c>
      <c r="G96" s="81" t="s">
        <v>172</v>
      </c>
      <c r="H96" s="81" t="s">
        <v>172</v>
      </c>
      <c r="I96" s="81" t="s">
        <v>172</v>
      </c>
      <c r="J96" s="81" t="s">
        <v>172</v>
      </c>
      <c r="K96" s="81" t="s">
        <v>172</v>
      </c>
    </row>
    <row r="97" spans="1:11" x14ac:dyDescent="0.2">
      <c r="A97" s="6" t="s">
        <v>27</v>
      </c>
      <c r="B97" s="83" t="s">
        <v>172</v>
      </c>
      <c r="C97" s="83" t="s">
        <v>172</v>
      </c>
      <c r="D97" s="83" t="s">
        <v>172</v>
      </c>
      <c r="E97" s="83" t="s">
        <v>172</v>
      </c>
      <c r="F97" s="83" t="s">
        <v>172</v>
      </c>
      <c r="G97" s="83" t="s">
        <v>172</v>
      </c>
      <c r="H97" s="83" t="s">
        <v>172</v>
      </c>
      <c r="I97" s="83" t="s">
        <v>172</v>
      </c>
      <c r="J97" s="83" t="s">
        <v>172</v>
      </c>
      <c r="K97" s="83" t="s">
        <v>172</v>
      </c>
    </row>
    <row r="98" spans="1:11" x14ac:dyDescent="0.2">
      <c r="A98" s="7" t="s">
        <v>28</v>
      </c>
      <c r="B98" s="81" t="s">
        <v>177</v>
      </c>
      <c r="C98" s="81" t="s">
        <v>177</v>
      </c>
      <c r="D98" s="81" t="s">
        <v>177</v>
      </c>
      <c r="E98" s="81" t="s">
        <v>177</v>
      </c>
      <c r="F98" s="81" t="s">
        <v>177</v>
      </c>
      <c r="G98" s="81" t="s">
        <v>177</v>
      </c>
      <c r="H98" s="81" t="s">
        <v>177</v>
      </c>
      <c r="I98" s="81" t="s">
        <v>177</v>
      </c>
      <c r="J98" s="81" t="s">
        <v>177</v>
      </c>
      <c r="K98" s="81" t="s">
        <v>177</v>
      </c>
    </row>
    <row r="99" spans="1:11" x14ac:dyDescent="0.2">
      <c r="A99" s="6" t="s">
        <v>29</v>
      </c>
      <c r="B99" s="83" t="s">
        <v>177</v>
      </c>
      <c r="C99" s="83" t="s">
        <v>177</v>
      </c>
      <c r="D99" s="83" t="s">
        <v>177</v>
      </c>
      <c r="E99" s="83" t="s">
        <v>177</v>
      </c>
      <c r="F99" s="83" t="s">
        <v>177</v>
      </c>
      <c r="G99" s="83" t="s">
        <v>177</v>
      </c>
      <c r="H99" s="83" t="s">
        <v>177</v>
      </c>
      <c r="I99" s="83" t="s">
        <v>177</v>
      </c>
      <c r="J99" s="83" t="s">
        <v>177</v>
      </c>
      <c r="K99" s="83" t="s">
        <v>177</v>
      </c>
    </row>
    <row r="100" spans="1:11" x14ac:dyDescent="0.2">
      <c r="A100" s="7" t="s">
        <v>30</v>
      </c>
      <c r="B100" s="81" t="s">
        <v>177</v>
      </c>
      <c r="C100" s="81" t="s">
        <v>177</v>
      </c>
      <c r="D100" s="81" t="s">
        <v>177</v>
      </c>
      <c r="E100" s="81" t="s">
        <v>177</v>
      </c>
      <c r="F100" s="81" t="s">
        <v>177</v>
      </c>
      <c r="G100" s="81" t="s">
        <v>177</v>
      </c>
      <c r="H100" s="81" t="s">
        <v>177</v>
      </c>
      <c r="I100" s="81" t="s">
        <v>177</v>
      </c>
      <c r="J100" s="81" t="s">
        <v>177</v>
      </c>
      <c r="K100" s="81" t="s">
        <v>177</v>
      </c>
    </row>
  </sheetData>
  <mergeCells count="2">
    <mergeCell ref="A1:K1"/>
    <mergeCell ref="A2:K2"/>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A6F11-FD34-9741-8EB4-0BFBCFDCF540}">
  <dimension ref="A1:D33"/>
  <sheetViews>
    <sheetView workbookViewId="0">
      <pane ySplit="3" topLeftCell="A4" activePane="bottomLeft" state="frozen"/>
      <selection pane="bottomLeft" activeCell="N3" sqref="N3"/>
    </sheetView>
  </sheetViews>
  <sheetFormatPr baseColWidth="10" defaultRowHeight="16" x14ac:dyDescent="0.2"/>
  <cols>
    <col min="1" max="1" width="26.6640625" customWidth="1"/>
    <col min="2" max="4" width="13.33203125" customWidth="1"/>
  </cols>
  <sheetData>
    <row r="1" spans="1:4" ht="42" customHeight="1" x14ac:dyDescent="0.25">
      <c r="A1" s="127" t="s">
        <v>53</v>
      </c>
      <c r="B1" s="127"/>
      <c r="C1" s="127"/>
      <c r="D1" s="127"/>
    </row>
    <row r="2" spans="1:4" ht="53" customHeight="1" x14ac:dyDescent="0.2">
      <c r="A2" s="126" t="s">
        <v>54</v>
      </c>
      <c r="B2" s="126"/>
      <c r="C2" s="126"/>
      <c r="D2" s="126"/>
    </row>
    <row r="3" spans="1:4" x14ac:dyDescent="0.2">
      <c r="A3" s="11" t="s">
        <v>0</v>
      </c>
      <c r="B3" s="20" t="s">
        <v>55</v>
      </c>
      <c r="C3" s="20" t="s">
        <v>56</v>
      </c>
      <c r="D3" s="20" t="s">
        <v>57</v>
      </c>
    </row>
    <row r="4" spans="1:4" x14ac:dyDescent="0.2">
      <c r="A4" s="6" t="s">
        <v>1</v>
      </c>
      <c r="B4" s="19">
        <f>'NBA Valuations'!K5</f>
        <v>5000</v>
      </c>
      <c r="C4" s="5">
        <v>5020</v>
      </c>
      <c r="D4" s="5">
        <v>5400</v>
      </c>
    </row>
    <row r="5" spans="1:4" x14ac:dyDescent="0.2">
      <c r="A5" s="7" t="s">
        <v>2</v>
      </c>
      <c r="B5" s="21">
        <f>'NBA Valuations'!K6</f>
        <v>6700</v>
      </c>
      <c r="C5" s="8">
        <v>6350</v>
      </c>
      <c r="D5" s="8">
        <v>6300</v>
      </c>
    </row>
    <row r="6" spans="1:4" x14ac:dyDescent="0.2">
      <c r="A6" s="6" t="s">
        <v>3</v>
      </c>
      <c r="B6" s="19">
        <f>'NBA Valuations'!K7</f>
        <v>5600</v>
      </c>
      <c r="C6" s="5">
        <v>6220</v>
      </c>
      <c r="D6" s="5">
        <v>6000</v>
      </c>
    </row>
    <row r="7" spans="1:4" x14ac:dyDescent="0.2">
      <c r="A7" s="7" t="s">
        <v>4</v>
      </c>
      <c r="B7" s="21">
        <f>'NBA Valuations'!K8</f>
        <v>3800</v>
      </c>
      <c r="C7" s="8">
        <v>4130</v>
      </c>
      <c r="D7" s="8">
        <v>3900</v>
      </c>
    </row>
    <row r="8" spans="1:4" x14ac:dyDescent="0.2">
      <c r="A8" s="6" t="s">
        <v>5</v>
      </c>
      <c r="B8" s="19">
        <f>'NBA Valuations'!K9</f>
        <v>6000</v>
      </c>
      <c r="C8" s="5">
        <v>6120</v>
      </c>
      <c r="D8" s="5">
        <v>6450</v>
      </c>
    </row>
    <row r="9" spans="1:4" x14ac:dyDescent="0.2">
      <c r="A9" s="7" t="s">
        <v>6</v>
      </c>
      <c r="B9" s="21">
        <f>'NBA Valuations'!K10</f>
        <v>4800</v>
      </c>
      <c r="C9" s="8">
        <v>4860</v>
      </c>
      <c r="D9" s="14" t="s">
        <v>52</v>
      </c>
    </row>
    <row r="10" spans="1:4" x14ac:dyDescent="0.2">
      <c r="A10" s="6" t="s">
        <v>7</v>
      </c>
      <c r="B10" s="19">
        <f>'NBA Valuations'!K11</f>
        <v>5100</v>
      </c>
      <c r="C10" s="5">
        <v>5240</v>
      </c>
      <c r="D10" s="13" t="s">
        <v>52</v>
      </c>
    </row>
    <row r="11" spans="1:4" x14ac:dyDescent="0.2">
      <c r="A11" s="7" t="s">
        <v>8</v>
      </c>
      <c r="B11" s="21">
        <f>'NBA Valuations'!K12</f>
        <v>4600</v>
      </c>
      <c r="C11" s="8">
        <v>4800</v>
      </c>
      <c r="D11" s="14" t="s">
        <v>52</v>
      </c>
    </row>
    <row r="12" spans="1:4" x14ac:dyDescent="0.2">
      <c r="A12" s="6" t="s">
        <v>9</v>
      </c>
      <c r="B12" s="19">
        <f>'NBA Valuations'!K13</f>
        <v>3650</v>
      </c>
      <c r="C12" s="5">
        <v>4170</v>
      </c>
      <c r="D12" s="5">
        <v>4000</v>
      </c>
    </row>
    <row r="13" spans="1:4" x14ac:dyDescent="0.2">
      <c r="A13" s="7" t="s">
        <v>10</v>
      </c>
      <c r="B13" s="21">
        <f>'NBA Valuations'!K14</f>
        <v>11000</v>
      </c>
      <c r="C13" s="8">
        <v>11330</v>
      </c>
      <c r="D13" s="8">
        <v>10800</v>
      </c>
    </row>
    <row r="14" spans="1:4" x14ac:dyDescent="0.2">
      <c r="A14" s="6" t="s">
        <v>11</v>
      </c>
      <c r="B14" s="19">
        <f>'NBA Valuations'!K15</f>
        <v>5900</v>
      </c>
      <c r="C14" s="5">
        <v>5530</v>
      </c>
      <c r="D14" s="5">
        <v>6350</v>
      </c>
    </row>
    <row r="15" spans="1:4" x14ac:dyDescent="0.2">
      <c r="A15" s="7" t="s">
        <v>12</v>
      </c>
      <c r="B15" s="21">
        <f>'NBA Valuations'!K16</f>
        <v>4200</v>
      </c>
      <c r="C15" s="8">
        <v>4760</v>
      </c>
      <c r="D15" s="14" t="s">
        <v>52</v>
      </c>
    </row>
    <row r="16" spans="1:4" x14ac:dyDescent="0.2">
      <c r="A16" s="6" t="s">
        <v>13</v>
      </c>
      <c r="B16" s="19">
        <f>'NBA Valuations'!K17</f>
        <v>7500</v>
      </c>
      <c r="C16" s="5">
        <v>6720</v>
      </c>
      <c r="D16" s="5">
        <v>6900</v>
      </c>
    </row>
    <row r="17" spans="1:4" x14ac:dyDescent="0.2">
      <c r="A17" s="7" t="s">
        <v>14</v>
      </c>
      <c r="B17" s="21">
        <f>'NBA Valuations'!K18</f>
        <v>10000</v>
      </c>
      <c r="C17" s="8">
        <v>10000</v>
      </c>
      <c r="D17" s="8">
        <v>10000</v>
      </c>
    </row>
    <row r="18" spans="1:4" x14ac:dyDescent="0.2">
      <c r="A18" s="6" t="s">
        <v>15</v>
      </c>
      <c r="B18" s="19">
        <f>'NBA Valuations'!K19</f>
        <v>3500</v>
      </c>
      <c r="C18" s="5">
        <v>4000</v>
      </c>
      <c r="D18" s="5">
        <v>3750</v>
      </c>
    </row>
    <row r="19" spans="1:4" x14ac:dyDescent="0.2">
      <c r="A19" s="7" t="s">
        <v>16</v>
      </c>
      <c r="B19" s="21">
        <f>'NBA Valuations'!K20</f>
        <v>5700</v>
      </c>
      <c r="C19" s="8">
        <v>6030</v>
      </c>
      <c r="D19" s="8">
        <v>6050</v>
      </c>
    </row>
    <row r="20" spans="1:4" x14ac:dyDescent="0.2">
      <c r="A20" s="6" t="s">
        <v>17</v>
      </c>
      <c r="B20" s="19">
        <f>'NBA Valuations'!K21</f>
        <v>4300</v>
      </c>
      <c r="C20" s="5">
        <v>4540</v>
      </c>
      <c r="D20" s="13" t="s">
        <v>52</v>
      </c>
    </row>
    <row r="21" spans="1:4" ht="37" customHeight="1" x14ac:dyDescent="0.2">
      <c r="A21" s="128" t="s">
        <v>18</v>
      </c>
      <c r="B21" s="21">
        <f>'NBA Valuations'!K22</f>
        <v>3600</v>
      </c>
      <c r="C21" s="8">
        <v>4240</v>
      </c>
      <c r="D21" s="8">
        <v>3800</v>
      </c>
    </row>
    <row r="22" spans="1:4" x14ac:dyDescent="0.2">
      <c r="A22" s="6" t="s">
        <v>19</v>
      </c>
      <c r="B22" s="19">
        <f>'NBA Valuations'!K23</f>
        <v>3550</v>
      </c>
      <c r="C22" s="5">
        <v>4020</v>
      </c>
      <c r="D22" s="5">
        <v>3850</v>
      </c>
    </row>
    <row r="23" spans="1:4" x14ac:dyDescent="0.2">
      <c r="A23" s="7" t="s">
        <v>20</v>
      </c>
      <c r="B23" s="21">
        <f>'NBA Valuations'!K24</f>
        <v>9750</v>
      </c>
      <c r="C23" s="8">
        <v>9850</v>
      </c>
      <c r="D23" s="8">
        <v>10100</v>
      </c>
    </row>
    <row r="24" spans="1:4" x14ac:dyDescent="0.2">
      <c r="A24" s="6" t="s">
        <v>21</v>
      </c>
      <c r="B24" s="19">
        <f>'NBA Valuations'!K25</f>
        <v>4350</v>
      </c>
      <c r="C24" s="5">
        <v>4340</v>
      </c>
      <c r="D24" s="13" t="s">
        <v>52</v>
      </c>
    </row>
    <row r="25" spans="1:4" x14ac:dyDescent="0.2">
      <c r="A25" s="7" t="s">
        <v>22</v>
      </c>
      <c r="B25" s="21">
        <f>'NBA Valuations'!K26</f>
        <v>3900</v>
      </c>
      <c r="C25" s="8">
        <v>4210</v>
      </c>
      <c r="D25" s="14" t="s">
        <v>52</v>
      </c>
    </row>
    <row r="26" spans="1:4" x14ac:dyDescent="0.2">
      <c r="A26" s="6" t="s">
        <v>23</v>
      </c>
      <c r="B26" s="19">
        <f>'NBA Valuations'!K27</f>
        <v>5450</v>
      </c>
      <c r="C26" s="5">
        <v>5610</v>
      </c>
      <c r="D26" s="5">
        <v>6100</v>
      </c>
    </row>
    <row r="27" spans="1:4" x14ac:dyDescent="0.2">
      <c r="A27" s="7" t="s">
        <v>24</v>
      </c>
      <c r="B27" s="21">
        <f>'NBA Valuations'!K28</f>
        <v>5425</v>
      </c>
      <c r="C27" s="8">
        <v>5090</v>
      </c>
      <c r="D27" s="14" t="s">
        <v>52</v>
      </c>
    </row>
    <row r="28" spans="1:4" ht="37" customHeight="1" x14ac:dyDescent="0.2">
      <c r="A28" s="129" t="s">
        <v>25</v>
      </c>
      <c r="B28" s="19">
        <f>'NBA Valuations'!K29</f>
        <v>4250</v>
      </c>
      <c r="C28" s="5">
        <v>4250</v>
      </c>
      <c r="D28" s="13" t="s">
        <v>52</v>
      </c>
    </row>
    <row r="29" spans="1:4" x14ac:dyDescent="0.2">
      <c r="A29" s="7" t="s">
        <v>26</v>
      </c>
      <c r="B29" s="21">
        <f>'NBA Valuations'!K30</f>
        <v>4450</v>
      </c>
      <c r="C29" s="8">
        <v>5000</v>
      </c>
      <c r="D29" s="14" t="s">
        <v>52</v>
      </c>
    </row>
    <row r="30" spans="1:4" x14ac:dyDescent="0.2">
      <c r="A30" s="6" t="s">
        <v>27</v>
      </c>
      <c r="B30" s="19">
        <f>'NBA Valuations'!K31</f>
        <v>4400</v>
      </c>
      <c r="C30" s="5">
        <v>4500</v>
      </c>
      <c r="D30" s="13" t="s">
        <v>52</v>
      </c>
    </row>
    <row r="31" spans="1:4" x14ac:dyDescent="0.2">
      <c r="A31" s="7" t="s">
        <v>28</v>
      </c>
      <c r="B31" s="21">
        <f>'NBA Valuations'!K32</f>
        <v>5400</v>
      </c>
      <c r="C31" s="8">
        <v>5220</v>
      </c>
      <c r="D31" s="14" t="s">
        <v>52</v>
      </c>
    </row>
    <row r="32" spans="1:4" x14ac:dyDescent="0.2">
      <c r="A32" s="6" t="s">
        <v>29</v>
      </c>
      <c r="B32" s="19">
        <f>'NBA Valuations'!K33</f>
        <v>4100</v>
      </c>
      <c r="C32" s="5">
        <v>4270</v>
      </c>
      <c r="D32" s="13" t="s">
        <v>52</v>
      </c>
    </row>
    <row r="33" spans="1:4" x14ac:dyDescent="0.2">
      <c r="A33" s="7" t="s">
        <v>30</v>
      </c>
      <c r="B33" s="21">
        <f>'NBA Valuations'!K34</f>
        <v>4700</v>
      </c>
      <c r="C33" s="8">
        <v>4780</v>
      </c>
      <c r="D33" s="14" t="s">
        <v>52</v>
      </c>
    </row>
  </sheetData>
  <mergeCells count="2">
    <mergeCell ref="A2:D2"/>
    <mergeCell ref="A1:D1"/>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A2296-C218-3B45-8C13-239BE21CC3EF}">
  <dimension ref="A1:Z172"/>
  <sheetViews>
    <sheetView zoomScale="83" zoomScaleNormal="83" workbookViewId="0">
      <pane xSplit="1" topLeftCell="B1" activePane="topRight" state="frozen"/>
      <selection pane="topRight" activeCell="N3" sqref="N3"/>
    </sheetView>
  </sheetViews>
  <sheetFormatPr baseColWidth="10" defaultRowHeight="16" x14ac:dyDescent="0.2"/>
  <cols>
    <col min="1" max="1" width="52" customWidth="1"/>
    <col min="2" max="12" width="10.33203125" customWidth="1"/>
    <col min="13" max="13" width="3.33203125" customWidth="1"/>
    <col min="14" max="14" width="26.6640625" customWidth="1"/>
    <col min="15" max="26" width="12" customWidth="1"/>
  </cols>
  <sheetData>
    <row r="1" spans="1:19" ht="36" customHeight="1" x14ac:dyDescent="0.2">
      <c r="A1" s="54" t="s">
        <v>58</v>
      </c>
      <c r="B1" s="54"/>
      <c r="C1" s="54"/>
      <c r="D1" s="54"/>
      <c r="E1" s="54"/>
      <c r="F1" s="54"/>
      <c r="G1" s="54"/>
      <c r="H1" s="54"/>
      <c r="I1" s="54"/>
      <c r="J1" s="54"/>
      <c r="K1" s="54"/>
      <c r="L1" s="54"/>
    </row>
    <row r="2" spans="1:19" x14ac:dyDescent="0.2">
      <c r="A2" s="16" t="s">
        <v>59</v>
      </c>
    </row>
    <row r="4" spans="1:19" x14ac:dyDescent="0.2">
      <c r="A4" s="9" t="s">
        <v>60</v>
      </c>
      <c r="B4" s="4" t="s">
        <v>32</v>
      </c>
      <c r="C4" s="4" t="s">
        <v>33</v>
      </c>
      <c r="D4" s="4" t="s">
        <v>34</v>
      </c>
      <c r="E4" s="4" t="s">
        <v>35</v>
      </c>
      <c r="F4" s="4" t="s">
        <v>36</v>
      </c>
      <c r="G4" s="4" t="s">
        <v>37</v>
      </c>
      <c r="H4" s="4" t="s">
        <v>38</v>
      </c>
      <c r="I4" s="4" t="s">
        <v>39</v>
      </c>
      <c r="J4" s="4" t="s">
        <v>40</v>
      </c>
      <c r="K4" s="4" t="s">
        <v>41</v>
      </c>
    </row>
    <row r="5" spans="1:19" x14ac:dyDescent="0.2">
      <c r="A5" s="2" t="s">
        <v>61</v>
      </c>
      <c r="B5" s="23">
        <v>94143000</v>
      </c>
      <c r="C5" s="23">
        <v>99093000</v>
      </c>
      <c r="D5" s="23">
        <v>101869000</v>
      </c>
      <c r="E5" s="23">
        <v>109140000</v>
      </c>
      <c r="F5" s="23">
        <v>109140000</v>
      </c>
      <c r="G5" s="23">
        <v>112414000</v>
      </c>
      <c r="H5" s="23">
        <v>123655000</v>
      </c>
      <c r="I5" s="23">
        <v>136021000</v>
      </c>
      <c r="J5" s="23">
        <v>140588000</v>
      </c>
      <c r="K5" s="23">
        <v>154647000</v>
      </c>
    </row>
    <row r="6" spans="1:19" x14ac:dyDescent="0.2">
      <c r="A6" s="2" t="s">
        <v>62</v>
      </c>
      <c r="B6" s="23">
        <v>113287000</v>
      </c>
      <c r="C6" s="23">
        <v>119266000</v>
      </c>
      <c r="D6" s="23">
        <v>123733000</v>
      </c>
      <c r="E6" s="23">
        <v>132627000</v>
      </c>
      <c r="F6" s="23">
        <v>132627000</v>
      </c>
      <c r="G6" s="23">
        <v>136606000</v>
      </c>
      <c r="H6" s="23">
        <v>150267000</v>
      </c>
      <c r="I6" s="23">
        <v>165294000</v>
      </c>
      <c r="J6" s="23">
        <v>170814000</v>
      </c>
      <c r="K6" s="23">
        <v>187895000</v>
      </c>
    </row>
    <row r="7" spans="1:19" x14ac:dyDescent="0.2">
      <c r="B7" s="24"/>
      <c r="C7" s="24"/>
      <c r="D7" s="24"/>
      <c r="E7" s="24"/>
      <c r="F7" s="24"/>
      <c r="G7" s="24"/>
      <c r="H7" s="24"/>
      <c r="I7" s="24"/>
      <c r="J7" s="24"/>
      <c r="K7" s="24"/>
      <c r="L7" s="24"/>
    </row>
    <row r="8" spans="1:19" ht="18" x14ac:dyDescent="0.25">
      <c r="A8" s="22" t="s">
        <v>63</v>
      </c>
      <c r="B8" s="24"/>
      <c r="C8" s="24"/>
      <c r="D8" s="24"/>
      <c r="E8" s="24"/>
      <c r="F8" s="24"/>
      <c r="G8" s="24"/>
      <c r="H8" s="24"/>
      <c r="I8" s="24"/>
      <c r="J8" s="24"/>
      <c r="K8" s="24"/>
      <c r="L8" s="24"/>
      <c r="N8" s="22" t="s">
        <v>67</v>
      </c>
    </row>
    <row r="9" spans="1:19" ht="37" customHeight="1" x14ac:dyDescent="0.2">
      <c r="A9" s="9" t="s">
        <v>0</v>
      </c>
      <c r="B9" s="25" t="s">
        <v>32</v>
      </c>
      <c r="C9" s="25" t="s">
        <v>33</v>
      </c>
      <c r="D9" s="25" t="s">
        <v>34</v>
      </c>
      <c r="E9" s="25" t="s">
        <v>35</v>
      </c>
      <c r="F9" s="25" t="s">
        <v>36</v>
      </c>
      <c r="G9" s="25" t="s">
        <v>37</v>
      </c>
      <c r="H9" s="25" t="s">
        <v>38</v>
      </c>
      <c r="I9" s="25" t="s">
        <v>39</v>
      </c>
      <c r="J9" s="25" t="s">
        <v>40</v>
      </c>
      <c r="K9" s="25" t="s">
        <v>41</v>
      </c>
      <c r="N9" s="31" t="s">
        <v>0</v>
      </c>
      <c r="O9" s="31" t="s">
        <v>68</v>
      </c>
      <c r="P9" s="31" t="s">
        <v>69</v>
      </c>
      <c r="Q9" s="31" t="s">
        <v>70</v>
      </c>
      <c r="R9" s="31" t="s">
        <v>71</v>
      </c>
      <c r="S9" s="31" t="s">
        <v>72</v>
      </c>
    </row>
    <row r="10" spans="1:19" x14ac:dyDescent="0.2">
      <c r="A10" s="2" t="s">
        <v>1</v>
      </c>
      <c r="B10" s="26">
        <v>95576245</v>
      </c>
      <c r="C10" s="26">
        <v>100108457</v>
      </c>
      <c r="D10" s="26">
        <v>103686836</v>
      </c>
      <c r="E10" s="26">
        <v>112298633</v>
      </c>
      <c r="F10" s="26">
        <v>116695055</v>
      </c>
      <c r="G10" s="26">
        <v>132777480</v>
      </c>
      <c r="H10" s="23">
        <v>148576597</v>
      </c>
      <c r="I10" s="23">
        <v>156139798</v>
      </c>
      <c r="J10" s="23">
        <v>168381400</v>
      </c>
      <c r="K10" s="23">
        <v>186769942</v>
      </c>
      <c r="N10" s="6" t="str">
        <f t="shared" ref="N10:N39" si="0">A10</f>
        <v>Atlanta Hawks</v>
      </c>
      <c r="O10" s="29">
        <f t="shared" ref="O10:O39" si="1">COUNTIF(B109:K109,"&gt;0")+COUNTIF(B109:K109,"Paid*")</f>
        <v>0</v>
      </c>
      <c r="P10" s="30">
        <f t="shared" ref="P10:P39" si="2">SUM(B109:K109)</f>
        <v>0</v>
      </c>
      <c r="Q10" s="19">
        <f>'NBA Valuations'!B5</f>
        <v>885</v>
      </c>
      <c r="R10" s="19">
        <f>'NBA Valuations'!K5</f>
        <v>5000</v>
      </c>
      <c r="S10" s="32">
        <f t="shared" ref="S10:S39" si="3">R10/Q10-1</f>
        <v>4.6497175141242941</v>
      </c>
    </row>
    <row r="11" spans="1:19" x14ac:dyDescent="0.2">
      <c r="A11" s="2" t="s">
        <v>2</v>
      </c>
      <c r="B11" s="26">
        <v>93035161</v>
      </c>
      <c r="C11" s="26">
        <v>115731460</v>
      </c>
      <c r="D11" s="26">
        <v>126313549</v>
      </c>
      <c r="E11" s="26">
        <v>118437085</v>
      </c>
      <c r="F11" s="26">
        <v>130723102</v>
      </c>
      <c r="G11" s="26">
        <v>135726703</v>
      </c>
      <c r="H11" s="23">
        <v>176732455</v>
      </c>
      <c r="I11" s="23">
        <v>183476284</v>
      </c>
      <c r="J11" s="23">
        <v>193098445</v>
      </c>
      <c r="K11" s="23">
        <v>187257831</v>
      </c>
      <c r="N11" s="6" t="str">
        <f t="shared" si="0"/>
        <v>Boston Celtics</v>
      </c>
      <c r="O11" s="29">
        <f t="shared" si="1"/>
        <v>4</v>
      </c>
      <c r="P11" s="30">
        <f t="shared" si="2"/>
        <v>165529276</v>
      </c>
      <c r="Q11" s="19">
        <f>'NBA Valuations'!B6</f>
        <v>2200</v>
      </c>
      <c r="R11" s="19">
        <f>'NBA Valuations'!K6</f>
        <v>6700</v>
      </c>
      <c r="S11" s="32">
        <f t="shared" si="3"/>
        <v>2.0454545454545454</v>
      </c>
    </row>
    <row r="12" spans="1:19" x14ac:dyDescent="0.2">
      <c r="A12" s="2" t="s">
        <v>3</v>
      </c>
      <c r="B12" s="26">
        <v>83753138</v>
      </c>
      <c r="C12" s="26">
        <v>96123331</v>
      </c>
      <c r="D12" s="26">
        <v>117647794</v>
      </c>
      <c r="E12" s="26">
        <v>102674920</v>
      </c>
      <c r="F12" s="26">
        <v>166175317</v>
      </c>
      <c r="G12" s="26">
        <v>169286329</v>
      </c>
      <c r="H12" s="23">
        <v>158370057</v>
      </c>
      <c r="I12" s="23">
        <v>151721032</v>
      </c>
      <c r="J12" s="23">
        <v>170497768</v>
      </c>
      <c r="K12" s="23">
        <v>150488034</v>
      </c>
      <c r="N12" s="6" t="str">
        <f t="shared" si="0"/>
        <v>Brooklyn Nets</v>
      </c>
      <c r="O12" s="29">
        <f t="shared" si="1"/>
        <v>3</v>
      </c>
      <c r="P12" s="30">
        <f t="shared" si="2"/>
        <v>172241611</v>
      </c>
      <c r="Q12" s="19">
        <f>'NBA Valuations'!B7</f>
        <v>1800</v>
      </c>
      <c r="R12" s="19">
        <f>'NBA Valuations'!K7</f>
        <v>5600</v>
      </c>
      <c r="S12" s="32">
        <f t="shared" si="3"/>
        <v>2.1111111111111112</v>
      </c>
    </row>
    <row r="13" spans="1:19" x14ac:dyDescent="0.2">
      <c r="A13" s="2" t="s">
        <v>4</v>
      </c>
      <c r="B13" s="26">
        <v>102068166</v>
      </c>
      <c r="C13" s="26">
        <v>117228164</v>
      </c>
      <c r="D13" s="26">
        <v>121810182</v>
      </c>
      <c r="E13" s="26">
        <v>124096301</v>
      </c>
      <c r="F13" s="26">
        <v>107134070</v>
      </c>
      <c r="G13" s="26">
        <v>120990744</v>
      </c>
      <c r="H13" s="23">
        <v>124552439</v>
      </c>
      <c r="I13" s="23">
        <v>137159325</v>
      </c>
      <c r="J13" s="23">
        <v>167307747</v>
      </c>
      <c r="K13" s="23">
        <v>183430210</v>
      </c>
      <c r="N13" s="6" t="str">
        <f t="shared" si="0"/>
        <v>Charlotte Hornets</v>
      </c>
      <c r="O13" s="29">
        <f t="shared" si="1"/>
        <v>0</v>
      </c>
      <c r="P13" s="30">
        <f t="shared" si="2"/>
        <v>0</v>
      </c>
      <c r="Q13" s="19">
        <f>'NBA Valuations'!B8</f>
        <v>780</v>
      </c>
      <c r="R13" s="19">
        <f>'NBA Valuations'!K8</f>
        <v>3800</v>
      </c>
      <c r="S13" s="32">
        <f t="shared" si="3"/>
        <v>3.8717948717948714</v>
      </c>
    </row>
    <row r="14" spans="1:19" x14ac:dyDescent="0.2">
      <c r="A14" s="2" t="s">
        <v>5</v>
      </c>
      <c r="B14" s="26">
        <v>93281333</v>
      </c>
      <c r="C14" s="26">
        <v>90105625</v>
      </c>
      <c r="D14" s="26">
        <v>112026072</v>
      </c>
      <c r="E14" s="26">
        <v>113208742</v>
      </c>
      <c r="F14" s="26">
        <v>128065350</v>
      </c>
      <c r="G14" s="26">
        <v>134629608</v>
      </c>
      <c r="H14" s="23">
        <v>149464753</v>
      </c>
      <c r="I14" s="23">
        <v>164432853</v>
      </c>
      <c r="J14" s="23">
        <v>165919354</v>
      </c>
      <c r="K14" s="23">
        <v>182833631</v>
      </c>
      <c r="N14" s="6" t="str">
        <f t="shared" si="0"/>
        <v>Chicago Bulls</v>
      </c>
      <c r="O14" s="29">
        <f t="shared" si="1"/>
        <v>0</v>
      </c>
      <c r="P14" s="30">
        <f t="shared" si="2"/>
        <v>0</v>
      </c>
      <c r="Q14" s="19">
        <f>'NBA Valuations'!B9</f>
        <v>2500</v>
      </c>
      <c r="R14" s="19">
        <f>'NBA Valuations'!K9</f>
        <v>6000</v>
      </c>
      <c r="S14" s="32">
        <f t="shared" si="3"/>
        <v>1.4</v>
      </c>
    </row>
    <row r="15" spans="1:19" x14ac:dyDescent="0.2">
      <c r="A15" s="2" t="s">
        <v>6</v>
      </c>
      <c r="B15" s="26">
        <v>126590785</v>
      </c>
      <c r="C15" s="26">
        <v>135980450</v>
      </c>
      <c r="D15" s="26">
        <v>123697967</v>
      </c>
      <c r="E15" s="26">
        <v>132181946</v>
      </c>
      <c r="F15" s="26">
        <v>126734856</v>
      </c>
      <c r="G15" s="26">
        <v>133138401</v>
      </c>
      <c r="H15" s="23">
        <v>149251300</v>
      </c>
      <c r="I15" s="23">
        <v>163939463</v>
      </c>
      <c r="J15" s="23">
        <v>170144576</v>
      </c>
      <c r="K15" s="23">
        <v>212345289</v>
      </c>
      <c r="N15" s="6" t="str">
        <f t="shared" si="0"/>
        <v>Cleveland Cavaliers</v>
      </c>
      <c r="O15" s="29">
        <f t="shared" si="1"/>
        <v>3</v>
      </c>
      <c r="P15" s="30">
        <f t="shared" si="2"/>
        <v>144145470</v>
      </c>
      <c r="Q15" s="19">
        <f>'NBA Valuations'!B10</f>
        <v>1200</v>
      </c>
      <c r="R15" s="19">
        <f>'NBA Valuations'!K10</f>
        <v>4800</v>
      </c>
      <c r="S15" s="32">
        <f t="shared" si="3"/>
        <v>3</v>
      </c>
    </row>
    <row r="16" spans="1:19" x14ac:dyDescent="0.2">
      <c r="A16" s="2" t="s">
        <v>7</v>
      </c>
      <c r="B16" s="26">
        <v>105673612</v>
      </c>
      <c r="C16" s="26">
        <v>85464575</v>
      </c>
      <c r="D16" s="26">
        <v>88434197</v>
      </c>
      <c r="E16" s="26">
        <v>121299167</v>
      </c>
      <c r="F16" s="26">
        <v>125815404</v>
      </c>
      <c r="G16" s="26">
        <v>124750009</v>
      </c>
      <c r="H16" s="23">
        <v>173385738</v>
      </c>
      <c r="I16" s="23">
        <v>164631111</v>
      </c>
      <c r="J16" s="23">
        <v>174243724</v>
      </c>
      <c r="K16" s="23">
        <v>183036411</v>
      </c>
      <c r="N16" s="6" t="str">
        <f t="shared" si="0"/>
        <v>Dallas Mavericks</v>
      </c>
      <c r="O16" s="29">
        <f t="shared" si="1"/>
        <v>2</v>
      </c>
      <c r="P16" s="30">
        <f t="shared" si="2"/>
        <v>61839854</v>
      </c>
      <c r="Q16" s="19">
        <f>'NBA Valuations'!B11</f>
        <v>1500</v>
      </c>
      <c r="R16" s="19">
        <f>'NBA Valuations'!K11</f>
        <v>5100</v>
      </c>
      <c r="S16" s="32">
        <f t="shared" si="3"/>
        <v>2.4</v>
      </c>
    </row>
    <row r="17" spans="1:19" x14ac:dyDescent="0.2">
      <c r="A17" s="2" t="s">
        <v>8</v>
      </c>
      <c r="B17" s="26">
        <v>82581936</v>
      </c>
      <c r="C17" s="26">
        <v>106515203</v>
      </c>
      <c r="D17" s="26">
        <v>116799912</v>
      </c>
      <c r="E17" s="26">
        <v>130263965</v>
      </c>
      <c r="F17" s="26">
        <v>128579406</v>
      </c>
      <c r="G17" s="26">
        <v>136054862</v>
      </c>
      <c r="H17" s="23">
        <v>160688004</v>
      </c>
      <c r="I17" s="23">
        <v>176890198</v>
      </c>
      <c r="J17" s="23">
        <v>182574315</v>
      </c>
      <c r="K17" s="23">
        <v>187289504</v>
      </c>
      <c r="N17" s="6" t="str">
        <f t="shared" si="0"/>
        <v>Denver Nuggets</v>
      </c>
      <c r="O17" s="29">
        <f t="shared" si="1"/>
        <v>3</v>
      </c>
      <c r="P17" s="30">
        <f t="shared" si="2"/>
        <v>57899793</v>
      </c>
      <c r="Q17" s="19">
        <f>'NBA Valuations'!B12</f>
        <v>890</v>
      </c>
      <c r="R17" s="19">
        <f>'NBA Valuations'!K12</f>
        <v>4600</v>
      </c>
      <c r="S17" s="32">
        <f t="shared" si="3"/>
        <v>4.1685393258426968</v>
      </c>
    </row>
    <row r="18" spans="1:19" x14ac:dyDescent="0.2">
      <c r="A18" s="2" t="s">
        <v>9</v>
      </c>
      <c r="B18" s="26">
        <v>107901937</v>
      </c>
      <c r="C18" s="26">
        <v>118897722</v>
      </c>
      <c r="D18" s="26">
        <v>123481463</v>
      </c>
      <c r="E18" s="26">
        <v>131251409</v>
      </c>
      <c r="F18" s="26">
        <v>115085331</v>
      </c>
      <c r="G18" s="26">
        <v>129753205</v>
      </c>
      <c r="H18" s="23">
        <v>127664973</v>
      </c>
      <c r="I18" s="23">
        <v>135124059</v>
      </c>
      <c r="J18" s="23">
        <v>141631285</v>
      </c>
      <c r="K18" s="23">
        <v>185741609</v>
      </c>
      <c r="N18" s="6" t="str">
        <f t="shared" si="0"/>
        <v>Detroit Pistons</v>
      </c>
      <c r="O18" s="29">
        <f t="shared" si="1"/>
        <v>0</v>
      </c>
      <c r="P18" s="30">
        <f t="shared" si="2"/>
        <v>0</v>
      </c>
      <c r="Q18" s="19">
        <f>'NBA Valuations'!B13</f>
        <v>900</v>
      </c>
      <c r="R18" s="19">
        <f>'NBA Valuations'!K13</f>
        <v>3650</v>
      </c>
      <c r="S18" s="32">
        <f t="shared" si="3"/>
        <v>3.0555555555555554</v>
      </c>
    </row>
    <row r="19" spans="1:19" x14ac:dyDescent="0.2">
      <c r="A19" s="2" t="s">
        <v>10</v>
      </c>
      <c r="B19" s="26">
        <v>100255533</v>
      </c>
      <c r="C19" s="26">
        <v>136027513</v>
      </c>
      <c r="D19" s="26">
        <v>145463097</v>
      </c>
      <c r="E19" s="26">
        <v>132317044</v>
      </c>
      <c r="F19" s="26">
        <v>169212512</v>
      </c>
      <c r="G19" s="26">
        <v>175858992</v>
      </c>
      <c r="H19" s="23">
        <v>188371492</v>
      </c>
      <c r="I19" s="23">
        <v>205572662</v>
      </c>
      <c r="J19" s="23">
        <v>176887433</v>
      </c>
      <c r="K19" s="23">
        <v>204744987</v>
      </c>
      <c r="N19" s="6" t="str">
        <f t="shared" si="0"/>
        <v>Golden State Warriors</v>
      </c>
      <c r="O19" s="29">
        <f t="shared" si="1"/>
        <v>8</v>
      </c>
      <c r="P19" s="30">
        <f t="shared" si="2"/>
        <v>744152564</v>
      </c>
      <c r="Q19" s="19">
        <f>'NBA Valuations'!B14</f>
        <v>2600</v>
      </c>
      <c r="R19" s="19">
        <f>'NBA Valuations'!K14</f>
        <v>11000</v>
      </c>
      <c r="S19" s="32">
        <f t="shared" si="3"/>
        <v>3.2307692307692308</v>
      </c>
    </row>
    <row r="20" spans="1:19" x14ac:dyDescent="0.2">
      <c r="A20" s="2" t="s">
        <v>11</v>
      </c>
      <c r="B20" s="26">
        <v>91492845</v>
      </c>
      <c r="C20" s="26">
        <v>118271451</v>
      </c>
      <c r="D20" s="26">
        <v>121818799</v>
      </c>
      <c r="E20" s="26">
        <v>127339416</v>
      </c>
      <c r="F20" s="26">
        <v>128530270</v>
      </c>
      <c r="G20" s="26">
        <v>130727899</v>
      </c>
      <c r="H20" s="23">
        <v>135916481</v>
      </c>
      <c r="I20" s="23">
        <v>145269849</v>
      </c>
      <c r="J20" s="23">
        <v>169193565</v>
      </c>
      <c r="K20" s="23">
        <v>194689411</v>
      </c>
      <c r="N20" s="6" t="str">
        <f t="shared" si="0"/>
        <v>Houston Rockets</v>
      </c>
      <c r="O20" s="29">
        <f t="shared" si="1"/>
        <v>1</v>
      </c>
      <c r="P20" s="30">
        <f t="shared" si="2"/>
        <v>7071764</v>
      </c>
      <c r="Q20" s="19">
        <f>'NBA Valuations'!B15</f>
        <v>1700</v>
      </c>
      <c r="R20" s="19">
        <f>'NBA Valuations'!K15</f>
        <v>5900</v>
      </c>
      <c r="S20" s="32">
        <f t="shared" si="3"/>
        <v>2.4705882352941178</v>
      </c>
    </row>
    <row r="21" spans="1:19" x14ac:dyDescent="0.2">
      <c r="A21" s="2" t="s">
        <v>12</v>
      </c>
      <c r="B21" s="26">
        <v>94002004</v>
      </c>
      <c r="C21" s="26">
        <v>93661969</v>
      </c>
      <c r="D21" s="26">
        <v>110579462</v>
      </c>
      <c r="E21" s="26">
        <v>114591944</v>
      </c>
      <c r="F21" s="26">
        <v>128919308</v>
      </c>
      <c r="G21" s="26">
        <v>136538630</v>
      </c>
      <c r="H21" s="23">
        <v>122361469</v>
      </c>
      <c r="I21" s="23">
        <v>144877509</v>
      </c>
      <c r="J21" s="23">
        <v>169319284</v>
      </c>
      <c r="K21" s="23">
        <v>187759899</v>
      </c>
      <c r="N21" s="6" t="str">
        <f t="shared" si="0"/>
        <v>Indiana Pacers</v>
      </c>
      <c r="O21" s="29">
        <f t="shared" si="1"/>
        <v>0</v>
      </c>
      <c r="P21" s="30">
        <f t="shared" si="2"/>
        <v>0</v>
      </c>
      <c r="Q21" s="19">
        <f>'NBA Valuations'!B16</f>
        <v>880</v>
      </c>
      <c r="R21" s="19">
        <f>'NBA Valuations'!K16</f>
        <v>4200</v>
      </c>
      <c r="S21" s="32">
        <f t="shared" si="3"/>
        <v>3.7727272727272725</v>
      </c>
    </row>
    <row r="22" spans="1:19" x14ac:dyDescent="0.2">
      <c r="A22" s="2" t="s">
        <v>13</v>
      </c>
      <c r="B22" s="26">
        <v>115507492</v>
      </c>
      <c r="C22" s="26">
        <v>118817049</v>
      </c>
      <c r="D22" s="26">
        <v>118646874</v>
      </c>
      <c r="E22" s="26">
        <v>130154932</v>
      </c>
      <c r="F22" s="26">
        <v>137454771</v>
      </c>
      <c r="G22" s="26">
        <v>166162398</v>
      </c>
      <c r="H22" s="23">
        <v>191189228</v>
      </c>
      <c r="I22" s="23">
        <v>200060815</v>
      </c>
      <c r="J22" s="23">
        <v>170720454</v>
      </c>
      <c r="K22" s="23">
        <v>190116914</v>
      </c>
      <c r="N22" s="6" t="str">
        <f t="shared" si="0"/>
        <v>LA Clippers</v>
      </c>
      <c r="O22" s="29">
        <f t="shared" si="1"/>
        <v>6</v>
      </c>
      <c r="P22" s="30">
        <f t="shared" si="2"/>
        <v>381225011</v>
      </c>
      <c r="Q22" s="19">
        <f>'NBA Valuations'!B17</f>
        <v>2000</v>
      </c>
      <c r="R22" s="19">
        <f>'NBA Valuations'!K17</f>
        <v>7500</v>
      </c>
      <c r="S22" s="32">
        <f t="shared" si="3"/>
        <v>2.75</v>
      </c>
    </row>
    <row r="23" spans="1:19" x14ac:dyDescent="0.2">
      <c r="A23" s="2" t="s">
        <v>14</v>
      </c>
      <c r="B23" s="26">
        <v>94204120</v>
      </c>
      <c r="C23" s="26">
        <v>102177393</v>
      </c>
      <c r="D23" s="26">
        <v>105179629</v>
      </c>
      <c r="E23" s="26">
        <v>117956507</v>
      </c>
      <c r="F23" s="26">
        <v>136913272</v>
      </c>
      <c r="G23" s="26">
        <v>156636217</v>
      </c>
      <c r="H23" s="23">
        <v>167477836</v>
      </c>
      <c r="I23" s="23">
        <v>168055984</v>
      </c>
      <c r="J23" s="23">
        <v>188260871</v>
      </c>
      <c r="K23" s="23">
        <v>195302470</v>
      </c>
      <c r="N23" s="6" t="str">
        <f t="shared" si="0"/>
        <v>Los Angeles Lakers</v>
      </c>
      <c r="O23" s="29">
        <f t="shared" si="1"/>
        <v>6</v>
      </c>
      <c r="P23" s="30">
        <f t="shared" si="2"/>
        <v>168087602</v>
      </c>
      <c r="Q23" s="19">
        <f>'NBA Valuations'!B18</f>
        <v>3000</v>
      </c>
      <c r="R23" s="19">
        <f>'NBA Valuations'!K18</f>
        <v>10000</v>
      </c>
      <c r="S23" s="32">
        <f t="shared" si="3"/>
        <v>2.3333333333333335</v>
      </c>
    </row>
    <row r="24" spans="1:19" x14ac:dyDescent="0.2">
      <c r="A24" s="2" t="s">
        <v>15</v>
      </c>
      <c r="B24" s="26">
        <v>110869863</v>
      </c>
      <c r="C24" s="26">
        <v>109902725</v>
      </c>
      <c r="D24" s="26">
        <v>122076384</v>
      </c>
      <c r="E24" s="26">
        <v>129798650</v>
      </c>
      <c r="F24" s="26">
        <v>131004198</v>
      </c>
      <c r="G24" s="26">
        <v>115994102</v>
      </c>
      <c r="H24" s="23">
        <v>125666556</v>
      </c>
      <c r="I24" s="23">
        <v>157895653</v>
      </c>
      <c r="J24" s="23">
        <v>163865149</v>
      </c>
      <c r="K24" s="23">
        <v>156966505</v>
      </c>
      <c r="N24" s="6" t="str">
        <f t="shared" si="0"/>
        <v>Memphis Grizzlies</v>
      </c>
      <c r="O24" s="29">
        <f t="shared" si="1"/>
        <v>0</v>
      </c>
      <c r="P24" s="30">
        <f t="shared" si="2"/>
        <v>0</v>
      </c>
      <c r="Q24" s="19">
        <f>'NBA Valuations'!B19</f>
        <v>790</v>
      </c>
      <c r="R24" s="19">
        <f>'NBA Valuations'!K19</f>
        <v>3500</v>
      </c>
      <c r="S24" s="32">
        <f t="shared" si="3"/>
        <v>3.4303797468354427</v>
      </c>
    </row>
    <row r="25" spans="1:19" x14ac:dyDescent="0.2">
      <c r="A25" s="2" t="s">
        <v>16</v>
      </c>
      <c r="B25" s="26">
        <v>101846108</v>
      </c>
      <c r="C25" s="26">
        <v>105065917</v>
      </c>
      <c r="D25" s="26">
        <v>123178641</v>
      </c>
      <c r="E25" s="26">
        <v>134615772</v>
      </c>
      <c r="F25" s="26">
        <v>132346118</v>
      </c>
      <c r="G25" s="26">
        <v>135522461</v>
      </c>
      <c r="H25" s="23">
        <v>149110825</v>
      </c>
      <c r="I25" s="23">
        <v>174969385</v>
      </c>
      <c r="J25" s="23">
        <v>173599367</v>
      </c>
      <c r="K25" s="23">
        <v>187001274</v>
      </c>
      <c r="N25" s="6" t="str">
        <f t="shared" si="0"/>
        <v>Miami Heat</v>
      </c>
      <c r="O25" s="29">
        <f t="shared" si="1"/>
        <v>3</v>
      </c>
      <c r="P25" s="30">
        <f t="shared" si="2"/>
        <v>22321217</v>
      </c>
      <c r="Q25" s="19">
        <f>'NBA Valuations'!B20</f>
        <v>1400</v>
      </c>
      <c r="R25" s="19">
        <f>'NBA Valuations'!K20</f>
        <v>5700</v>
      </c>
      <c r="S25" s="32">
        <f t="shared" si="3"/>
        <v>3.0714285714285712</v>
      </c>
    </row>
    <row r="26" spans="1:19" x14ac:dyDescent="0.2">
      <c r="A26" s="2" t="s">
        <v>17</v>
      </c>
      <c r="B26" s="26">
        <v>92710827</v>
      </c>
      <c r="C26" s="26">
        <v>116214360</v>
      </c>
      <c r="D26" s="26">
        <v>122368320</v>
      </c>
      <c r="E26" s="26">
        <v>130404531</v>
      </c>
      <c r="F26" s="26">
        <v>133244133</v>
      </c>
      <c r="G26" s="26">
        <v>158985385</v>
      </c>
      <c r="H26" s="23">
        <v>180006727</v>
      </c>
      <c r="I26" s="23">
        <v>182344527</v>
      </c>
      <c r="J26" s="23">
        <v>181791983</v>
      </c>
      <c r="K26" s="23">
        <v>181597778</v>
      </c>
      <c r="N26" s="6" t="str">
        <f t="shared" si="0"/>
        <v>Milwaukee Bucks</v>
      </c>
      <c r="O26" s="29">
        <f t="shared" si="1"/>
        <v>5</v>
      </c>
      <c r="P26" s="30">
        <f t="shared" si="2"/>
        <v>218569402</v>
      </c>
      <c r="Q26" s="19">
        <f>'NBA Valuations'!B21</f>
        <v>785</v>
      </c>
      <c r="R26" s="19">
        <f>'NBA Valuations'!K21</f>
        <v>4300</v>
      </c>
      <c r="S26" s="32">
        <f t="shared" si="3"/>
        <v>4.4777070063694264</v>
      </c>
    </row>
    <row r="27" spans="1:19" ht="37" customHeight="1" x14ac:dyDescent="0.2">
      <c r="A27" s="2" t="s">
        <v>18</v>
      </c>
      <c r="B27" s="26">
        <v>69605957</v>
      </c>
      <c r="C27" s="26">
        <v>105338698</v>
      </c>
      <c r="D27" s="26">
        <v>120431914</v>
      </c>
      <c r="E27" s="26">
        <v>133543271</v>
      </c>
      <c r="F27" s="26">
        <v>129024393</v>
      </c>
      <c r="G27" s="26">
        <v>136105827</v>
      </c>
      <c r="H27" s="23">
        <v>143294647</v>
      </c>
      <c r="I27" s="23">
        <v>164528789</v>
      </c>
      <c r="J27" s="23">
        <v>202359194</v>
      </c>
      <c r="K27" s="23">
        <v>193821377</v>
      </c>
      <c r="N27" s="129" t="str">
        <f t="shared" si="0"/>
        <v>Minnesota Timberwolves</v>
      </c>
      <c r="O27" s="29">
        <f t="shared" si="1"/>
        <v>3</v>
      </c>
      <c r="P27" s="30">
        <f t="shared" si="2"/>
        <v>96891895</v>
      </c>
      <c r="Q27" s="19">
        <f>'NBA Valuations'!B22</f>
        <v>770</v>
      </c>
      <c r="R27" s="19">
        <f>'NBA Valuations'!K22</f>
        <v>3600</v>
      </c>
      <c r="S27" s="32">
        <f t="shared" si="3"/>
        <v>3.6753246753246751</v>
      </c>
    </row>
    <row r="28" spans="1:19" x14ac:dyDescent="0.2">
      <c r="A28" s="2" t="s">
        <v>19</v>
      </c>
      <c r="B28" s="26">
        <v>101485185</v>
      </c>
      <c r="C28" s="26">
        <v>118813359</v>
      </c>
      <c r="D28" s="26">
        <v>115358553</v>
      </c>
      <c r="E28" s="26">
        <v>117797425</v>
      </c>
      <c r="F28" s="26">
        <v>132616252</v>
      </c>
      <c r="G28" s="26">
        <v>133174471</v>
      </c>
      <c r="H28" s="23">
        <v>147529313</v>
      </c>
      <c r="I28" s="23">
        <v>165016607</v>
      </c>
      <c r="J28" s="23">
        <v>170690843</v>
      </c>
      <c r="K28" s="23">
        <v>187616561</v>
      </c>
      <c r="N28" s="6" t="str">
        <f t="shared" si="0"/>
        <v>New Orleans Pelicans</v>
      </c>
      <c r="O28" s="29">
        <f t="shared" si="1"/>
        <v>0</v>
      </c>
      <c r="P28" s="30">
        <f t="shared" si="2"/>
        <v>0</v>
      </c>
      <c r="Q28" s="19">
        <f>'NBA Valuations'!B23</f>
        <v>750</v>
      </c>
      <c r="R28" s="19">
        <f>'NBA Valuations'!K23</f>
        <v>3550</v>
      </c>
      <c r="S28" s="32">
        <f t="shared" si="3"/>
        <v>3.7333333333333334</v>
      </c>
    </row>
    <row r="29" spans="1:19" x14ac:dyDescent="0.2">
      <c r="A29" s="2" t="s">
        <v>20</v>
      </c>
      <c r="B29" s="26">
        <v>86487353</v>
      </c>
      <c r="C29" s="26">
        <v>104405156</v>
      </c>
      <c r="D29" s="26">
        <v>123265800</v>
      </c>
      <c r="E29" s="26">
        <v>110203043</v>
      </c>
      <c r="F29" s="26">
        <v>102005813</v>
      </c>
      <c r="G29" s="26">
        <v>118396240</v>
      </c>
      <c r="H29" s="23">
        <v>150265447</v>
      </c>
      <c r="I29" s="23">
        <v>163008066</v>
      </c>
      <c r="J29" s="23">
        <v>188877650</v>
      </c>
      <c r="K29" s="23">
        <v>207423230</v>
      </c>
      <c r="N29" s="6" t="str">
        <f t="shared" si="0"/>
        <v>New York Knicks</v>
      </c>
      <c r="O29" s="29">
        <f t="shared" si="1"/>
        <v>2</v>
      </c>
      <c r="P29" s="30">
        <f t="shared" si="2"/>
        <v>82471455</v>
      </c>
      <c r="Q29" s="19">
        <f>'NBA Valuations'!B24</f>
        <v>3300</v>
      </c>
      <c r="R29" s="19">
        <f>'NBA Valuations'!K24</f>
        <v>9750</v>
      </c>
      <c r="S29" s="32">
        <f t="shared" si="3"/>
        <v>1.9545454545454546</v>
      </c>
    </row>
    <row r="30" spans="1:19" x14ac:dyDescent="0.2">
      <c r="A30" s="2" t="s">
        <v>21</v>
      </c>
      <c r="B30" s="26">
        <v>91776909</v>
      </c>
      <c r="C30" s="26">
        <v>132920346</v>
      </c>
      <c r="D30" s="26">
        <v>142857060</v>
      </c>
      <c r="E30" s="26">
        <v>133583713</v>
      </c>
      <c r="F30" s="26">
        <v>95614047</v>
      </c>
      <c r="G30" s="26">
        <v>80938951</v>
      </c>
      <c r="H30" s="23">
        <v>148256695</v>
      </c>
      <c r="I30" s="23">
        <v>160525279</v>
      </c>
      <c r="J30" s="23">
        <v>166568467</v>
      </c>
      <c r="K30" s="23">
        <v>186877564</v>
      </c>
      <c r="N30" s="6" t="str">
        <f t="shared" si="0"/>
        <v>Oklahoma City Thunder</v>
      </c>
      <c r="O30" s="29">
        <f t="shared" si="1"/>
        <v>3</v>
      </c>
      <c r="P30" s="30">
        <f t="shared" si="2"/>
        <v>89119461</v>
      </c>
      <c r="Q30" s="19">
        <f>'NBA Valuations'!B25</f>
        <v>1000</v>
      </c>
      <c r="R30" s="19">
        <f>'NBA Valuations'!K25</f>
        <v>4350</v>
      </c>
      <c r="S30" s="32">
        <f t="shared" si="3"/>
        <v>3.3499999999999996</v>
      </c>
    </row>
    <row r="31" spans="1:19" x14ac:dyDescent="0.2">
      <c r="A31" s="2" t="s">
        <v>22</v>
      </c>
      <c r="B31" s="26">
        <v>104208445</v>
      </c>
      <c r="C31" s="26">
        <v>95538311</v>
      </c>
      <c r="D31" s="26">
        <v>114671036</v>
      </c>
      <c r="E31" s="26">
        <v>127492943</v>
      </c>
      <c r="F31" s="26">
        <v>114336509</v>
      </c>
      <c r="G31" s="26">
        <v>118063460</v>
      </c>
      <c r="H31" s="23">
        <v>124873438</v>
      </c>
      <c r="I31" s="23">
        <v>130964229</v>
      </c>
      <c r="J31" s="23">
        <v>152959238</v>
      </c>
      <c r="K31" s="23">
        <v>187342232</v>
      </c>
      <c r="N31" s="6" t="str">
        <f t="shared" si="0"/>
        <v>Orlando Magic</v>
      </c>
      <c r="O31" s="29">
        <f t="shared" si="1"/>
        <v>0</v>
      </c>
      <c r="P31" s="30">
        <f t="shared" si="2"/>
        <v>0</v>
      </c>
      <c r="Q31" s="19">
        <f>'NBA Valuations'!B26</f>
        <v>920</v>
      </c>
      <c r="R31" s="19">
        <f>'NBA Valuations'!K26</f>
        <v>3900</v>
      </c>
      <c r="S31" s="32">
        <f t="shared" si="3"/>
        <v>3.2391304347826084</v>
      </c>
    </row>
    <row r="32" spans="1:19" x14ac:dyDescent="0.2">
      <c r="A32" s="2" t="s">
        <v>23</v>
      </c>
      <c r="B32" s="26">
        <v>85945765</v>
      </c>
      <c r="C32" s="26">
        <v>100020936</v>
      </c>
      <c r="D32" s="26">
        <v>111962081</v>
      </c>
      <c r="E32" s="26">
        <v>129913129</v>
      </c>
      <c r="F32" s="26">
        <v>146158461</v>
      </c>
      <c r="G32" s="26">
        <v>145249786</v>
      </c>
      <c r="H32" s="23">
        <v>149571525</v>
      </c>
      <c r="I32" s="23">
        <v>164017084</v>
      </c>
      <c r="J32" s="23">
        <v>170547803</v>
      </c>
      <c r="K32" s="23">
        <v>187755871</v>
      </c>
      <c r="N32" s="6" t="str">
        <f t="shared" si="0"/>
        <v>Philadelphia 76ers</v>
      </c>
      <c r="O32" s="29">
        <f t="shared" si="1"/>
        <v>2</v>
      </c>
      <c r="P32" s="30">
        <f t="shared" si="2"/>
        <v>29476624</v>
      </c>
      <c r="Q32" s="19">
        <f>'NBA Valuations'!B27</f>
        <v>800</v>
      </c>
      <c r="R32" s="19">
        <f>'NBA Valuations'!K27</f>
        <v>5450</v>
      </c>
      <c r="S32" s="32">
        <f t="shared" si="3"/>
        <v>5.8125</v>
      </c>
    </row>
    <row r="33" spans="1:26" x14ac:dyDescent="0.2">
      <c r="A33" s="2" t="s">
        <v>24</v>
      </c>
      <c r="B33" s="26">
        <v>85055253</v>
      </c>
      <c r="C33" s="26">
        <v>92677405</v>
      </c>
      <c r="D33" s="26">
        <v>108491880</v>
      </c>
      <c r="E33" s="26">
        <v>120782748</v>
      </c>
      <c r="F33" s="26">
        <v>127115196</v>
      </c>
      <c r="G33" s="26">
        <v>133743364</v>
      </c>
      <c r="H33" s="23">
        <v>172516841</v>
      </c>
      <c r="I33" s="23">
        <v>191331329</v>
      </c>
      <c r="J33" s="23">
        <v>214371340</v>
      </c>
      <c r="K33" s="23">
        <v>186788399</v>
      </c>
      <c r="N33" s="6" t="str">
        <f t="shared" si="0"/>
        <v>Phoenix Suns</v>
      </c>
      <c r="O33" s="29">
        <f t="shared" si="1"/>
        <v>3</v>
      </c>
      <c r="P33" s="30">
        <f t="shared" si="2"/>
        <v>273858257</v>
      </c>
      <c r="Q33" s="19">
        <f>'NBA Valuations'!B28</f>
        <v>1100</v>
      </c>
      <c r="R33" s="19">
        <f>'NBA Valuations'!K28</f>
        <v>5425</v>
      </c>
      <c r="S33" s="32">
        <f t="shared" si="3"/>
        <v>3.9318181818181817</v>
      </c>
    </row>
    <row r="34" spans="1:26" ht="37" customHeight="1" x14ac:dyDescent="0.2">
      <c r="A34" s="2" t="s">
        <v>25</v>
      </c>
      <c r="B34" s="26">
        <v>113282538</v>
      </c>
      <c r="C34" s="26">
        <v>119265261</v>
      </c>
      <c r="D34" s="26">
        <v>133096018</v>
      </c>
      <c r="E34" s="26">
        <v>136592297</v>
      </c>
      <c r="F34" s="26">
        <v>130336680</v>
      </c>
      <c r="G34" s="26">
        <v>122048327</v>
      </c>
      <c r="H34" s="23">
        <v>144500020</v>
      </c>
      <c r="I34" s="23">
        <v>163965367</v>
      </c>
      <c r="J34" s="23">
        <v>167158526</v>
      </c>
      <c r="K34" s="23">
        <v>187189792</v>
      </c>
      <c r="N34" s="129" t="str">
        <f t="shared" si="0"/>
        <v>Portland Trail Blazers</v>
      </c>
      <c r="O34" s="29">
        <f t="shared" si="1"/>
        <v>2</v>
      </c>
      <c r="P34" s="30">
        <f t="shared" si="2"/>
        <v>20182084</v>
      </c>
      <c r="Q34" s="19">
        <f>'NBA Valuations'!B29</f>
        <v>1100</v>
      </c>
      <c r="R34" s="19">
        <f>'NBA Valuations'!K29</f>
        <v>4250</v>
      </c>
      <c r="S34" s="32">
        <f t="shared" si="3"/>
        <v>2.8636363636363638</v>
      </c>
    </row>
    <row r="35" spans="1:26" x14ac:dyDescent="0.2">
      <c r="A35" s="2" t="s">
        <v>26</v>
      </c>
      <c r="B35" s="26">
        <v>95476870</v>
      </c>
      <c r="C35" s="26">
        <v>95682824</v>
      </c>
      <c r="D35" s="26">
        <v>104114641</v>
      </c>
      <c r="E35" s="26">
        <v>116865503</v>
      </c>
      <c r="F35" s="26">
        <v>105580717</v>
      </c>
      <c r="G35" s="26">
        <v>130590674</v>
      </c>
      <c r="H35" s="23">
        <v>138104626</v>
      </c>
      <c r="I35" s="23">
        <v>148776215</v>
      </c>
      <c r="J35" s="23">
        <v>167543977</v>
      </c>
      <c r="K35" s="23">
        <v>186972158</v>
      </c>
      <c r="N35" s="6" t="str">
        <f t="shared" si="0"/>
        <v>Sacramento Kings</v>
      </c>
      <c r="O35" s="29">
        <f t="shared" si="1"/>
        <v>0</v>
      </c>
      <c r="P35" s="30">
        <f t="shared" si="2"/>
        <v>0</v>
      </c>
      <c r="Q35" s="19">
        <f>'NBA Valuations'!B30</f>
        <v>1100</v>
      </c>
      <c r="R35" s="19">
        <f>'NBA Valuations'!K30</f>
        <v>4450</v>
      </c>
      <c r="S35" s="32">
        <f t="shared" si="3"/>
        <v>3.0454545454545459</v>
      </c>
    </row>
    <row r="36" spans="1:26" x14ac:dyDescent="0.2">
      <c r="A36" s="2" t="s">
        <v>27</v>
      </c>
      <c r="B36" s="26">
        <v>108809101</v>
      </c>
      <c r="C36" s="26">
        <v>116968092</v>
      </c>
      <c r="D36" s="26">
        <v>121745335</v>
      </c>
      <c r="E36" s="26">
        <v>123832531</v>
      </c>
      <c r="F36" s="26">
        <v>128921740</v>
      </c>
      <c r="G36" s="26">
        <v>126419926</v>
      </c>
      <c r="H36" s="23">
        <v>101790136</v>
      </c>
      <c r="I36" s="23">
        <v>140880244</v>
      </c>
      <c r="J36" s="23">
        <v>162701506</v>
      </c>
      <c r="K36" s="23">
        <v>182990669</v>
      </c>
      <c r="N36" s="6" t="str">
        <f t="shared" si="0"/>
        <v>San Antonio Spurs</v>
      </c>
      <c r="O36" s="29">
        <f t="shared" si="1"/>
        <v>0</v>
      </c>
      <c r="P36" s="30">
        <f t="shared" si="2"/>
        <v>0</v>
      </c>
      <c r="Q36" s="19">
        <f>'NBA Valuations'!B31</f>
        <v>1200</v>
      </c>
      <c r="R36" s="19">
        <f>'NBA Valuations'!K31</f>
        <v>4400</v>
      </c>
      <c r="S36" s="32">
        <f t="shared" si="3"/>
        <v>2.6666666666666665</v>
      </c>
    </row>
    <row r="37" spans="1:26" x14ac:dyDescent="0.2">
      <c r="A37" s="2" t="s">
        <v>28</v>
      </c>
      <c r="B37" s="26">
        <v>108895146</v>
      </c>
      <c r="C37" s="26">
        <v>116583186</v>
      </c>
      <c r="D37" s="26">
        <v>137326477</v>
      </c>
      <c r="E37" s="26">
        <v>126663535</v>
      </c>
      <c r="F37" s="26">
        <v>128342124</v>
      </c>
      <c r="G37" s="26">
        <v>133708976</v>
      </c>
      <c r="H37" s="23">
        <v>149349039</v>
      </c>
      <c r="I37" s="23">
        <v>160265990</v>
      </c>
      <c r="J37" s="23">
        <v>170734397</v>
      </c>
      <c r="K37" s="23">
        <v>186996695</v>
      </c>
      <c r="N37" s="6" t="str">
        <f t="shared" si="0"/>
        <v>Toronto Raptors</v>
      </c>
      <c r="O37" s="29">
        <f t="shared" si="1"/>
        <v>1</v>
      </c>
      <c r="P37" s="30">
        <f t="shared" si="2"/>
        <v>25190963</v>
      </c>
      <c r="Q37" s="19">
        <f>'NBA Valuations'!B32</f>
        <v>1100</v>
      </c>
      <c r="R37" s="19">
        <f>'NBA Valuations'!K32</f>
        <v>5400</v>
      </c>
      <c r="S37" s="32">
        <f t="shared" si="3"/>
        <v>3.9090909090909092</v>
      </c>
    </row>
    <row r="38" spans="1:26" x14ac:dyDescent="0.2">
      <c r="A38" s="2" t="s">
        <v>29</v>
      </c>
      <c r="B38" s="26">
        <v>80498192</v>
      </c>
      <c r="C38" s="26">
        <v>106862254</v>
      </c>
      <c r="D38" s="26">
        <v>113437858</v>
      </c>
      <c r="E38" s="26">
        <v>128279617</v>
      </c>
      <c r="F38" s="26">
        <v>136299801</v>
      </c>
      <c r="G38" s="26">
        <v>145970126</v>
      </c>
      <c r="H38" s="23">
        <v>147574401</v>
      </c>
      <c r="I38" s="23">
        <v>131791303</v>
      </c>
      <c r="J38" s="23">
        <v>154114022</v>
      </c>
      <c r="K38" s="23">
        <v>172442670</v>
      </c>
      <c r="N38" s="6" t="str">
        <f t="shared" si="0"/>
        <v>Utah Jazz</v>
      </c>
      <c r="O38" s="29">
        <f t="shared" si="1"/>
        <v>2</v>
      </c>
      <c r="P38" s="30">
        <f t="shared" si="2"/>
        <v>24342462</v>
      </c>
      <c r="Q38" s="19">
        <f>'NBA Valuations'!B33</f>
        <v>910</v>
      </c>
      <c r="R38" s="19">
        <f>'NBA Valuations'!K33</f>
        <v>4100</v>
      </c>
      <c r="S38" s="32">
        <f t="shared" si="3"/>
        <v>3.5054945054945055</v>
      </c>
    </row>
    <row r="39" spans="1:26" x14ac:dyDescent="0.2">
      <c r="A39" s="2" t="s">
        <v>30</v>
      </c>
      <c r="B39" s="26">
        <v>103211636</v>
      </c>
      <c r="C39" s="26">
        <v>124114043</v>
      </c>
      <c r="D39" s="26">
        <v>123613751</v>
      </c>
      <c r="E39" s="26">
        <v>97584993</v>
      </c>
      <c r="F39" s="26">
        <v>130577328</v>
      </c>
      <c r="G39" s="26">
        <v>126147247</v>
      </c>
      <c r="H39" s="23">
        <v>150166106</v>
      </c>
      <c r="I39" s="23">
        <v>147595496</v>
      </c>
      <c r="J39" s="23">
        <v>169656752</v>
      </c>
      <c r="K39" s="23">
        <v>187070382</v>
      </c>
      <c r="N39" s="6" t="str">
        <f t="shared" si="0"/>
        <v>Washington Wizards</v>
      </c>
      <c r="O39" s="29">
        <f t="shared" si="1"/>
        <v>1</v>
      </c>
      <c r="P39" s="30">
        <f t="shared" si="2"/>
        <v>7000000</v>
      </c>
      <c r="Q39" s="19">
        <f>'NBA Valuations'!B34</f>
        <v>1000</v>
      </c>
      <c r="R39" s="19">
        <f>'NBA Valuations'!K34</f>
        <v>4700</v>
      </c>
      <c r="S39" s="32">
        <f t="shared" si="3"/>
        <v>3.7</v>
      </c>
    </row>
    <row r="41" spans="1:26" ht="18" x14ac:dyDescent="0.25">
      <c r="A41" s="22" t="s">
        <v>64</v>
      </c>
      <c r="N41" s="2" t="s">
        <v>73</v>
      </c>
    </row>
    <row r="42" spans="1:26" ht="37" customHeight="1" x14ac:dyDescent="0.2">
      <c r="A42" s="9" t="s">
        <v>0</v>
      </c>
      <c r="B42" s="25" t="s">
        <v>32</v>
      </c>
      <c r="C42" s="25" t="s">
        <v>33</v>
      </c>
      <c r="D42" s="25" t="s">
        <v>34</v>
      </c>
      <c r="E42" s="25" t="s">
        <v>35</v>
      </c>
      <c r="F42" s="25" t="s">
        <v>36</v>
      </c>
      <c r="G42" s="25" t="s">
        <v>37</v>
      </c>
      <c r="H42" s="25" t="s">
        <v>38</v>
      </c>
      <c r="I42" s="25" t="s">
        <v>39</v>
      </c>
      <c r="J42" s="25" t="s">
        <v>40</v>
      </c>
      <c r="K42" s="25" t="s">
        <v>41</v>
      </c>
      <c r="N42" s="10" t="str">
        <f>"Avg value growth – "&amp;COUNTIF(O10:O39,"&gt;0")&amp;" teams that paid the tax"</f>
        <v>Avg value growth – 20 teams that paid the tax</v>
      </c>
      <c r="O42" s="63"/>
      <c r="P42" s="63"/>
      <c r="Q42" s="63"/>
      <c r="R42" s="63"/>
      <c r="S42" s="28">
        <f>AVERAGEIF(O10:O39,"&gt;0",S10:S39)</f>
        <v>3.2380670724756562</v>
      </c>
    </row>
    <row r="43" spans="1:26" ht="37" customHeight="1" x14ac:dyDescent="0.2">
      <c r="A43" s="2" t="str">
        <f t="shared" ref="A43:A72" si="4">A10</f>
        <v>Atlanta Hawks</v>
      </c>
      <c r="B43" s="27">
        <f t="shared" ref="B43:L43" si="5">IF(ISNUMBER(B10),MAX(0,B10-B$5),"n/a")</f>
        <v>1433245</v>
      </c>
      <c r="C43" s="27">
        <f t="shared" si="5"/>
        <v>1015457</v>
      </c>
      <c r="D43" s="27">
        <f t="shared" si="5"/>
        <v>1817836</v>
      </c>
      <c r="E43" s="27">
        <f t="shared" si="5"/>
        <v>3158633</v>
      </c>
      <c r="F43" s="27">
        <f t="shared" si="5"/>
        <v>7555055</v>
      </c>
      <c r="G43" s="27">
        <f t="shared" si="5"/>
        <v>20363480</v>
      </c>
      <c r="H43" s="27">
        <f t="shared" si="5"/>
        <v>24921597</v>
      </c>
      <c r="I43" s="27">
        <f t="shared" si="5"/>
        <v>20118798</v>
      </c>
      <c r="J43" s="27">
        <f t="shared" si="5"/>
        <v>27793400</v>
      </c>
      <c r="K43" s="27">
        <f t="shared" si="5"/>
        <v>32122942</v>
      </c>
      <c r="N43" s="10" t="str">
        <f>"Avg value growth – "&amp;COUNTIF(O10:O39,0)&amp;" teams that never paid"</f>
        <v>Avg value growth – 10 teams that never paid</v>
      </c>
      <c r="O43" s="63"/>
      <c r="P43" s="63"/>
      <c r="Q43" s="63"/>
      <c r="R43" s="63"/>
      <c r="S43" s="28">
        <f>AVERAGEIF(O10:O39,0,S10:S39)</f>
        <v>3.2864759941274593</v>
      </c>
    </row>
    <row r="44" spans="1:26" x14ac:dyDescent="0.2">
      <c r="A44" s="2" t="str">
        <f t="shared" si="4"/>
        <v>Boston Celtics</v>
      </c>
      <c r="B44" s="27">
        <f t="shared" ref="B44:L44" si="6">IF(ISNUMBER(B11),MAX(0,B11-B$5),"n/a")</f>
        <v>0</v>
      </c>
      <c r="C44" s="27">
        <f t="shared" si="6"/>
        <v>16638460</v>
      </c>
      <c r="D44" s="27">
        <f t="shared" si="6"/>
        <v>24444549</v>
      </c>
      <c r="E44" s="27">
        <f t="shared" si="6"/>
        <v>9297085</v>
      </c>
      <c r="F44" s="27">
        <f t="shared" si="6"/>
        <v>21583102</v>
      </c>
      <c r="G44" s="27">
        <f t="shared" si="6"/>
        <v>23312703</v>
      </c>
      <c r="H44" s="27">
        <f t="shared" si="6"/>
        <v>53077455</v>
      </c>
      <c r="I44" s="27">
        <f t="shared" si="6"/>
        <v>47455284</v>
      </c>
      <c r="J44" s="27">
        <f t="shared" si="6"/>
        <v>52510445</v>
      </c>
      <c r="K44" s="27">
        <f t="shared" si="6"/>
        <v>32610831</v>
      </c>
    </row>
    <row r="45" spans="1:26" ht="18" x14ac:dyDescent="0.25">
      <c r="A45" s="2" t="str">
        <f t="shared" si="4"/>
        <v>Brooklyn Nets</v>
      </c>
      <c r="B45" s="27">
        <f t="shared" ref="B45:L45" si="7">IF(ISNUMBER(B12),MAX(0,B12-B$5),"n/a")</f>
        <v>0</v>
      </c>
      <c r="C45" s="27">
        <f t="shared" si="7"/>
        <v>0</v>
      </c>
      <c r="D45" s="27">
        <f t="shared" si="7"/>
        <v>15778794</v>
      </c>
      <c r="E45" s="27">
        <f t="shared" si="7"/>
        <v>0</v>
      </c>
      <c r="F45" s="27">
        <f t="shared" si="7"/>
        <v>57035317</v>
      </c>
      <c r="G45" s="27">
        <f t="shared" si="7"/>
        <v>56872329</v>
      </c>
      <c r="H45" s="27">
        <f t="shared" si="7"/>
        <v>34715057</v>
      </c>
      <c r="I45" s="27">
        <f t="shared" si="7"/>
        <v>15700032</v>
      </c>
      <c r="J45" s="27">
        <f t="shared" si="7"/>
        <v>29909768</v>
      </c>
      <c r="K45" s="27">
        <f t="shared" si="7"/>
        <v>0</v>
      </c>
      <c r="N45" s="33" t="s">
        <v>74</v>
      </c>
    </row>
    <row r="46" spans="1:26" ht="58" customHeight="1" x14ac:dyDescent="0.2">
      <c r="A46" s="2" t="str">
        <f t="shared" si="4"/>
        <v>Charlotte Hornets</v>
      </c>
      <c r="B46" s="27">
        <f t="shared" ref="B46:L46" si="8">IF(ISNUMBER(B13),MAX(0,B13-B$5),"n/a")</f>
        <v>7925166</v>
      </c>
      <c r="C46" s="27">
        <f t="shared" si="8"/>
        <v>18135164</v>
      </c>
      <c r="D46" s="27">
        <f t="shared" si="8"/>
        <v>19941182</v>
      </c>
      <c r="E46" s="27">
        <f t="shared" si="8"/>
        <v>14956301</v>
      </c>
      <c r="F46" s="27">
        <f t="shared" si="8"/>
        <v>0</v>
      </c>
      <c r="G46" s="27">
        <f t="shared" si="8"/>
        <v>8576744</v>
      </c>
      <c r="H46" s="27">
        <f t="shared" si="8"/>
        <v>897439</v>
      </c>
      <c r="I46" s="27">
        <f t="shared" si="8"/>
        <v>1138325</v>
      </c>
      <c r="J46" s="27">
        <f t="shared" si="8"/>
        <v>26719747</v>
      </c>
      <c r="K46" s="27">
        <f t="shared" si="8"/>
        <v>28783210</v>
      </c>
      <c r="N46" s="61" t="s">
        <v>75</v>
      </c>
      <c r="O46" s="62"/>
      <c r="P46" s="62"/>
      <c r="Q46" s="62"/>
      <c r="R46" s="62"/>
      <c r="S46" s="62"/>
      <c r="T46" s="62"/>
      <c r="U46" s="62"/>
      <c r="V46" s="62"/>
      <c r="W46" s="62"/>
      <c r="X46" s="62"/>
      <c r="Y46" s="62"/>
      <c r="Z46" s="62"/>
    </row>
    <row r="47" spans="1:26" ht="69" customHeight="1" x14ac:dyDescent="0.2">
      <c r="A47" s="2" t="str">
        <f t="shared" si="4"/>
        <v>Chicago Bulls</v>
      </c>
      <c r="B47" s="27">
        <f t="shared" ref="B47:L47" si="9">IF(ISNUMBER(B14),MAX(0,B14-B$5),"n/a")</f>
        <v>0</v>
      </c>
      <c r="C47" s="27">
        <f t="shared" si="9"/>
        <v>0</v>
      </c>
      <c r="D47" s="27">
        <f t="shared" si="9"/>
        <v>10157072</v>
      </c>
      <c r="E47" s="27">
        <f t="shared" si="9"/>
        <v>4068742</v>
      </c>
      <c r="F47" s="27">
        <f t="shared" si="9"/>
        <v>18925350</v>
      </c>
      <c r="G47" s="27">
        <f t="shared" si="9"/>
        <v>22215608</v>
      </c>
      <c r="H47" s="27">
        <f t="shared" si="9"/>
        <v>25809753</v>
      </c>
      <c r="I47" s="27">
        <f t="shared" si="9"/>
        <v>28411853</v>
      </c>
      <c r="J47" s="27">
        <f t="shared" si="9"/>
        <v>25331354</v>
      </c>
      <c r="K47" s="27">
        <f t="shared" si="9"/>
        <v>28186631</v>
      </c>
      <c r="N47" s="61" t="s">
        <v>76</v>
      </c>
      <c r="O47" s="62"/>
      <c r="P47" s="62"/>
      <c r="Q47" s="62"/>
      <c r="R47" s="62"/>
      <c r="S47" s="62"/>
      <c r="T47" s="62"/>
      <c r="U47" s="62"/>
      <c r="V47" s="62"/>
      <c r="W47" s="62"/>
      <c r="X47" s="62"/>
      <c r="Y47" s="62"/>
      <c r="Z47" s="62"/>
    </row>
    <row r="48" spans="1:26" ht="58" customHeight="1" x14ac:dyDescent="0.2">
      <c r="A48" s="2" t="str">
        <f t="shared" si="4"/>
        <v>Cleveland Cavaliers</v>
      </c>
      <c r="B48" s="27">
        <f t="shared" ref="B48:L48" si="10">IF(ISNUMBER(B15),MAX(0,B15-B$5),"n/a")</f>
        <v>32447785</v>
      </c>
      <c r="C48" s="27">
        <f t="shared" si="10"/>
        <v>36887450</v>
      </c>
      <c r="D48" s="27">
        <f t="shared" si="10"/>
        <v>21828967</v>
      </c>
      <c r="E48" s="27">
        <f t="shared" si="10"/>
        <v>23041946</v>
      </c>
      <c r="F48" s="27">
        <f t="shared" si="10"/>
        <v>17594856</v>
      </c>
      <c r="G48" s="27">
        <f t="shared" si="10"/>
        <v>20724401</v>
      </c>
      <c r="H48" s="27">
        <f t="shared" si="10"/>
        <v>25596300</v>
      </c>
      <c r="I48" s="27">
        <f t="shared" si="10"/>
        <v>27918463</v>
      </c>
      <c r="J48" s="27">
        <f t="shared" si="10"/>
        <v>29556576</v>
      </c>
      <c r="K48" s="27">
        <f t="shared" si="10"/>
        <v>57698289</v>
      </c>
      <c r="N48" s="61" t="s">
        <v>77</v>
      </c>
      <c r="O48" s="62"/>
      <c r="P48" s="62"/>
      <c r="Q48" s="62"/>
      <c r="R48" s="62"/>
      <c r="S48" s="62"/>
      <c r="T48" s="62"/>
      <c r="U48" s="62"/>
      <c r="V48" s="62"/>
      <c r="W48" s="62"/>
      <c r="X48" s="62"/>
      <c r="Y48" s="62"/>
      <c r="Z48" s="62"/>
    </row>
    <row r="49" spans="1:26" ht="102" customHeight="1" x14ac:dyDescent="0.2">
      <c r="A49" s="2" t="str">
        <f t="shared" si="4"/>
        <v>Dallas Mavericks</v>
      </c>
      <c r="B49" s="27">
        <f t="shared" ref="B49:L49" si="11">IF(ISNUMBER(B16),MAX(0,B16-B$5),"n/a")</f>
        <v>11530612</v>
      </c>
      <c r="C49" s="27">
        <f t="shared" si="11"/>
        <v>0</v>
      </c>
      <c r="D49" s="27">
        <f t="shared" si="11"/>
        <v>0</v>
      </c>
      <c r="E49" s="27">
        <f t="shared" si="11"/>
        <v>12159167</v>
      </c>
      <c r="F49" s="27">
        <f t="shared" si="11"/>
        <v>16675404</v>
      </c>
      <c r="G49" s="27">
        <f t="shared" si="11"/>
        <v>12336009</v>
      </c>
      <c r="H49" s="27">
        <f t="shared" si="11"/>
        <v>49730738</v>
      </c>
      <c r="I49" s="27">
        <f t="shared" si="11"/>
        <v>28610111</v>
      </c>
      <c r="J49" s="27">
        <f t="shared" si="11"/>
        <v>33655724</v>
      </c>
      <c r="K49" s="27">
        <f t="shared" si="11"/>
        <v>28389411</v>
      </c>
      <c r="N49" s="61" t="s">
        <v>280</v>
      </c>
      <c r="O49" s="62"/>
      <c r="P49" s="62"/>
      <c r="Q49" s="62"/>
      <c r="R49" s="62"/>
      <c r="S49" s="62"/>
      <c r="T49" s="62"/>
      <c r="U49" s="62"/>
      <c r="V49" s="62"/>
      <c r="W49" s="62"/>
      <c r="X49" s="62"/>
      <c r="Y49" s="62"/>
      <c r="Z49" s="62"/>
    </row>
    <row r="50" spans="1:26" ht="69" customHeight="1" x14ac:dyDescent="0.2">
      <c r="A50" s="2" t="str">
        <f t="shared" si="4"/>
        <v>Denver Nuggets</v>
      </c>
      <c r="B50" s="27">
        <f t="shared" ref="B50:L50" si="12">IF(ISNUMBER(B17),MAX(0,B17-B$5),"n/a")</f>
        <v>0</v>
      </c>
      <c r="C50" s="27">
        <f t="shared" si="12"/>
        <v>7422203</v>
      </c>
      <c r="D50" s="27">
        <f t="shared" si="12"/>
        <v>14930912</v>
      </c>
      <c r="E50" s="27">
        <f t="shared" si="12"/>
        <v>21123965</v>
      </c>
      <c r="F50" s="27">
        <f t="shared" si="12"/>
        <v>19439406</v>
      </c>
      <c r="G50" s="27">
        <f t="shared" si="12"/>
        <v>23640862</v>
      </c>
      <c r="H50" s="27">
        <f t="shared" si="12"/>
        <v>37033004</v>
      </c>
      <c r="I50" s="27">
        <f t="shared" si="12"/>
        <v>40869198</v>
      </c>
      <c r="J50" s="27">
        <f t="shared" si="12"/>
        <v>41986315</v>
      </c>
      <c r="K50" s="27">
        <f t="shared" si="12"/>
        <v>32642504</v>
      </c>
      <c r="N50" s="61" t="s">
        <v>327</v>
      </c>
      <c r="O50" s="62"/>
      <c r="P50" s="62"/>
      <c r="Q50" s="62"/>
      <c r="R50" s="62"/>
      <c r="S50" s="62"/>
      <c r="T50" s="62"/>
      <c r="U50" s="62"/>
      <c r="V50" s="62"/>
      <c r="W50" s="62"/>
      <c r="X50" s="62"/>
      <c r="Y50" s="62"/>
      <c r="Z50" s="62"/>
    </row>
    <row r="51" spans="1:26" x14ac:dyDescent="0.2">
      <c r="A51" s="2" t="str">
        <f t="shared" si="4"/>
        <v>Detroit Pistons</v>
      </c>
      <c r="B51" s="27">
        <f t="shared" ref="B51:L51" si="13">IF(ISNUMBER(B18),MAX(0,B18-B$5),"n/a")</f>
        <v>13758937</v>
      </c>
      <c r="C51" s="27">
        <f t="shared" si="13"/>
        <v>19804722</v>
      </c>
      <c r="D51" s="27">
        <f t="shared" si="13"/>
        <v>21612463</v>
      </c>
      <c r="E51" s="27">
        <f t="shared" si="13"/>
        <v>22111409</v>
      </c>
      <c r="F51" s="27">
        <f t="shared" si="13"/>
        <v>5945331</v>
      </c>
      <c r="G51" s="27">
        <f t="shared" si="13"/>
        <v>17339205</v>
      </c>
      <c r="H51" s="27">
        <f t="shared" si="13"/>
        <v>4009973</v>
      </c>
      <c r="I51" s="27">
        <f t="shared" si="13"/>
        <v>0</v>
      </c>
      <c r="J51" s="27">
        <f t="shared" si="13"/>
        <v>1043285</v>
      </c>
      <c r="K51" s="27">
        <f t="shared" si="13"/>
        <v>31094609</v>
      </c>
    </row>
    <row r="52" spans="1:26" x14ac:dyDescent="0.2">
      <c r="A52" s="2" t="str">
        <f t="shared" si="4"/>
        <v>Golden State Warriors</v>
      </c>
      <c r="B52" s="27">
        <f t="shared" ref="B52:L52" si="14">IF(ISNUMBER(B19),MAX(0,B19-B$5),"n/a")</f>
        <v>6112533</v>
      </c>
      <c r="C52" s="27">
        <f t="shared" si="14"/>
        <v>36934513</v>
      </c>
      <c r="D52" s="27">
        <f t="shared" si="14"/>
        <v>43594097</v>
      </c>
      <c r="E52" s="27">
        <f t="shared" si="14"/>
        <v>23177044</v>
      </c>
      <c r="F52" s="27">
        <f t="shared" si="14"/>
        <v>60072512</v>
      </c>
      <c r="G52" s="27">
        <f t="shared" si="14"/>
        <v>63444992</v>
      </c>
      <c r="H52" s="27">
        <f t="shared" si="14"/>
        <v>64716492</v>
      </c>
      <c r="I52" s="27">
        <f t="shared" si="14"/>
        <v>69551662</v>
      </c>
      <c r="J52" s="27">
        <f t="shared" si="14"/>
        <v>36299433</v>
      </c>
      <c r="K52" s="27">
        <f t="shared" si="14"/>
        <v>50097987</v>
      </c>
    </row>
    <row r="53" spans="1:26" x14ac:dyDescent="0.2">
      <c r="A53" s="2" t="str">
        <f t="shared" si="4"/>
        <v>Houston Rockets</v>
      </c>
      <c r="B53" s="27">
        <f t="shared" ref="B53:L53" si="15">IF(ISNUMBER(B20),MAX(0,B20-B$5),"n/a")</f>
        <v>0</v>
      </c>
      <c r="C53" s="27">
        <f t="shared" si="15"/>
        <v>19178451</v>
      </c>
      <c r="D53" s="27">
        <f t="shared" si="15"/>
        <v>19949799</v>
      </c>
      <c r="E53" s="27">
        <f t="shared" si="15"/>
        <v>18199416</v>
      </c>
      <c r="F53" s="27">
        <f t="shared" si="15"/>
        <v>19390270</v>
      </c>
      <c r="G53" s="27">
        <f t="shared" si="15"/>
        <v>18313899</v>
      </c>
      <c r="H53" s="27">
        <f t="shared" si="15"/>
        <v>12261481</v>
      </c>
      <c r="I53" s="27">
        <f t="shared" si="15"/>
        <v>9248849</v>
      </c>
      <c r="J53" s="27">
        <f t="shared" si="15"/>
        <v>28605565</v>
      </c>
      <c r="K53" s="27">
        <f t="shared" si="15"/>
        <v>40042411</v>
      </c>
    </row>
    <row r="54" spans="1:26" x14ac:dyDescent="0.2">
      <c r="A54" s="2" t="str">
        <f t="shared" si="4"/>
        <v>Indiana Pacers</v>
      </c>
      <c r="B54" s="27">
        <f t="shared" ref="B54:L54" si="16">IF(ISNUMBER(B21),MAX(0,B21-B$5),"n/a")</f>
        <v>0</v>
      </c>
      <c r="C54" s="27">
        <f t="shared" si="16"/>
        <v>0</v>
      </c>
      <c r="D54" s="27">
        <f t="shared" si="16"/>
        <v>8710462</v>
      </c>
      <c r="E54" s="27">
        <f t="shared" si="16"/>
        <v>5451944</v>
      </c>
      <c r="F54" s="27">
        <f t="shared" si="16"/>
        <v>19779308</v>
      </c>
      <c r="G54" s="27">
        <f t="shared" si="16"/>
        <v>24124630</v>
      </c>
      <c r="H54" s="27">
        <f t="shared" si="16"/>
        <v>0</v>
      </c>
      <c r="I54" s="27">
        <f t="shared" si="16"/>
        <v>8856509</v>
      </c>
      <c r="J54" s="27">
        <f t="shared" si="16"/>
        <v>28731284</v>
      </c>
      <c r="K54" s="27">
        <f t="shared" si="16"/>
        <v>33112899</v>
      </c>
    </row>
    <row r="55" spans="1:26" x14ac:dyDescent="0.2">
      <c r="A55" s="2" t="str">
        <f t="shared" si="4"/>
        <v>LA Clippers</v>
      </c>
      <c r="B55" s="27">
        <f t="shared" ref="B55:L55" si="17">IF(ISNUMBER(B22),MAX(0,B22-B$5),"n/a")</f>
        <v>21364492</v>
      </c>
      <c r="C55" s="27">
        <f t="shared" si="17"/>
        <v>19724049</v>
      </c>
      <c r="D55" s="27">
        <f t="shared" si="17"/>
        <v>16777874</v>
      </c>
      <c r="E55" s="27">
        <f t="shared" si="17"/>
        <v>21014932</v>
      </c>
      <c r="F55" s="27">
        <f t="shared" si="17"/>
        <v>28314771</v>
      </c>
      <c r="G55" s="27">
        <f t="shared" si="17"/>
        <v>53748398</v>
      </c>
      <c r="H55" s="27">
        <f t="shared" si="17"/>
        <v>67534228</v>
      </c>
      <c r="I55" s="27">
        <f t="shared" si="17"/>
        <v>64039815</v>
      </c>
      <c r="J55" s="27">
        <f t="shared" si="17"/>
        <v>30132454</v>
      </c>
      <c r="K55" s="27">
        <f t="shared" si="17"/>
        <v>35469914</v>
      </c>
    </row>
    <row r="56" spans="1:26" x14ac:dyDescent="0.2">
      <c r="A56" s="2" t="str">
        <f t="shared" si="4"/>
        <v>Los Angeles Lakers</v>
      </c>
      <c r="B56" s="27">
        <f t="shared" ref="B56:L56" si="18">IF(ISNUMBER(B23),MAX(0,B23-B$5),"n/a")</f>
        <v>61120</v>
      </c>
      <c r="C56" s="27">
        <f t="shared" si="18"/>
        <v>3084393</v>
      </c>
      <c r="D56" s="27">
        <f t="shared" si="18"/>
        <v>3310629</v>
      </c>
      <c r="E56" s="27">
        <f t="shared" si="18"/>
        <v>8816507</v>
      </c>
      <c r="F56" s="27">
        <f t="shared" si="18"/>
        <v>27773272</v>
      </c>
      <c r="G56" s="27">
        <f t="shared" si="18"/>
        <v>44222217</v>
      </c>
      <c r="H56" s="27">
        <f t="shared" si="18"/>
        <v>43822836</v>
      </c>
      <c r="I56" s="27">
        <f t="shared" si="18"/>
        <v>32034984</v>
      </c>
      <c r="J56" s="27">
        <f t="shared" si="18"/>
        <v>47672871</v>
      </c>
      <c r="K56" s="27">
        <f t="shared" si="18"/>
        <v>40655470</v>
      </c>
    </row>
    <row r="57" spans="1:26" x14ac:dyDescent="0.2">
      <c r="A57" s="2" t="str">
        <f t="shared" si="4"/>
        <v>Memphis Grizzlies</v>
      </c>
      <c r="B57" s="27">
        <f t="shared" ref="B57:L57" si="19">IF(ISNUMBER(B24),MAX(0,B24-B$5),"n/a")</f>
        <v>16726863</v>
      </c>
      <c r="C57" s="27">
        <f t="shared" si="19"/>
        <v>10809725</v>
      </c>
      <c r="D57" s="27">
        <f t="shared" si="19"/>
        <v>20207384</v>
      </c>
      <c r="E57" s="27">
        <f t="shared" si="19"/>
        <v>20658650</v>
      </c>
      <c r="F57" s="27">
        <f t="shared" si="19"/>
        <v>21864198</v>
      </c>
      <c r="G57" s="27">
        <f t="shared" si="19"/>
        <v>3580102</v>
      </c>
      <c r="H57" s="27">
        <f t="shared" si="19"/>
        <v>2011556</v>
      </c>
      <c r="I57" s="27">
        <f t="shared" si="19"/>
        <v>21874653</v>
      </c>
      <c r="J57" s="27">
        <f t="shared" si="19"/>
        <v>23277149</v>
      </c>
      <c r="K57" s="27">
        <f t="shared" si="19"/>
        <v>2319505</v>
      </c>
    </row>
    <row r="58" spans="1:26" x14ac:dyDescent="0.2">
      <c r="A58" s="2" t="str">
        <f t="shared" si="4"/>
        <v>Miami Heat</v>
      </c>
      <c r="B58" s="27">
        <f t="shared" ref="B58:L58" si="20">IF(ISNUMBER(B25),MAX(0,B25-B$5),"n/a")</f>
        <v>7703108</v>
      </c>
      <c r="C58" s="27">
        <f t="shared" si="20"/>
        <v>5972917</v>
      </c>
      <c r="D58" s="27">
        <f t="shared" si="20"/>
        <v>21309641</v>
      </c>
      <c r="E58" s="27">
        <f t="shared" si="20"/>
        <v>25475772</v>
      </c>
      <c r="F58" s="27">
        <f t="shared" si="20"/>
        <v>23206118</v>
      </c>
      <c r="G58" s="27">
        <f t="shared" si="20"/>
        <v>23108461</v>
      </c>
      <c r="H58" s="27">
        <f t="shared" si="20"/>
        <v>25455825</v>
      </c>
      <c r="I58" s="27">
        <f t="shared" si="20"/>
        <v>38948385</v>
      </c>
      <c r="J58" s="27">
        <f t="shared" si="20"/>
        <v>33011367</v>
      </c>
      <c r="K58" s="27">
        <f t="shared" si="20"/>
        <v>32354274</v>
      </c>
    </row>
    <row r="59" spans="1:26" x14ac:dyDescent="0.2">
      <c r="A59" s="2" t="str">
        <f t="shared" si="4"/>
        <v>Milwaukee Bucks</v>
      </c>
      <c r="B59" s="27">
        <f t="shared" ref="B59:L59" si="21">IF(ISNUMBER(B26),MAX(0,B26-B$5),"n/a")</f>
        <v>0</v>
      </c>
      <c r="C59" s="27">
        <f t="shared" si="21"/>
        <v>17121360</v>
      </c>
      <c r="D59" s="27">
        <f t="shared" si="21"/>
        <v>20499320</v>
      </c>
      <c r="E59" s="27">
        <f t="shared" si="21"/>
        <v>21264531</v>
      </c>
      <c r="F59" s="27">
        <f t="shared" si="21"/>
        <v>24104133</v>
      </c>
      <c r="G59" s="27">
        <f t="shared" si="21"/>
        <v>46571385</v>
      </c>
      <c r="H59" s="27">
        <f t="shared" si="21"/>
        <v>56351727</v>
      </c>
      <c r="I59" s="27">
        <f t="shared" si="21"/>
        <v>46323527</v>
      </c>
      <c r="J59" s="27">
        <f t="shared" si="21"/>
        <v>41203983</v>
      </c>
      <c r="K59" s="27">
        <f t="shared" si="21"/>
        <v>26950778</v>
      </c>
    </row>
    <row r="60" spans="1:26" x14ac:dyDescent="0.2">
      <c r="A60" s="2" t="str">
        <f t="shared" si="4"/>
        <v>Minnesota Timberwolves</v>
      </c>
      <c r="B60" s="27">
        <f t="shared" ref="B60:L60" si="22">IF(ISNUMBER(B27),MAX(0,B27-B$5),"n/a")</f>
        <v>0</v>
      </c>
      <c r="C60" s="27">
        <f t="shared" si="22"/>
        <v>6245698</v>
      </c>
      <c r="D60" s="27">
        <f t="shared" si="22"/>
        <v>18562914</v>
      </c>
      <c r="E60" s="27">
        <f t="shared" si="22"/>
        <v>24403271</v>
      </c>
      <c r="F60" s="27">
        <f t="shared" si="22"/>
        <v>19884393</v>
      </c>
      <c r="G60" s="27">
        <f t="shared" si="22"/>
        <v>23691827</v>
      </c>
      <c r="H60" s="27">
        <f t="shared" si="22"/>
        <v>19639647</v>
      </c>
      <c r="I60" s="27">
        <f t="shared" si="22"/>
        <v>28507789</v>
      </c>
      <c r="J60" s="27">
        <f t="shared" si="22"/>
        <v>61771194</v>
      </c>
      <c r="K60" s="27">
        <f t="shared" si="22"/>
        <v>39174377</v>
      </c>
    </row>
    <row r="61" spans="1:26" x14ac:dyDescent="0.2">
      <c r="A61" s="2" t="str">
        <f t="shared" si="4"/>
        <v>New Orleans Pelicans</v>
      </c>
      <c r="B61" s="27">
        <f t="shared" ref="B61:L61" si="23">IF(ISNUMBER(B28),MAX(0,B28-B$5),"n/a")</f>
        <v>7342185</v>
      </c>
      <c r="C61" s="27">
        <f t="shared" si="23"/>
        <v>19720359</v>
      </c>
      <c r="D61" s="27">
        <f t="shared" si="23"/>
        <v>13489553</v>
      </c>
      <c r="E61" s="27">
        <f t="shared" si="23"/>
        <v>8657425</v>
      </c>
      <c r="F61" s="27">
        <f t="shared" si="23"/>
        <v>23476252</v>
      </c>
      <c r="G61" s="27">
        <f t="shared" si="23"/>
        <v>20760471</v>
      </c>
      <c r="H61" s="27">
        <f t="shared" si="23"/>
        <v>23874313</v>
      </c>
      <c r="I61" s="27">
        <f t="shared" si="23"/>
        <v>28995607</v>
      </c>
      <c r="J61" s="27">
        <f t="shared" si="23"/>
        <v>30102843</v>
      </c>
      <c r="K61" s="27">
        <f t="shared" si="23"/>
        <v>32969561</v>
      </c>
    </row>
    <row r="62" spans="1:26" x14ac:dyDescent="0.2">
      <c r="A62" s="2" t="str">
        <f t="shared" si="4"/>
        <v>New York Knicks</v>
      </c>
      <c r="B62" s="27">
        <f t="shared" ref="B62:L62" si="24">IF(ISNUMBER(B29),MAX(0,B29-B$5),"n/a")</f>
        <v>0</v>
      </c>
      <c r="C62" s="27">
        <f t="shared" si="24"/>
        <v>5312156</v>
      </c>
      <c r="D62" s="27">
        <f t="shared" si="24"/>
        <v>21396800</v>
      </c>
      <c r="E62" s="27">
        <f t="shared" si="24"/>
        <v>1063043</v>
      </c>
      <c r="F62" s="27">
        <f t="shared" si="24"/>
        <v>0</v>
      </c>
      <c r="G62" s="27">
        <f t="shared" si="24"/>
        <v>5982240</v>
      </c>
      <c r="H62" s="27">
        <f t="shared" si="24"/>
        <v>26610447</v>
      </c>
      <c r="I62" s="27">
        <f t="shared" si="24"/>
        <v>26987066</v>
      </c>
      <c r="J62" s="27">
        <f t="shared" si="24"/>
        <v>48289650</v>
      </c>
      <c r="K62" s="27">
        <f t="shared" si="24"/>
        <v>52776230</v>
      </c>
    </row>
    <row r="63" spans="1:26" x14ac:dyDescent="0.2">
      <c r="A63" s="2" t="str">
        <f t="shared" si="4"/>
        <v>Oklahoma City Thunder</v>
      </c>
      <c r="B63" s="27">
        <f t="shared" ref="B63:L63" si="25">IF(ISNUMBER(B30),MAX(0,B30-B$5),"n/a")</f>
        <v>0</v>
      </c>
      <c r="C63" s="27">
        <f t="shared" si="25"/>
        <v>33827346</v>
      </c>
      <c r="D63" s="27">
        <f t="shared" si="25"/>
        <v>40988060</v>
      </c>
      <c r="E63" s="27">
        <f t="shared" si="25"/>
        <v>24443713</v>
      </c>
      <c r="F63" s="27">
        <f t="shared" si="25"/>
        <v>0</v>
      </c>
      <c r="G63" s="27">
        <f t="shared" si="25"/>
        <v>0</v>
      </c>
      <c r="H63" s="27">
        <f t="shared" si="25"/>
        <v>24601695</v>
      </c>
      <c r="I63" s="27">
        <f t="shared" si="25"/>
        <v>24504279</v>
      </c>
      <c r="J63" s="27">
        <f t="shared" si="25"/>
        <v>25980467</v>
      </c>
      <c r="K63" s="27">
        <f t="shared" si="25"/>
        <v>32230564</v>
      </c>
    </row>
    <row r="64" spans="1:26" x14ac:dyDescent="0.2">
      <c r="A64" s="2" t="str">
        <f t="shared" si="4"/>
        <v>Orlando Magic</v>
      </c>
      <c r="B64" s="27">
        <f t="shared" ref="B64:L64" si="26">IF(ISNUMBER(B31),MAX(0,B31-B$5),"n/a")</f>
        <v>10065445</v>
      </c>
      <c r="C64" s="27">
        <f t="shared" si="26"/>
        <v>0</v>
      </c>
      <c r="D64" s="27">
        <f t="shared" si="26"/>
        <v>12802036</v>
      </c>
      <c r="E64" s="27">
        <f t="shared" si="26"/>
        <v>18352943</v>
      </c>
      <c r="F64" s="27">
        <f t="shared" si="26"/>
        <v>5196509</v>
      </c>
      <c r="G64" s="27">
        <f t="shared" si="26"/>
        <v>5649460</v>
      </c>
      <c r="H64" s="27">
        <f t="shared" si="26"/>
        <v>1218438</v>
      </c>
      <c r="I64" s="27">
        <f t="shared" si="26"/>
        <v>0</v>
      </c>
      <c r="J64" s="27">
        <f t="shared" si="26"/>
        <v>12371238</v>
      </c>
      <c r="K64" s="27">
        <f t="shared" si="26"/>
        <v>32695232</v>
      </c>
    </row>
    <row r="65" spans="1:11" x14ac:dyDescent="0.2">
      <c r="A65" s="2" t="str">
        <f t="shared" si="4"/>
        <v>Philadelphia 76ers</v>
      </c>
      <c r="B65" s="27">
        <f t="shared" ref="B65:L65" si="27">IF(ISNUMBER(B32),MAX(0,B32-B$5),"n/a")</f>
        <v>0</v>
      </c>
      <c r="C65" s="27">
        <f t="shared" si="27"/>
        <v>927936</v>
      </c>
      <c r="D65" s="27">
        <f t="shared" si="27"/>
        <v>10093081</v>
      </c>
      <c r="E65" s="27">
        <f t="shared" si="27"/>
        <v>20773129</v>
      </c>
      <c r="F65" s="27">
        <f t="shared" si="27"/>
        <v>37018461</v>
      </c>
      <c r="G65" s="27">
        <f t="shared" si="27"/>
        <v>32835786</v>
      </c>
      <c r="H65" s="27">
        <f t="shared" si="27"/>
        <v>25916525</v>
      </c>
      <c r="I65" s="27">
        <f t="shared" si="27"/>
        <v>27996084</v>
      </c>
      <c r="J65" s="27">
        <f t="shared" si="27"/>
        <v>29959803</v>
      </c>
      <c r="K65" s="27">
        <f t="shared" si="27"/>
        <v>33108871</v>
      </c>
    </row>
    <row r="66" spans="1:11" x14ac:dyDescent="0.2">
      <c r="A66" s="2" t="str">
        <f t="shared" si="4"/>
        <v>Phoenix Suns</v>
      </c>
      <c r="B66" s="27">
        <f t="shared" ref="B66:L66" si="28">IF(ISNUMBER(B33),MAX(0,B33-B$5),"n/a")</f>
        <v>0</v>
      </c>
      <c r="C66" s="27">
        <f t="shared" si="28"/>
        <v>0</v>
      </c>
      <c r="D66" s="27">
        <f t="shared" si="28"/>
        <v>6622880</v>
      </c>
      <c r="E66" s="27">
        <f t="shared" si="28"/>
        <v>11642748</v>
      </c>
      <c r="F66" s="27">
        <f t="shared" si="28"/>
        <v>17975196</v>
      </c>
      <c r="G66" s="27">
        <f t="shared" si="28"/>
        <v>21329364</v>
      </c>
      <c r="H66" s="27">
        <f t="shared" si="28"/>
        <v>48861841</v>
      </c>
      <c r="I66" s="27">
        <f t="shared" si="28"/>
        <v>55310329</v>
      </c>
      <c r="J66" s="27">
        <f t="shared" si="28"/>
        <v>73783340</v>
      </c>
      <c r="K66" s="27">
        <f t="shared" si="28"/>
        <v>32141399</v>
      </c>
    </row>
    <row r="67" spans="1:11" x14ac:dyDescent="0.2">
      <c r="A67" s="2" t="str">
        <f t="shared" si="4"/>
        <v>Portland Trail Blazers</v>
      </c>
      <c r="B67" s="27">
        <f t="shared" ref="B67:L67" si="29">IF(ISNUMBER(B34),MAX(0,B34-B$5),"n/a")</f>
        <v>19139538</v>
      </c>
      <c r="C67" s="27">
        <f t="shared" si="29"/>
        <v>20172261</v>
      </c>
      <c r="D67" s="27">
        <f t="shared" si="29"/>
        <v>31227018</v>
      </c>
      <c r="E67" s="27">
        <f t="shared" si="29"/>
        <v>27452297</v>
      </c>
      <c r="F67" s="27">
        <f t="shared" si="29"/>
        <v>21196680</v>
      </c>
      <c r="G67" s="27">
        <f t="shared" si="29"/>
        <v>9634327</v>
      </c>
      <c r="H67" s="27">
        <f t="shared" si="29"/>
        <v>20845020</v>
      </c>
      <c r="I67" s="27">
        <f t="shared" si="29"/>
        <v>27944367</v>
      </c>
      <c r="J67" s="27">
        <f t="shared" si="29"/>
        <v>26570526</v>
      </c>
      <c r="K67" s="27">
        <f t="shared" si="29"/>
        <v>32542792</v>
      </c>
    </row>
    <row r="68" spans="1:11" x14ac:dyDescent="0.2">
      <c r="A68" s="2" t="str">
        <f t="shared" si="4"/>
        <v>Sacramento Kings</v>
      </c>
      <c r="B68" s="27">
        <f t="shared" ref="B68:L68" si="30">IF(ISNUMBER(B35),MAX(0,B35-B$5),"n/a")</f>
        <v>1333870</v>
      </c>
      <c r="C68" s="27">
        <f t="shared" si="30"/>
        <v>0</v>
      </c>
      <c r="D68" s="27">
        <f t="shared" si="30"/>
        <v>2245641</v>
      </c>
      <c r="E68" s="27">
        <f t="shared" si="30"/>
        <v>7725503</v>
      </c>
      <c r="F68" s="27">
        <f t="shared" si="30"/>
        <v>0</v>
      </c>
      <c r="G68" s="27">
        <f t="shared" si="30"/>
        <v>18176674</v>
      </c>
      <c r="H68" s="27">
        <f t="shared" si="30"/>
        <v>14449626</v>
      </c>
      <c r="I68" s="27">
        <f t="shared" si="30"/>
        <v>12755215</v>
      </c>
      <c r="J68" s="27">
        <f t="shared" si="30"/>
        <v>26955977</v>
      </c>
      <c r="K68" s="27">
        <f t="shared" si="30"/>
        <v>32325158</v>
      </c>
    </row>
    <row r="69" spans="1:11" x14ac:dyDescent="0.2">
      <c r="A69" s="2" t="str">
        <f t="shared" si="4"/>
        <v>San Antonio Spurs</v>
      </c>
      <c r="B69" s="27">
        <f t="shared" ref="B69:L69" si="31">IF(ISNUMBER(B36),MAX(0,B36-B$5),"n/a")</f>
        <v>14666101</v>
      </c>
      <c r="C69" s="27">
        <f t="shared" si="31"/>
        <v>17875092</v>
      </c>
      <c r="D69" s="27">
        <f t="shared" si="31"/>
        <v>19876335</v>
      </c>
      <c r="E69" s="27">
        <f t="shared" si="31"/>
        <v>14692531</v>
      </c>
      <c r="F69" s="27">
        <f t="shared" si="31"/>
        <v>19781740</v>
      </c>
      <c r="G69" s="27">
        <f t="shared" si="31"/>
        <v>14005926</v>
      </c>
      <c r="H69" s="27">
        <f t="shared" si="31"/>
        <v>0</v>
      </c>
      <c r="I69" s="27">
        <f t="shared" si="31"/>
        <v>4859244</v>
      </c>
      <c r="J69" s="27">
        <f t="shared" si="31"/>
        <v>22113506</v>
      </c>
      <c r="K69" s="27">
        <f t="shared" si="31"/>
        <v>28343669</v>
      </c>
    </row>
    <row r="70" spans="1:11" x14ac:dyDescent="0.2">
      <c r="A70" s="2" t="str">
        <f t="shared" si="4"/>
        <v>Toronto Raptors</v>
      </c>
      <c r="B70" s="27">
        <f t="shared" ref="B70:L70" si="32">IF(ISNUMBER(B37),MAX(0,B37-B$5),"n/a")</f>
        <v>14752146</v>
      </c>
      <c r="C70" s="27">
        <f t="shared" si="32"/>
        <v>17490186</v>
      </c>
      <c r="D70" s="27">
        <f t="shared" si="32"/>
        <v>35457477</v>
      </c>
      <c r="E70" s="27">
        <f t="shared" si="32"/>
        <v>17523535</v>
      </c>
      <c r="F70" s="27">
        <f t="shared" si="32"/>
        <v>19202124</v>
      </c>
      <c r="G70" s="27">
        <f t="shared" si="32"/>
        <v>21294976</v>
      </c>
      <c r="H70" s="27">
        <f t="shared" si="32"/>
        <v>25694039</v>
      </c>
      <c r="I70" s="27">
        <f t="shared" si="32"/>
        <v>24244990</v>
      </c>
      <c r="J70" s="27">
        <f t="shared" si="32"/>
        <v>30146397</v>
      </c>
      <c r="K70" s="27">
        <f t="shared" si="32"/>
        <v>32349695</v>
      </c>
    </row>
    <row r="71" spans="1:11" x14ac:dyDescent="0.2">
      <c r="A71" s="2" t="str">
        <f t="shared" si="4"/>
        <v>Utah Jazz</v>
      </c>
      <c r="B71" s="27">
        <f t="shared" ref="B71:L71" si="33">IF(ISNUMBER(B38),MAX(0,B38-B$5),"n/a")</f>
        <v>0</v>
      </c>
      <c r="C71" s="27">
        <f t="shared" si="33"/>
        <v>7769254</v>
      </c>
      <c r="D71" s="27">
        <f t="shared" si="33"/>
        <v>11568858</v>
      </c>
      <c r="E71" s="27">
        <f t="shared" si="33"/>
        <v>19139617</v>
      </c>
      <c r="F71" s="27">
        <f t="shared" si="33"/>
        <v>27159801</v>
      </c>
      <c r="G71" s="27">
        <f t="shared" si="33"/>
        <v>33556126</v>
      </c>
      <c r="H71" s="27">
        <f t="shared" si="33"/>
        <v>23919401</v>
      </c>
      <c r="I71" s="27">
        <f t="shared" si="33"/>
        <v>0</v>
      </c>
      <c r="J71" s="27">
        <f t="shared" si="33"/>
        <v>13526022</v>
      </c>
      <c r="K71" s="27">
        <f t="shared" si="33"/>
        <v>17795670</v>
      </c>
    </row>
    <row r="72" spans="1:11" x14ac:dyDescent="0.2">
      <c r="A72" s="2" t="str">
        <f t="shared" si="4"/>
        <v>Washington Wizards</v>
      </c>
      <c r="B72" s="27">
        <f t="shared" ref="B72:L72" si="34">IF(ISNUMBER(B39),MAX(0,B39-B$5),"n/a")</f>
        <v>9068636</v>
      </c>
      <c r="C72" s="27">
        <f t="shared" si="34"/>
        <v>25021043</v>
      </c>
      <c r="D72" s="27">
        <f t="shared" si="34"/>
        <v>21744751</v>
      </c>
      <c r="E72" s="27">
        <f t="shared" si="34"/>
        <v>0</v>
      </c>
      <c r="F72" s="27">
        <f t="shared" si="34"/>
        <v>21437328</v>
      </c>
      <c r="G72" s="27">
        <f t="shared" si="34"/>
        <v>13733247</v>
      </c>
      <c r="H72" s="27">
        <f t="shared" si="34"/>
        <v>26511106</v>
      </c>
      <c r="I72" s="27">
        <f t="shared" si="34"/>
        <v>11574496</v>
      </c>
      <c r="J72" s="27">
        <f t="shared" si="34"/>
        <v>29068752</v>
      </c>
      <c r="K72" s="27">
        <f t="shared" si="34"/>
        <v>32423382</v>
      </c>
    </row>
    <row r="73" spans="1:11" x14ac:dyDescent="0.2">
      <c r="A73" s="2"/>
    </row>
    <row r="74" spans="1:11" ht="18" x14ac:dyDescent="0.25">
      <c r="A74" s="22" t="s">
        <v>65</v>
      </c>
    </row>
    <row r="75" spans="1:11" x14ac:dyDescent="0.2">
      <c r="A75" s="9" t="s">
        <v>0</v>
      </c>
      <c r="B75" s="25" t="s">
        <v>32</v>
      </c>
      <c r="C75" s="25" t="s">
        <v>33</v>
      </c>
      <c r="D75" s="25" t="s">
        <v>34</v>
      </c>
      <c r="E75" s="25" t="s">
        <v>35</v>
      </c>
      <c r="F75" s="25" t="s">
        <v>36</v>
      </c>
      <c r="G75" s="25" t="s">
        <v>37</v>
      </c>
      <c r="H75" s="25" t="s">
        <v>38</v>
      </c>
      <c r="I75" s="25" t="s">
        <v>39</v>
      </c>
      <c r="J75" s="25" t="s">
        <v>40</v>
      </c>
      <c r="K75" s="25" t="s">
        <v>41</v>
      </c>
    </row>
    <row r="76" spans="1:11" x14ac:dyDescent="0.2">
      <c r="A76" s="2" t="str">
        <f t="shared" ref="A76:A105" si="35">A10</f>
        <v>Atlanta Hawks</v>
      </c>
      <c r="B76" s="27">
        <f t="shared" ref="B76:L76" si="36">IF(ISNUMBER(B10),MAX(0,B10-B$6),"n/a")</f>
        <v>0</v>
      </c>
      <c r="C76" s="27">
        <f t="shared" si="36"/>
        <v>0</v>
      </c>
      <c r="D76" s="27">
        <f t="shared" si="36"/>
        <v>0</v>
      </c>
      <c r="E76" s="27">
        <f t="shared" si="36"/>
        <v>0</v>
      </c>
      <c r="F76" s="27">
        <f t="shared" si="36"/>
        <v>0</v>
      </c>
      <c r="G76" s="27">
        <f t="shared" si="36"/>
        <v>0</v>
      </c>
      <c r="H76" s="27">
        <f t="shared" si="36"/>
        <v>0</v>
      </c>
      <c r="I76" s="27">
        <f t="shared" si="36"/>
        <v>0</v>
      </c>
      <c r="J76" s="27">
        <f t="shared" si="36"/>
        <v>0</v>
      </c>
      <c r="K76" s="27">
        <f t="shared" si="36"/>
        <v>0</v>
      </c>
    </row>
    <row r="77" spans="1:11" x14ac:dyDescent="0.2">
      <c r="A77" s="2" t="str">
        <f t="shared" si="35"/>
        <v>Boston Celtics</v>
      </c>
      <c r="B77" s="27">
        <f t="shared" ref="B77:L77" si="37">IF(ISNUMBER(B11),MAX(0,B11-B$6),"n/a")</f>
        <v>0</v>
      </c>
      <c r="C77" s="27">
        <f t="shared" si="37"/>
        <v>0</v>
      </c>
      <c r="D77" s="27">
        <f t="shared" si="37"/>
        <v>2580549</v>
      </c>
      <c r="E77" s="27">
        <f t="shared" si="37"/>
        <v>0</v>
      </c>
      <c r="F77" s="27">
        <f t="shared" si="37"/>
        <v>0</v>
      </c>
      <c r="G77" s="27">
        <f t="shared" si="37"/>
        <v>0</v>
      </c>
      <c r="H77" s="27">
        <f t="shared" si="37"/>
        <v>26465455</v>
      </c>
      <c r="I77" s="27">
        <f t="shared" si="37"/>
        <v>18182284</v>
      </c>
      <c r="J77" s="27">
        <f t="shared" si="37"/>
        <v>22284445</v>
      </c>
      <c r="K77" s="27">
        <f t="shared" si="37"/>
        <v>0</v>
      </c>
    </row>
    <row r="78" spans="1:11" x14ac:dyDescent="0.2">
      <c r="A78" s="2" t="str">
        <f t="shared" si="35"/>
        <v>Brooklyn Nets</v>
      </c>
      <c r="B78" s="27">
        <f t="shared" ref="B78:L78" si="38">IF(ISNUMBER(B12),MAX(0,B12-B$6),"n/a")</f>
        <v>0</v>
      </c>
      <c r="C78" s="27">
        <f t="shared" si="38"/>
        <v>0</v>
      </c>
      <c r="D78" s="27">
        <f t="shared" si="38"/>
        <v>0</v>
      </c>
      <c r="E78" s="27">
        <f t="shared" si="38"/>
        <v>0</v>
      </c>
      <c r="F78" s="27">
        <f t="shared" si="38"/>
        <v>33548317</v>
      </c>
      <c r="G78" s="27">
        <f t="shared" si="38"/>
        <v>32680329</v>
      </c>
      <c r="H78" s="27">
        <f t="shared" si="38"/>
        <v>8103057</v>
      </c>
      <c r="I78" s="27">
        <f t="shared" si="38"/>
        <v>0</v>
      </c>
      <c r="J78" s="27">
        <f t="shared" si="38"/>
        <v>0</v>
      </c>
      <c r="K78" s="27">
        <f t="shared" si="38"/>
        <v>0</v>
      </c>
    </row>
    <row r="79" spans="1:11" x14ac:dyDescent="0.2">
      <c r="A79" s="2" t="str">
        <f t="shared" si="35"/>
        <v>Charlotte Hornets</v>
      </c>
      <c r="B79" s="27">
        <f t="shared" ref="B79:L79" si="39">IF(ISNUMBER(B13),MAX(0,B13-B$6),"n/a")</f>
        <v>0</v>
      </c>
      <c r="C79" s="27">
        <f t="shared" si="39"/>
        <v>0</v>
      </c>
      <c r="D79" s="27">
        <f t="shared" si="39"/>
        <v>0</v>
      </c>
      <c r="E79" s="27">
        <f t="shared" si="39"/>
        <v>0</v>
      </c>
      <c r="F79" s="27">
        <f t="shared" si="39"/>
        <v>0</v>
      </c>
      <c r="G79" s="27">
        <f t="shared" si="39"/>
        <v>0</v>
      </c>
      <c r="H79" s="27">
        <f t="shared" si="39"/>
        <v>0</v>
      </c>
      <c r="I79" s="27">
        <f t="shared" si="39"/>
        <v>0</v>
      </c>
      <c r="J79" s="27">
        <f t="shared" si="39"/>
        <v>0</v>
      </c>
      <c r="K79" s="27">
        <f t="shared" si="39"/>
        <v>0</v>
      </c>
    </row>
    <row r="80" spans="1:11" x14ac:dyDescent="0.2">
      <c r="A80" s="2" t="str">
        <f t="shared" si="35"/>
        <v>Chicago Bulls</v>
      </c>
      <c r="B80" s="27">
        <f t="shared" ref="B80:L80" si="40">IF(ISNUMBER(B14),MAX(0,B14-B$6),"n/a")</f>
        <v>0</v>
      </c>
      <c r="C80" s="27">
        <f t="shared" si="40"/>
        <v>0</v>
      </c>
      <c r="D80" s="27">
        <f t="shared" si="40"/>
        <v>0</v>
      </c>
      <c r="E80" s="27">
        <f t="shared" si="40"/>
        <v>0</v>
      </c>
      <c r="F80" s="27">
        <f t="shared" si="40"/>
        <v>0</v>
      </c>
      <c r="G80" s="27">
        <f t="shared" si="40"/>
        <v>0</v>
      </c>
      <c r="H80" s="27">
        <f t="shared" si="40"/>
        <v>0</v>
      </c>
      <c r="I80" s="27">
        <f t="shared" si="40"/>
        <v>0</v>
      </c>
      <c r="J80" s="27">
        <f t="shared" si="40"/>
        <v>0</v>
      </c>
      <c r="K80" s="27">
        <f t="shared" si="40"/>
        <v>0</v>
      </c>
    </row>
    <row r="81" spans="1:11" x14ac:dyDescent="0.2">
      <c r="A81" s="2" t="str">
        <f t="shared" si="35"/>
        <v>Cleveland Cavaliers</v>
      </c>
      <c r="B81" s="27">
        <f t="shared" ref="B81:L81" si="41">IF(ISNUMBER(B15),MAX(0,B15-B$6),"n/a")</f>
        <v>13303785</v>
      </c>
      <c r="C81" s="27">
        <f t="shared" si="41"/>
        <v>16714450</v>
      </c>
      <c r="D81" s="27">
        <f t="shared" si="41"/>
        <v>0</v>
      </c>
      <c r="E81" s="27">
        <f t="shared" si="41"/>
        <v>0</v>
      </c>
      <c r="F81" s="27">
        <f t="shared" si="41"/>
        <v>0</v>
      </c>
      <c r="G81" s="27">
        <f t="shared" si="41"/>
        <v>0</v>
      </c>
      <c r="H81" s="27">
        <f t="shared" si="41"/>
        <v>0</v>
      </c>
      <c r="I81" s="27">
        <f t="shared" si="41"/>
        <v>0</v>
      </c>
      <c r="J81" s="27">
        <f t="shared" si="41"/>
        <v>0</v>
      </c>
      <c r="K81" s="27">
        <f t="shared" si="41"/>
        <v>24450289</v>
      </c>
    </row>
    <row r="82" spans="1:11" x14ac:dyDescent="0.2">
      <c r="A82" s="2" t="str">
        <f t="shared" si="35"/>
        <v>Dallas Mavericks</v>
      </c>
      <c r="B82" s="27">
        <f t="shared" ref="B82:L82" si="42">IF(ISNUMBER(B16),MAX(0,B16-B$6),"n/a")</f>
        <v>0</v>
      </c>
      <c r="C82" s="27">
        <f t="shared" si="42"/>
        <v>0</v>
      </c>
      <c r="D82" s="27">
        <f t="shared" si="42"/>
        <v>0</v>
      </c>
      <c r="E82" s="27">
        <f t="shared" si="42"/>
        <v>0</v>
      </c>
      <c r="F82" s="27">
        <f t="shared" si="42"/>
        <v>0</v>
      </c>
      <c r="G82" s="27">
        <f t="shared" si="42"/>
        <v>0</v>
      </c>
      <c r="H82" s="27">
        <f t="shared" si="42"/>
        <v>23118738</v>
      </c>
      <c r="I82" s="27">
        <f t="shared" si="42"/>
        <v>0</v>
      </c>
      <c r="J82" s="27">
        <f t="shared" si="42"/>
        <v>3429724</v>
      </c>
      <c r="K82" s="27">
        <f t="shared" si="42"/>
        <v>0</v>
      </c>
    </row>
    <row r="83" spans="1:11" x14ac:dyDescent="0.2">
      <c r="A83" s="2" t="str">
        <f t="shared" si="35"/>
        <v>Denver Nuggets</v>
      </c>
      <c r="B83" s="27">
        <f t="shared" ref="B83:L83" si="43">IF(ISNUMBER(B17),MAX(0,B17-B$6),"n/a")</f>
        <v>0</v>
      </c>
      <c r="C83" s="27">
        <f t="shared" si="43"/>
        <v>0</v>
      </c>
      <c r="D83" s="27">
        <f t="shared" si="43"/>
        <v>0</v>
      </c>
      <c r="E83" s="27">
        <f t="shared" si="43"/>
        <v>0</v>
      </c>
      <c r="F83" s="27">
        <f t="shared" si="43"/>
        <v>0</v>
      </c>
      <c r="G83" s="27">
        <f t="shared" si="43"/>
        <v>0</v>
      </c>
      <c r="H83" s="27">
        <f t="shared" si="43"/>
        <v>10421004</v>
      </c>
      <c r="I83" s="27">
        <f t="shared" si="43"/>
        <v>11596198</v>
      </c>
      <c r="J83" s="27">
        <f t="shared" si="43"/>
        <v>11760315</v>
      </c>
      <c r="K83" s="27">
        <f t="shared" si="43"/>
        <v>0</v>
      </c>
    </row>
    <row r="84" spans="1:11" x14ac:dyDescent="0.2">
      <c r="A84" s="2" t="str">
        <f t="shared" si="35"/>
        <v>Detroit Pistons</v>
      </c>
      <c r="B84" s="27">
        <f t="shared" ref="B84:L84" si="44">IF(ISNUMBER(B18),MAX(0,B18-B$6),"n/a")</f>
        <v>0</v>
      </c>
      <c r="C84" s="27">
        <f t="shared" si="44"/>
        <v>0</v>
      </c>
      <c r="D84" s="27">
        <f t="shared" si="44"/>
        <v>0</v>
      </c>
      <c r="E84" s="27">
        <f t="shared" si="44"/>
        <v>0</v>
      </c>
      <c r="F84" s="27">
        <f t="shared" si="44"/>
        <v>0</v>
      </c>
      <c r="G84" s="27">
        <f t="shared" si="44"/>
        <v>0</v>
      </c>
      <c r="H84" s="27">
        <f t="shared" si="44"/>
        <v>0</v>
      </c>
      <c r="I84" s="27">
        <f t="shared" si="44"/>
        <v>0</v>
      </c>
      <c r="J84" s="27">
        <f t="shared" si="44"/>
        <v>0</v>
      </c>
      <c r="K84" s="27">
        <f t="shared" si="44"/>
        <v>0</v>
      </c>
    </row>
    <row r="85" spans="1:11" x14ac:dyDescent="0.2">
      <c r="A85" s="2" t="str">
        <f t="shared" si="35"/>
        <v>Golden State Warriors</v>
      </c>
      <c r="B85" s="27">
        <f t="shared" ref="B85:L85" si="45">IF(ISNUMBER(B19),MAX(0,B19-B$6),"n/a")</f>
        <v>0</v>
      </c>
      <c r="C85" s="27">
        <f t="shared" si="45"/>
        <v>16761513</v>
      </c>
      <c r="D85" s="27">
        <f t="shared" si="45"/>
        <v>21730097</v>
      </c>
      <c r="E85" s="27">
        <f t="shared" si="45"/>
        <v>0</v>
      </c>
      <c r="F85" s="27">
        <f t="shared" si="45"/>
        <v>36585512</v>
      </c>
      <c r="G85" s="27">
        <f t="shared" si="45"/>
        <v>39252992</v>
      </c>
      <c r="H85" s="27">
        <f t="shared" si="45"/>
        <v>38104492</v>
      </c>
      <c r="I85" s="27">
        <f t="shared" si="45"/>
        <v>40278662</v>
      </c>
      <c r="J85" s="27">
        <f t="shared" si="45"/>
        <v>6073433</v>
      </c>
      <c r="K85" s="27">
        <f t="shared" si="45"/>
        <v>16849987</v>
      </c>
    </row>
    <row r="86" spans="1:11" x14ac:dyDescent="0.2">
      <c r="A86" s="2" t="str">
        <f t="shared" si="35"/>
        <v>Houston Rockets</v>
      </c>
      <c r="B86" s="27">
        <f t="shared" ref="B86:L86" si="46">IF(ISNUMBER(B20),MAX(0,B20-B$6),"n/a")</f>
        <v>0</v>
      </c>
      <c r="C86" s="27">
        <f t="shared" si="46"/>
        <v>0</v>
      </c>
      <c r="D86" s="27">
        <f t="shared" si="46"/>
        <v>0</v>
      </c>
      <c r="E86" s="27">
        <f t="shared" si="46"/>
        <v>0</v>
      </c>
      <c r="F86" s="27">
        <f t="shared" si="46"/>
        <v>0</v>
      </c>
      <c r="G86" s="27">
        <f t="shared" si="46"/>
        <v>0</v>
      </c>
      <c r="H86" s="27">
        <f t="shared" si="46"/>
        <v>0</v>
      </c>
      <c r="I86" s="27">
        <f t="shared" si="46"/>
        <v>0</v>
      </c>
      <c r="J86" s="27">
        <f t="shared" si="46"/>
        <v>0</v>
      </c>
      <c r="K86" s="27">
        <f t="shared" si="46"/>
        <v>6794411</v>
      </c>
    </row>
    <row r="87" spans="1:11" x14ac:dyDescent="0.2">
      <c r="A87" s="2" t="str">
        <f t="shared" si="35"/>
        <v>Indiana Pacers</v>
      </c>
      <c r="B87" s="27">
        <f t="shared" ref="B87:L87" si="47">IF(ISNUMBER(B21),MAX(0,B21-B$6),"n/a")</f>
        <v>0</v>
      </c>
      <c r="C87" s="27">
        <f t="shared" si="47"/>
        <v>0</v>
      </c>
      <c r="D87" s="27">
        <f t="shared" si="47"/>
        <v>0</v>
      </c>
      <c r="E87" s="27">
        <f t="shared" si="47"/>
        <v>0</v>
      </c>
      <c r="F87" s="27">
        <f t="shared" si="47"/>
        <v>0</v>
      </c>
      <c r="G87" s="27">
        <f t="shared" si="47"/>
        <v>0</v>
      </c>
      <c r="H87" s="27">
        <f t="shared" si="47"/>
        <v>0</v>
      </c>
      <c r="I87" s="27">
        <f t="shared" si="47"/>
        <v>0</v>
      </c>
      <c r="J87" s="27">
        <f t="shared" si="47"/>
        <v>0</v>
      </c>
      <c r="K87" s="27">
        <f t="shared" si="47"/>
        <v>0</v>
      </c>
    </row>
    <row r="88" spans="1:11" x14ac:dyDescent="0.2">
      <c r="A88" s="2" t="str">
        <f t="shared" si="35"/>
        <v>LA Clippers</v>
      </c>
      <c r="B88" s="27">
        <f t="shared" ref="B88:L88" si="48">IF(ISNUMBER(B22),MAX(0,B22-B$6),"n/a")</f>
        <v>2220492</v>
      </c>
      <c r="C88" s="27">
        <f t="shared" si="48"/>
        <v>0</v>
      </c>
      <c r="D88" s="27">
        <f t="shared" si="48"/>
        <v>0</v>
      </c>
      <c r="E88" s="27">
        <f t="shared" si="48"/>
        <v>0</v>
      </c>
      <c r="F88" s="27">
        <f t="shared" si="48"/>
        <v>4827771</v>
      </c>
      <c r="G88" s="27">
        <f t="shared" si="48"/>
        <v>29556398</v>
      </c>
      <c r="H88" s="27">
        <f t="shared" si="48"/>
        <v>40922228</v>
      </c>
      <c r="I88" s="27">
        <f t="shared" si="48"/>
        <v>34766815</v>
      </c>
      <c r="J88" s="27">
        <f t="shared" si="48"/>
        <v>0</v>
      </c>
      <c r="K88" s="27">
        <f t="shared" si="48"/>
        <v>2221914</v>
      </c>
    </row>
    <row r="89" spans="1:11" x14ac:dyDescent="0.2">
      <c r="A89" s="2" t="str">
        <f t="shared" si="35"/>
        <v>Los Angeles Lakers</v>
      </c>
      <c r="B89" s="27">
        <f t="shared" ref="B89:L89" si="49">IF(ISNUMBER(B23),MAX(0,B23-B$6),"n/a")</f>
        <v>0</v>
      </c>
      <c r="C89" s="27">
        <f t="shared" si="49"/>
        <v>0</v>
      </c>
      <c r="D89" s="27">
        <f t="shared" si="49"/>
        <v>0</v>
      </c>
      <c r="E89" s="27">
        <f t="shared" si="49"/>
        <v>0</v>
      </c>
      <c r="F89" s="27">
        <f t="shared" si="49"/>
        <v>4286272</v>
      </c>
      <c r="G89" s="27">
        <f t="shared" si="49"/>
        <v>20030217</v>
      </c>
      <c r="H89" s="27">
        <f t="shared" si="49"/>
        <v>17210836</v>
      </c>
      <c r="I89" s="27">
        <f t="shared" si="49"/>
        <v>2761984</v>
      </c>
      <c r="J89" s="27">
        <f t="shared" si="49"/>
        <v>17446871</v>
      </c>
      <c r="K89" s="27">
        <f t="shared" si="49"/>
        <v>7407470</v>
      </c>
    </row>
    <row r="90" spans="1:11" x14ac:dyDescent="0.2">
      <c r="A90" s="2" t="str">
        <f t="shared" si="35"/>
        <v>Memphis Grizzlies</v>
      </c>
      <c r="B90" s="27">
        <f t="shared" ref="B90:L90" si="50">IF(ISNUMBER(B24),MAX(0,B24-B$6),"n/a")</f>
        <v>0</v>
      </c>
      <c r="C90" s="27">
        <f t="shared" si="50"/>
        <v>0</v>
      </c>
      <c r="D90" s="27">
        <f t="shared" si="50"/>
        <v>0</v>
      </c>
      <c r="E90" s="27">
        <f t="shared" si="50"/>
        <v>0</v>
      </c>
      <c r="F90" s="27">
        <f t="shared" si="50"/>
        <v>0</v>
      </c>
      <c r="G90" s="27">
        <f t="shared" si="50"/>
        <v>0</v>
      </c>
      <c r="H90" s="27">
        <f t="shared" si="50"/>
        <v>0</v>
      </c>
      <c r="I90" s="27">
        <f t="shared" si="50"/>
        <v>0</v>
      </c>
      <c r="J90" s="27">
        <f t="shared" si="50"/>
        <v>0</v>
      </c>
      <c r="K90" s="27">
        <f t="shared" si="50"/>
        <v>0</v>
      </c>
    </row>
    <row r="91" spans="1:11" x14ac:dyDescent="0.2">
      <c r="A91" s="2" t="str">
        <f t="shared" si="35"/>
        <v>Miami Heat</v>
      </c>
      <c r="B91" s="27">
        <f t="shared" ref="B91:L91" si="51">IF(ISNUMBER(B25),MAX(0,B25-B$6),"n/a")</f>
        <v>0</v>
      </c>
      <c r="C91" s="27">
        <f t="shared" si="51"/>
        <v>0</v>
      </c>
      <c r="D91" s="27">
        <f t="shared" si="51"/>
        <v>0</v>
      </c>
      <c r="E91" s="27">
        <f t="shared" si="51"/>
        <v>1988772</v>
      </c>
      <c r="F91" s="27">
        <f t="shared" si="51"/>
        <v>0</v>
      </c>
      <c r="G91" s="27">
        <f t="shared" si="51"/>
        <v>0</v>
      </c>
      <c r="H91" s="27">
        <f t="shared" si="51"/>
        <v>0</v>
      </c>
      <c r="I91" s="27">
        <f t="shared" si="51"/>
        <v>9675385</v>
      </c>
      <c r="J91" s="27">
        <f t="shared" si="51"/>
        <v>2785367</v>
      </c>
      <c r="K91" s="27">
        <f t="shared" si="51"/>
        <v>0</v>
      </c>
    </row>
    <row r="92" spans="1:11" x14ac:dyDescent="0.2">
      <c r="A92" s="2" t="str">
        <f t="shared" si="35"/>
        <v>Milwaukee Bucks</v>
      </c>
      <c r="B92" s="27">
        <f t="shared" ref="B92:L92" si="52">IF(ISNUMBER(B26),MAX(0,B26-B$6),"n/a")</f>
        <v>0</v>
      </c>
      <c r="C92" s="27">
        <f t="shared" si="52"/>
        <v>0</v>
      </c>
      <c r="D92" s="27">
        <f t="shared" si="52"/>
        <v>0</v>
      </c>
      <c r="E92" s="27">
        <f t="shared" si="52"/>
        <v>0</v>
      </c>
      <c r="F92" s="27">
        <f t="shared" si="52"/>
        <v>617133</v>
      </c>
      <c r="G92" s="27">
        <f t="shared" si="52"/>
        <v>22379385</v>
      </c>
      <c r="H92" s="27">
        <f t="shared" si="52"/>
        <v>29739727</v>
      </c>
      <c r="I92" s="27">
        <f t="shared" si="52"/>
        <v>17050527</v>
      </c>
      <c r="J92" s="27">
        <f t="shared" si="52"/>
        <v>10977983</v>
      </c>
      <c r="K92" s="27">
        <f t="shared" si="52"/>
        <v>0</v>
      </c>
    </row>
    <row r="93" spans="1:11" x14ac:dyDescent="0.2">
      <c r="A93" s="2" t="str">
        <f t="shared" si="35"/>
        <v>Minnesota Timberwolves</v>
      </c>
      <c r="B93" s="27">
        <f t="shared" ref="B93:L93" si="53">IF(ISNUMBER(B27),MAX(0,B27-B$6),"n/a")</f>
        <v>0</v>
      </c>
      <c r="C93" s="27">
        <f t="shared" si="53"/>
        <v>0</v>
      </c>
      <c r="D93" s="27">
        <f t="shared" si="53"/>
        <v>0</v>
      </c>
      <c r="E93" s="27">
        <f t="shared" si="53"/>
        <v>916271</v>
      </c>
      <c r="F93" s="27">
        <f t="shared" si="53"/>
        <v>0</v>
      </c>
      <c r="G93" s="27">
        <f t="shared" si="53"/>
        <v>0</v>
      </c>
      <c r="H93" s="27">
        <f t="shared" si="53"/>
        <v>0</v>
      </c>
      <c r="I93" s="27">
        <f t="shared" si="53"/>
        <v>0</v>
      </c>
      <c r="J93" s="27">
        <f t="shared" si="53"/>
        <v>31545194</v>
      </c>
      <c r="K93" s="27">
        <f t="shared" si="53"/>
        <v>5926377</v>
      </c>
    </row>
    <row r="94" spans="1:11" x14ac:dyDescent="0.2">
      <c r="A94" s="2" t="str">
        <f t="shared" si="35"/>
        <v>New Orleans Pelicans</v>
      </c>
      <c r="B94" s="27">
        <f t="shared" ref="B94:L94" si="54">IF(ISNUMBER(B28),MAX(0,B28-B$6),"n/a")</f>
        <v>0</v>
      </c>
      <c r="C94" s="27">
        <f t="shared" si="54"/>
        <v>0</v>
      </c>
      <c r="D94" s="27">
        <f t="shared" si="54"/>
        <v>0</v>
      </c>
      <c r="E94" s="27">
        <f t="shared" si="54"/>
        <v>0</v>
      </c>
      <c r="F94" s="27">
        <f t="shared" si="54"/>
        <v>0</v>
      </c>
      <c r="G94" s="27">
        <f t="shared" si="54"/>
        <v>0</v>
      </c>
      <c r="H94" s="27">
        <f t="shared" si="54"/>
        <v>0</v>
      </c>
      <c r="I94" s="27">
        <f t="shared" si="54"/>
        <v>0</v>
      </c>
      <c r="J94" s="27">
        <f t="shared" si="54"/>
        <v>0</v>
      </c>
      <c r="K94" s="27">
        <f t="shared" si="54"/>
        <v>0</v>
      </c>
    </row>
    <row r="95" spans="1:11" x14ac:dyDescent="0.2">
      <c r="A95" s="2" t="str">
        <f t="shared" si="35"/>
        <v>New York Knicks</v>
      </c>
      <c r="B95" s="27">
        <f t="shared" ref="B95:L95" si="55">IF(ISNUMBER(B29),MAX(0,B29-B$6),"n/a")</f>
        <v>0</v>
      </c>
      <c r="C95" s="27">
        <f t="shared" si="55"/>
        <v>0</v>
      </c>
      <c r="D95" s="27">
        <f t="shared" si="55"/>
        <v>0</v>
      </c>
      <c r="E95" s="27">
        <f t="shared" si="55"/>
        <v>0</v>
      </c>
      <c r="F95" s="27">
        <f t="shared" si="55"/>
        <v>0</v>
      </c>
      <c r="G95" s="27">
        <f t="shared" si="55"/>
        <v>0</v>
      </c>
      <c r="H95" s="27">
        <f t="shared" si="55"/>
        <v>0</v>
      </c>
      <c r="I95" s="27">
        <f t="shared" si="55"/>
        <v>0</v>
      </c>
      <c r="J95" s="27">
        <f t="shared" si="55"/>
        <v>18063650</v>
      </c>
      <c r="K95" s="27">
        <f t="shared" si="55"/>
        <v>19528230</v>
      </c>
    </row>
    <row r="96" spans="1:11" x14ac:dyDescent="0.2">
      <c r="A96" s="2" t="str">
        <f t="shared" si="35"/>
        <v>Oklahoma City Thunder</v>
      </c>
      <c r="B96" s="27">
        <f t="shared" ref="B96:L96" si="56">IF(ISNUMBER(B30),MAX(0,B30-B$6),"n/a")</f>
        <v>0</v>
      </c>
      <c r="C96" s="27">
        <f t="shared" si="56"/>
        <v>13654346</v>
      </c>
      <c r="D96" s="27">
        <f t="shared" si="56"/>
        <v>19124060</v>
      </c>
      <c r="E96" s="27">
        <f t="shared" si="56"/>
        <v>956713</v>
      </c>
      <c r="F96" s="27">
        <f t="shared" si="56"/>
        <v>0</v>
      </c>
      <c r="G96" s="27">
        <f t="shared" si="56"/>
        <v>0</v>
      </c>
      <c r="H96" s="27">
        <f t="shared" si="56"/>
        <v>0</v>
      </c>
      <c r="I96" s="27">
        <f t="shared" si="56"/>
        <v>0</v>
      </c>
      <c r="J96" s="27">
        <f t="shared" si="56"/>
        <v>0</v>
      </c>
      <c r="K96" s="27">
        <f t="shared" si="56"/>
        <v>0</v>
      </c>
    </row>
    <row r="97" spans="1:11" x14ac:dyDescent="0.2">
      <c r="A97" s="2" t="str">
        <f t="shared" si="35"/>
        <v>Orlando Magic</v>
      </c>
      <c r="B97" s="27">
        <f t="shared" ref="B97:L97" si="57">IF(ISNUMBER(B31),MAX(0,B31-B$6),"n/a")</f>
        <v>0</v>
      </c>
      <c r="C97" s="27">
        <f t="shared" si="57"/>
        <v>0</v>
      </c>
      <c r="D97" s="27">
        <f t="shared" si="57"/>
        <v>0</v>
      </c>
      <c r="E97" s="27">
        <f t="shared" si="57"/>
        <v>0</v>
      </c>
      <c r="F97" s="27">
        <f t="shared" si="57"/>
        <v>0</v>
      </c>
      <c r="G97" s="27">
        <f t="shared" si="57"/>
        <v>0</v>
      </c>
      <c r="H97" s="27">
        <f t="shared" si="57"/>
        <v>0</v>
      </c>
      <c r="I97" s="27">
        <f t="shared" si="57"/>
        <v>0</v>
      </c>
      <c r="J97" s="27">
        <f t="shared" si="57"/>
        <v>0</v>
      </c>
      <c r="K97" s="27">
        <f t="shared" si="57"/>
        <v>0</v>
      </c>
    </row>
    <row r="98" spans="1:11" x14ac:dyDescent="0.2">
      <c r="A98" s="2" t="str">
        <f t="shared" si="35"/>
        <v>Philadelphia 76ers</v>
      </c>
      <c r="B98" s="27">
        <f t="shared" ref="B98:L98" si="58">IF(ISNUMBER(B32),MAX(0,B32-B$6),"n/a")</f>
        <v>0</v>
      </c>
      <c r="C98" s="27">
        <f t="shared" si="58"/>
        <v>0</v>
      </c>
      <c r="D98" s="27">
        <f t="shared" si="58"/>
        <v>0</v>
      </c>
      <c r="E98" s="27">
        <f t="shared" si="58"/>
        <v>0</v>
      </c>
      <c r="F98" s="27">
        <f t="shared" si="58"/>
        <v>13531461</v>
      </c>
      <c r="G98" s="27">
        <f t="shared" si="58"/>
        <v>8643786</v>
      </c>
      <c r="H98" s="27">
        <f t="shared" si="58"/>
        <v>0</v>
      </c>
      <c r="I98" s="27">
        <f t="shared" si="58"/>
        <v>0</v>
      </c>
      <c r="J98" s="27">
        <f t="shared" si="58"/>
        <v>0</v>
      </c>
      <c r="K98" s="27">
        <f t="shared" si="58"/>
        <v>0</v>
      </c>
    </row>
    <row r="99" spans="1:11" x14ac:dyDescent="0.2">
      <c r="A99" s="2" t="str">
        <f t="shared" si="35"/>
        <v>Phoenix Suns</v>
      </c>
      <c r="B99" s="27">
        <f t="shared" ref="B99:L99" si="59">IF(ISNUMBER(B33),MAX(0,B33-B$6),"n/a")</f>
        <v>0</v>
      </c>
      <c r="C99" s="27">
        <f t="shared" si="59"/>
        <v>0</v>
      </c>
      <c r="D99" s="27">
        <f t="shared" si="59"/>
        <v>0</v>
      </c>
      <c r="E99" s="27">
        <f t="shared" si="59"/>
        <v>0</v>
      </c>
      <c r="F99" s="27">
        <f t="shared" si="59"/>
        <v>0</v>
      </c>
      <c r="G99" s="27">
        <f t="shared" si="59"/>
        <v>0</v>
      </c>
      <c r="H99" s="27">
        <f t="shared" si="59"/>
        <v>22249841</v>
      </c>
      <c r="I99" s="27">
        <f t="shared" si="59"/>
        <v>26037329</v>
      </c>
      <c r="J99" s="27">
        <f t="shared" si="59"/>
        <v>43557340</v>
      </c>
      <c r="K99" s="27">
        <f t="shared" si="59"/>
        <v>0</v>
      </c>
    </row>
    <row r="100" spans="1:11" x14ac:dyDescent="0.2">
      <c r="A100" s="2" t="str">
        <f t="shared" si="35"/>
        <v>Portland Trail Blazers</v>
      </c>
      <c r="B100" s="27">
        <f t="shared" ref="B100:L100" si="60">IF(ISNUMBER(B34),MAX(0,B34-B$6),"n/a")</f>
        <v>0</v>
      </c>
      <c r="C100" s="27">
        <f t="shared" si="60"/>
        <v>0</v>
      </c>
      <c r="D100" s="27">
        <f t="shared" si="60"/>
        <v>9363018</v>
      </c>
      <c r="E100" s="27">
        <f t="shared" si="60"/>
        <v>3965297</v>
      </c>
      <c r="F100" s="27">
        <f t="shared" si="60"/>
        <v>0</v>
      </c>
      <c r="G100" s="27">
        <f t="shared" si="60"/>
        <v>0</v>
      </c>
      <c r="H100" s="27">
        <f t="shared" si="60"/>
        <v>0</v>
      </c>
      <c r="I100" s="27">
        <f t="shared" si="60"/>
        <v>0</v>
      </c>
      <c r="J100" s="27">
        <f t="shared" si="60"/>
        <v>0</v>
      </c>
      <c r="K100" s="27">
        <f t="shared" si="60"/>
        <v>0</v>
      </c>
    </row>
    <row r="101" spans="1:11" x14ac:dyDescent="0.2">
      <c r="A101" s="2" t="str">
        <f t="shared" si="35"/>
        <v>Sacramento Kings</v>
      </c>
      <c r="B101" s="27">
        <f t="shared" ref="B101:L101" si="61">IF(ISNUMBER(B35),MAX(0,B35-B$6),"n/a")</f>
        <v>0</v>
      </c>
      <c r="C101" s="27">
        <f t="shared" si="61"/>
        <v>0</v>
      </c>
      <c r="D101" s="27">
        <f t="shared" si="61"/>
        <v>0</v>
      </c>
      <c r="E101" s="27">
        <f t="shared" si="61"/>
        <v>0</v>
      </c>
      <c r="F101" s="27">
        <f t="shared" si="61"/>
        <v>0</v>
      </c>
      <c r="G101" s="27">
        <f t="shared" si="61"/>
        <v>0</v>
      </c>
      <c r="H101" s="27">
        <f t="shared" si="61"/>
        <v>0</v>
      </c>
      <c r="I101" s="27">
        <f t="shared" si="61"/>
        <v>0</v>
      </c>
      <c r="J101" s="27">
        <f t="shared" si="61"/>
        <v>0</v>
      </c>
      <c r="K101" s="27">
        <f t="shared" si="61"/>
        <v>0</v>
      </c>
    </row>
    <row r="102" spans="1:11" x14ac:dyDescent="0.2">
      <c r="A102" s="2" t="str">
        <f t="shared" si="35"/>
        <v>San Antonio Spurs</v>
      </c>
      <c r="B102" s="27">
        <f t="shared" ref="B102:L102" si="62">IF(ISNUMBER(B36),MAX(0,B36-B$6),"n/a")</f>
        <v>0</v>
      </c>
      <c r="C102" s="27">
        <f t="shared" si="62"/>
        <v>0</v>
      </c>
      <c r="D102" s="27">
        <f t="shared" si="62"/>
        <v>0</v>
      </c>
      <c r="E102" s="27">
        <f t="shared" si="62"/>
        <v>0</v>
      </c>
      <c r="F102" s="27">
        <f t="shared" si="62"/>
        <v>0</v>
      </c>
      <c r="G102" s="27">
        <f t="shared" si="62"/>
        <v>0</v>
      </c>
      <c r="H102" s="27">
        <f t="shared" si="62"/>
        <v>0</v>
      </c>
      <c r="I102" s="27">
        <f t="shared" si="62"/>
        <v>0</v>
      </c>
      <c r="J102" s="27">
        <f t="shared" si="62"/>
        <v>0</v>
      </c>
      <c r="K102" s="27">
        <f t="shared" si="62"/>
        <v>0</v>
      </c>
    </row>
    <row r="103" spans="1:11" x14ac:dyDescent="0.2">
      <c r="A103" s="2" t="str">
        <f t="shared" si="35"/>
        <v>Toronto Raptors</v>
      </c>
      <c r="B103" s="27">
        <f t="shared" ref="B103:L103" si="63">IF(ISNUMBER(B37),MAX(0,B37-B$6),"n/a")</f>
        <v>0</v>
      </c>
      <c r="C103" s="27">
        <f t="shared" si="63"/>
        <v>0</v>
      </c>
      <c r="D103" s="27">
        <f t="shared" si="63"/>
        <v>13593477</v>
      </c>
      <c r="E103" s="27">
        <f t="shared" si="63"/>
        <v>0</v>
      </c>
      <c r="F103" s="27">
        <f t="shared" si="63"/>
        <v>0</v>
      </c>
      <c r="G103" s="27">
        <f t="shared" si="63"/>
        <v>0</v>
      </c>
      <c r="H103" s="27">
        <f t="shared" si="63"/>
        <v>0</v>
      </c>
      <c r="I103" s="27">
        <f t="shared" si="63"/>
        <v>0</v>
      </c>
      <c r="J103" s="27">
        <f t="shared" si="63"/>
        <v>0</v>
      </c>
      <c r="K103" s="27">
        <f t="shared" si="63"/>
        <v>0</v>
      </c>
    </row>
    <row r="104" spans="1:11" x14ac:dyDescent="0.2">
      <c r="A104" s="2" t="str">
        <f t="shared" si="35"/>
        <v>Utah Jazz</v>
      </c>
      <c r="B104" s="27">
        <f t="shared" ref="B104:L104" si="64">IF(ISNUMBER(B38),MAX(0,B38-B$6),"n/a")</f>
        <v>0</v>
      </c>
      <c r="C104" s="27">
        <f t="shared" si="64"/>
        <v>0</v>
      </c>
      <c r="D104" s="27">
        <f t="shared" si="64"/>
        <v>0</v>
      </c>
      <c r="E104" s="27">
        <f t="shared" si="64"/>
        <v>0</v>
      </c>
      <c r="F104" s="27">
        <f t="shared" si="64"/>
        <v>3672801</v>
      </c>
      <c r="G104" s="27">
        <f t="shared" si="64"/>
        <v>9364126</v>
      </c>
      <c r="H104" s="27">
        <f t="shared" si="64"/>
        <v>0</v>
      </c>
      <c r="I104" s="27">
        <f t="shared" si="64"/>
        <v>0</v>
      </c>
      <c r="J104" s="27">
        <f t="shared" si="64"/>
        <v>0</v>
      </c>
      <c r="K104" s="27">
        <f t="shared" si="64"/>
        <v>0</v>
      </c>
    </row>
    <row r="105" spans="1:11" x14ac:dyDescent="0.2">
      <c r="A105" s="2" t="str">
        <f t="shared" si="35"/>
        <v>Washington Wizards</v>
      </c>
      <c r="B105" s="27">
        <f t="shared" ref="B105:L105" si="65">IF(ISNUMBER(B39),MAX(0,B39-B$6),"n/a")</f>
        <v>0</v>
      </c>
      <c r="C105" s="27">
        <f t="shared" si="65"/>
        <v>4848043</v>
      </c>
      <c r="D105" s="27">
        <f t="shared" si="65"/>
        <v>0</v>
      </c>
      <c r="E105" s="27">
        <f t="shared" si="65"/>
        <v>0</v>
      </c>
      <c r="F105" s="27">
        <f t="shared" si="65"/>
        <v>0</v>
      </c>
      <c r="G105" s="27">
        <f t="shared" si="65"/>
        <v>0</v>
      </c>
      <c r="H105" s="27">
        <f t="shared" si="65"/>
        <v>0</v>
      </c>
      <c r="I105" s="27">
        <f t="shared" si="65"/>
        <v>0</v>
      </c>
      <c r="J105" s="27">
        <f t="shared" si="65"/>
        <v>0</v>
      </c>
      <c r="K105" s="27">
        <f t="shared" si="65"/>
        <v>0</v>
      </c>
    </row>
    <row r="107" spans="1:11" ht="18" x14ac:dyDescent="0.25">
      <c r="A107" s="22" t="s">
        <v>66</v>
      </c>
    </row>
    <row r="108" spans="1:11" x14ac:dyDescent="0.2">
      <c r="A108" s="9" t="s">
        <v>0</v>
      </c>
      <c r="B108" s="25" t="s">
        <v>32</v>
      </c>
      <c r="C108" s="25" t="s">
        <v>33</v>
      </c>
      <c r="D108" s="25" t="s">
        <v>34</v>
      </c>
      <c r="E108" s="25" t="s">
        <v>35</v>
      </c>
      <c r="F108" s="25" t="s">
        <v>36</v>
      </c>
      <c r="G108" s="25" t="s">
        <v>37</v>
      </c>
      <c r="H108" s="25" t="s">
        <v>38</v>
      </c>
      <c r="I108" s="25" t="s">
        <v>39</v>
      </c>
      <c r="J108" s="25" t="s">
        <v>40</v>
      </c>
      <c r="K108" s="25" t="s">
        <v>41</v>
      </c>
    </row>
    <row r="109" spans="1:11" x14ac:dyDescent="0.2">
      <c r="A109" s="2" t="str">
        <f t="shared" ref="A109:A138" si="66">A10</f>
        <v>Atlanta Hawks</v>
      </c>
      <c r="B109" s="23">
        <v>0</v>
      </c>
      <c r="C109" s="23">
        <v>0</v>
      </c>
      <c r="D109" s="23">
        <v>0</v>
      </c>
      <c r="E109" s="23">
        <v>0</v>
      </c>
      <c r="F109" s="23">
        <v>0</v>
      </c>
      <c r="G109" s="23">
        <v>0</v>
      </c>
      <c r="H109" s="23">
        <v>0</v>
      </c>
      <c r="I109" s="23">
        <v>0</v>
      </c>
      <c r="J109" s="23">
        <v>0</v>
      </c>
      <c r="K109" s="23">
        <v>0</v>
      </c>
    </row>
    <row r="110" spans="1:11" x14ac:dyDescent="0.2">
      <c r="A110" s="2" t="str">
        <f t="shared" si="66"/>
        <v>Boston Celtics</v>
      </c>
      <c r="B110" s="23">
        <v>0</v>
      </c>
      <c r="C110" s="23">
        <v>0</v>
      </c>
      <c r="D110" s="23">
        <v>3900000</v>
      </c>
      <c r="E110" s="23">
        <v>0</v>
      </c>
      <c r="F110" s="23">
        <v>0</v>
      </c>
      <c r="G110" s="23">
        <v>0</v>
      </c>
      <c r="H110" s="23">
        <v>69978184</v>
      </c>
      <c r="I110" s="23">
        <v>39092423</v>
      </c>
      <c r="J110" s="23">
        <v>52558669</v>
      </c>
      <c r="K110" s="23">
        <v>0</v>
      </c>
    </row>
    <row r="111" spans="1:11" x14ac:dyDescent="0.2">
      <c r="A111" s="2" t="str">
        <f t="shared" si="66"/>
        <v>Brooklyn Nets</v>
      </c>
      <c r="B111" s="23">
        <v>0</v>
      </c>
      <c r="C111" s="23">
        <v>0</v>
      </c>
      <c r="D111" s="23">
        <v>0</v>
      </c>
      <c r="E111" s="23">
        <v>0</v>
      </c>
      <c r="F111" s="23">
        <v>61600000</v>
      </c>
      <c r="G111" s="23">
        <v>97711261</v>
      </c>
      <c r="H111" s="23">
        <v>12930350</v>
      </c>
      <c r="I111" s="23">
        <v>0</v>
      </c>
      <c r="J111" s="23">
        <v>0</v>
      </c>
      <c r="K111" s="23">
        <v>0</v>
      </c>
    </row>
    <row r="112" spans="1:11" x14ac:dyDescent="0.2">
      <c r="A112" s="2" t="str">
        <f t="shared" si="66"/>
        <v>Charlotte Hornets</v>
      </c>
      <c r="B112" s="23">
        <v>0</v>
      </c>
      <c r="C112" s="23">
        <v>0</v>
      </c>
      <c r="D112" s="23">
        <v>0</v>
      </c>
      <c r="E112" s="23">
        <v>0</v>
      </c>
      <c r="F112" s="23">
        <v>0</v>
      </c>
      <c r="G112" s="23">
        <v>0</v>
      </c>
      <c r="H112" s="23">
        <v>0</v>
      </c>
      <c r="I112" s="23">
        <v>0</v>
      </c>
      <c r="J112" s="23">
        <v>0</v>
      </c>
      <c r="K112" s="23">
        <v>0</v>
      </c>
    </row>
    <row r="113" spans="1:11" x14ac:dyDescent="0.2">
      <c r="A113" s="2" t="str">
        <f t="shared" si="66"/>
        <v>Chicago Bulls</v>
      </c>
      <c r="B113" s="23">
        <v>0</v>
      </c>
      <c r="C113" s="23">
        <v>0</v>
      </c>
      <c r="D113" s="23">
        <v>0</v>
      </c>
      <c r="E113" s="23">
        <v>0</v>
      </c>
      <c r="F113" s="23">
        <v>0</v>
      </c>
      <c r="G113" s="23">
        <v>0</v>
      </c>
      <c r="H113" s="23">
        <v>0</v>
      </c>
      <c r="I113" s="23">
        <v>0</v>
      </c>
      <c r="J113" s="23">
        <v>0</v>
      </c>
      <c r="K113" s="23">
        <v>0</v>
      </c>
    </row>
    <row r="114" spans="1:11" x14ac:dyDescent="0.2">
      <c r="A114" s="2" t="str">
        <f t="shared" si="66"/>
        <v>Cleveland Cavaliers</v>
      </c>
      <c r="B114" s="23">
        <v>24773953</v>
      </c>
      <c r="C114" s="23">
        <v>50700000</v>
      </c>
      <c r="D114" s="23">
        <v>0</v>
      </c>
      <c r="E114" s="23">
        <v>0</v>
      </c>
      <c r="F114" s="23">
        <v>0</v>
      </c>
      <c r="G114" s="23">
        <v>0</v>
      </c>
      <c r="H114" s="23">
        <v>0</v>
      </c>
      <c r="I114" s="23">
        <v>0</v>
      </c>
      <c r="J114" s="23">
        <v>0</v>
      </c>
      <c r="K114" s="23">
        <v>68671517</v>
      </c>
    </row>
    <row r="115" spans="1:11" x14ac:dyDescent="0.2">
      <c r="A115" s="2" t="str">
        <f t="shared" si="66"/>
        <v>Dallas Mavericks</v>
      </c>
      <c r="B115" s="23">
        <v>0</v>
      </c>
      <c r="C115" s="23">
        <v>0</v>
      </c>
      <c r="D115" s="23">
        <v>0</v>
      </c>
      <c r="E115" s="23">
        <v>0</v>
      </c>
      <c r="F115" s="23">
        <v>0</v>
      </c>
      <c r="G115" s="23">
        <v>0</v>
      </c>
      <c r="H115" s="23">
        <v>56695268</v>
      </c>
      <c r="I115" s="23">
        <v>0</v>
      </c>
      <c r="J115" s="23">
        <v>5144586</v>
      </c>
      <c r="K115" s="23">
        <v>0</v>
      </c>
    </row>
    <row r="116" spans="1:11" x14ac:dyDescent="0.2">
      <c r="A116" s="2" t="str">
        <f t="shared" si="66"/>
        <v>Denver Nuggets</v>
      </c>
      <c r="B116" s="23">
        <v>0</v>
      </c>
      <c r="C116" s="23">
        <v>0</v>
      </c>
      <c r="D116" s="23">
        <v>0</v>
      </c>
      <c r="E116" s="23">
        <v>0</v>
      </c>
      <c r="F116" s="23">
        <v>0</v>
      </c>
      <c r="G116" s="23">
        <v>0</v>
      </c>
      <c r="H116" s="23">
        <v>17302510</v>
      </c>
      <c r="I116" s="23">
        <v>20240495</v>
      </c>
      <c r="J116" s="23">
        <v>20356788</v>
      </c>
      <c r="K116" s="23">
        <v>0</v>
      </c>
    </row>
    <row r="117" spans="1:11" x14ac:dyDescent="0.2">
      <c r="A117" s="2" t="str">
        <f t="shared" si="66"/>
        <v>Detroit Pistons</v>
      </c>
      <c r="B117" s="23">
        <v>0</v>
      </c>
      <c r="C117" s="23">
        <v>0</v>
      </c>
      <c r="D117" s="23">
        <v>0</v>
      </c>
      <c r="E117" s="23">
        <v>0</v>
      </c>
      <c r="F117" s="23">
        <v>0</v>
      </c>
      <c r="G117" s="23">
        <v>0</v>
      </c>
      <c r="H117" s="23">
        <v>0</v>
      </c>
      <c r="I117" s="23">
        <v>0</v>
      </c>
      <c r="J117" s="23">
        <v>0</v>
      </c>
      <c r="K117" s="23">
        <v>0</v>
      </c>
    </row>
    <row r="118" spans="1:11" x14ac:dyDescent="0.2">
      <c r="A118" s="2" t="str">
        <f t="shared" si="66"/>
        <v>Golden State Warriors</v>
      </c>
      <c r="B118" s="23">
        <v>0</v>
      </c>
      <c r="C118" s="23">
        <v>32263299</v>
      </c>
      <c r="D118" s="23">
        <v>51500000</v>
      </c>
      <c r="E118" s="23">
        <v>0</v>
      </c>
      <c r="F118" s="23">
        <v>68942909</v>
      </c>
      <c r="G118" s="23">
        <v>170331194</v>
      </c>
      <c r="H118" s="23">
        <v>163153075</v>
      </c>
      <c r="I118" s="23">
        <v>176880968</v>
      </c>
      <c r="J118" s="23">
        <v>15409941</v>
      </c>
      <c r="K118" s="23">
        <v>65671178</v>
      </c>
    </row>
    <row r="119" spans="1:11" x14ac:dyDescent="0.2">
      <c r="A119" s="2" t="str">
        <f t="shared" si="66"/>
        <v>Houston Rockets</v>
      </c>
      <c r="B119" s="23">
        <v>0</v>
      </c>
      <c r="C119" s="23">
        <v>0</v>
      </c>
      <c r="D119" s="23">
        <v>0</v>
      </c>
      <c r="E119" s="23">
        <v>0</v>
      </c>
      <c r="F119" s="23">
        <v>0</v>
      </c>
      <c r="G119" s="23">
        <v>0</v>
      </c>
      <c r="H119" s="23">
        <v>0</v>
      </c>
      <c r="I119" s="23">
        <v>0</v>
      </c>
      <c r="J119" s="23">
        <v>0</v>
      </c>
      <c r="K119" s="23">
        <v>7071764</v>
      </c>
    </row>
    <row r="120" spans="1:11" x14ac:dyDescent="0.2">
      <c r="A120" s="2" t="str">
        <f t="shared" si="66"/>
        <v>Indiana Pacers</v>
      </c>
      <c r="B120" s="23">
        <v>0</v>
      </c>
      <c r="C120" s="23">
        <v>0</v>
      </c>
      <c r="D120" s="23">
        <v>0</v>
      </c>
      <c r="E120" s="23">
        <v>0</v>
      </c>
      <c r="F120" s="23">
        <v>0</v>
      </c>
      <c r="G120" s="23">
        <v>0</v>
      </c>
      <c r="H120" s="23">
        <v>0</v>
      </c>
      <c r="I120" s="23">
        <v>0</v>
      </c>
      <c r="J120" s="23">
        <v>0</v>
      </c>
      <c r="K120" s="23">
        <v>0</v>
      </c>
    </row>
    <row r="121" spans="1:11" x14ac:dyDescent="0.2">
      <c r="A121" s="2" t="str">
        <f t="shared" si="66"/>
        <v>LA Clippers</v>
      </c>
      <c r="B121" s="23">
        <v>3632580</v>
      </c>
      <c r="C121" s="23">
        <v>0</v>
      </c>
      <c r="D121" s="23">
        <v>0</v>
      </c>
      <c r="E121" s="23">
        <v>0</v>
      </c>
      <c r="F121" s="23">
        <v>5100000</v>
      </c>
      <c r="G121" s="23">
        <v>83114692</v>
      </c>
      <c r="H121" s="23">
        <v>140302811</v>
      </c>
      <c r="I121" s="23">
        <v>142409186</v>
      </c>
      <c r="J121" s="23">
        <v>0</v>
      </c>
      <c r="K121" s="23">
        <v>6665742</v>
      </c>
    </row>
    <row r="122" spans="1:11" x14ac:dyDescent="0.2">
      <c r="A122" s="2" t="str">
        <f t="shared" si="66"/>
        <v>Los Angeles Lakers</v>
      </c>
      <c r="B122" s="23">
        <v>0</v>
      </c>
      <c r="C122" s="23">
        <v>0</v>
      </c>
      <c r="D122" s="23">
        <v>0</v>
      </c>
      <c r="E122" s="23">
        <v>0</v>
      </c>
      <c r="F122" s="23">
        <v>4000000</v>
      </c>
      <c r="G122" s="23">
        <v>45117195</v>
      </c>
      <c r="H122" s="23">
        <v>35935217</v>
      </c>
      <c r="I122" s="23">
        <v>6904960</v>
      </c>
      <c r="J122" s="23">
        <v>53477202</v>
      </c>
      <c r="K122" s="23">
        <v>22653028</v>
      </c>
    </row>
    <row r="123" spans="1:11" x14ac:dyDescent="0.2">
      <c r="A123" s="2" t="str">
        <f t="shared" si="66"/>
        <v>Memphis Grizzlies</v>
      </c>
      <c r="B123" s="23">
        <v>0</v>
      </c>
      <c r="C123" s="23">
        <v>0</v>
      </c>
      <c r="D123" s="23">
        <v>0</v>
      </c>
      <c r="E123" s="23">
        <v>0</v>
      </c>
      <c r="F123" s="23">
        <v>0</v>
      </c>
      <c r="G123" s="23">
        <v>0</v>
      </c>
      <c r="H123" s="23">
        <v>0</v>
      </c>
      <c r="I123" s="23">
        <v>0</v>
      </c>
      <c r="J123" s="23">
        <v>0</v>
      </c>
      <c r="K123" s="23">
        <v>0</v>
      </c>
    </row>
    <row r="124" spans="1:11" x14ac:dyDescent="0.2">
      <c r="A124" s="2" t="str">
        <f t="shared" si="66"/>
        <v>Miami Heat</v>
      </c>
      <c r="B124" s="23">
        <v>0</v>
      </c>
      <c r="C124" s="23">
        <v>0</v>
      </c>
      <c r="D124" s="23">
        <v>0</v>
      </c>
      <c r="E124" s="23">
        <v>2461242</v>
      </c>
      <c r="F124" s="23">
        <v>0</v>
      </c>
      <c r="G124" s="23">
        <v>0</v>
      </c>
      <c r="H124" s="23">
        <v>0</v>
      </c>
      <c r="I124" s="23">
        <v>15681924</v>
      </c>
      <c r="J124" s="23">
        <v>4178051</v>
      </c>
      <c r="K124" s="23">
        <v>0</v>
      </c>
    </row>
    <row r="125" spans="1:11" x14ac:dyDescent="0.2">
      <c r="A125" s="2" t="str">
        <f t="shared" si="66"/>
        <v>Milwaukee Bucks</v>
      </c>
      <c r="B125" s="23">
        <v>0</v>
      </c>
      <c r="C125" s="23">
        <v>0</v>
      </c>
      <c r="D125" s="23">
        <v>0</v>
      </c>
      <c r="E125" s="23">
        <v>0</v>
      </c>
      <c r="F125" s="23">
        <v>794721</v>
      </c>
      <c r="G125" s="23">
        <v>52037160</v>
      </c>
      <c r="H125" s="23">
        <v>83893840</v>
      </c>
      <c r="I125" s="23">
        <v>52464740</v>
      </c>
      <c r="J125" s="23">
        <v>29378941</v>
      </c>
      <c r="K125" s="23">
        <v>0</v>
      </c>
    </row>
    <row r="126" spans="1:11" x14ac:dyDescent="0.2">
      <c r="A126" s="2" t="str">
        <f t="shared" si="66"/>
        <v>Minnesota Timberwolves</v>
      </c>
      <c r="B126" s="23">
        <v>0</v>
      </c>
      <c r="C126" s="23">
        <v>0</v>
      </c>
      <c r="D126" s="23">
        <v>0</v>
      </c>
      <c r="E126" s="23">
        <v>497502</v>
      </c>
      <c r="F126" s="23">
        <v>0</v>
      </c>
      <c r="G126" s="23">
        <v>0</v>
      </c>
      <c r="H126" s="23">
        <v>0</v>
      </c>
      <c r="I126" s="23">
        <v>0</v>
      </c>
      <c r="J126" s="23">
        <v>90407672</v>
      </c>
      <c r="K126" s="23">
        <v>5986721</v>
      </c>
    </row>
    <row r="127" spans="1:11" x14ac:dyDescent="0.2">
      <c r="A127" s="2" t="str">
        <f t="shared" si="66"/>
        <v>New Orleans Pelicans</v>
      </c>
      <c r="B127" s="23">
        <v>0</v>
      </c>
      <c r="C127" s="23">
        <v>0</v>
      </c>
      <c r="D127" s="23">
        <v>0</v>
      </c>
      <c r="E127" s="23">
        <v>0</v>
      </c>
      <c r="F127" s="23">
        <v>0</v>
      </c>
      <c r="G127" s="23">
        <v>0</v>
      </c>
      <c r="H127" s="23">
        <v>0</v>
      </c>
      <c r="I127" s="23">
        <v>0</v>
      </c>
      <c r="J127" s="23">
        <v>0</v>
      </c>
      <c r="K127" s="23">
        <v>0</v>
      </c>
    </row>
    <row r="128" spans="1:11" x14ac:dyDescent="0.2">
      <c r="A128" s="2" t="str">
        <f t="shared" si="66"/>
        <v>New York Knicks</v>
      </c>
      <c r="B128" s="23">
        <v>0</v>
      </c>
      <c r="C128" s="23">
        <v>0</v>
      </c>
      <c r="D128" s="23">
        <v>0</v>
      </c>
      <c r="E128" s="23">
        <v>0</v>
      </c>
      <c r="F128" s="23">
        <v>0</v>
      </c>
      <c r="G128" s="23">
        <v>0</v>
      </c>
      <c r="H128" s="23">
        <v>0</v>
      </c>
      <c r="I128" s="23">
        <v>0</v>
      </c>
      <c r="J128" s="23">
        <v>38034863</v>
      </c>
      <c r="K128" s="23">
        <v>44436592</v>
      </c>
    </row>
    <row r="129" spans="1:11" x14ac:dyDescent="0.2">
      <c r="A129" s="2" t="str">
        <f t="shared" si="66"/>
        <v>Oklahoma City Thunder</v>
      </c>
      <c r="B129" s="23">
        <v>0</v>
      </c>
      <c r="C129" s="23">
        <v>25400000</v>
      </c>
      <c r="D129" s="23">
        <v>61617183</v>
      </c>
      <c r="E129" s="23">
        <v>2102278</v>
      </c>
      <c r="F129" s="23">
        <v>0</v>
      </c>
      <c r="G129" s="23">
        <v>0</v>
      </c>
      <c r="H129" s="23">
        <v>0</v>
      </c>
      <c r="I129" s="23">
        <v>0</v>
      </c>
      <c r="J129" s="23">
        <v>0</v>
      </c>
      <c r="K129" s="23">
        <v>0</v>
      </c>
    </row>
    <row r="130" spans="1:11" x14ac:dyDescent="0.2">
      <c r="A130" s="2" t="str">
        <f t="shared" si="66"/>
        <v>Orlando Magic</v>
      </c>
      <c r="B130" s="23">
        <v>0</v>
      </c>
      <c r="C130" s="23">
        <v>0</v>
      </c>
      <c r="D130" s="23">
        <v>0</v>
      </c>
      <c r="E130" s="23">
        <v>0</v>
      </c>
      <c r="F130" s="23">
        <v>0</v>
      </c>
      <c r="G130" s="23">
        <v>0</v>
      </c>
      <c r="H130" s="23">
        <v>0</v>
      </c>
      <c r="I130" s="23">
        <v>0</v>
      </c>
      <c r="J130" s="23">
        <v>0</v>
      </c>
      <c r="K130" s="23">
        <v>0</v>
      </c>
    </row>
    <row r="131" spans="1:11" x14ac:dyDescent="0.2">
      <c r="A131" s="2" t="str">
        <f t="shared" si="66"/>
        <v>Philadelphia 76ers</v>
      </c>
      <c r="B131" s="23">
        <v>0</v>
      </c>
      <c r="C131" s="23">
        <v>0</v>
      </c>
      <c r="D131" s="23">
        <v>0</v>
      </c>
      <c r="E131" s="23">
        <v>0</v>
      </c>
      <c r="F131" s="23">
        <v>15600000</v>
      </c>
      <c r="G131" s="23">
        <v>13876624</v>
      </c>
      <c r="H131" s="23">
        <v>0</v>
      </c>
      <c r="I131" s="23">
        <v>0</v>
      </c>
      <c r="J131" s="23">
        <v>0</v>
      </c>
      <c r="K131" s="23">
        <v>0</v>
      </c>
    </row>
    <row r="132" spans="1:11" x14ac:dyDescent="0.2">
      <c r="A132" s="2" t="str">
        <f t="shared" si="66"/>
        <v>Phoenix Suns</v>
      </c>
      <c r="B132" s="23">
        <v>0</v>
      </c>
      <c r="C132" s="23">
        <v>0</v>
      </c>
      <c r="D132" s="23">
        <v>0</v>
      </c>
      <c r="E132" s="23">
        <v>0</v>
      </c>
      <c r="F132" s="23">
        <v>0</v>
      </c>
      <c r="G132" s="23">
        <v>0</v>
      </c>
      <c r="H132" s="23">
        <v>53436904</v>
      </c>
      <c r="I132" s="23">
        <v>68158648</v>
      </c>
      <c r="J132" s="23">
        <v>152262705</v>
      </c>
      <c r="K132" s="23">
        <v>0</v>
      </c>
    </row>
    <row r="133" spans="1:11" x14ac:dyDescent="0.2">
      <c r="A133" s="2" t="str">
        <f t="shared" si="66"/>
        <v>Portland Trail Blazers</v>
      </c>
      <c r="B133" s="23">
        <v>0</v>
      </c>
      <c r="C133" s="23">
        <v>0</v>
      </c>
      <c r="D133" s="23">
        <v>15100000</v>
      </c>
      <c r="E133" s="23">
        <v>5082084</v>
      </c>
      <c r="F133" s="23">
        <v>0</v>
      </c>
      <c r="G133" s="23">
        <v>0</v>
      </c>
      <c r="H133" s="23">
        <v>0</v>
      </c>
      <c r="I133" s="23">
        <v>0</v>
      </c>
      <c r="J133" s="23">
        <v>0</v>
      </c>
      <c r="K133" s="23">
        <v>0</v>
      </c>
    </row>
    <row r="134" spans="1:11" x14ac:dyDescent="0.2">
      <c r="A134" s="2" t="str">
        <f t="shared" si="66"/>
        <v>Sacramento Kings</v>
      </c>
      <c r="B134" s="23">
        <v>0</v>
      </c>
      <c r="C134" s="23">
        <v>0</v>
      </c>
      <c r="D134" s="23">
        <v>0</v>
      </c>
      <c r="E134" s="23">
        <v>0</v>
      </c>
      <c r="F134" s="23">
        <v>0</v>
      </c>
      <c r="G134" s="23">
        <v>0</v>
      </c>
      <c r="H134" s="23">
        <v>0</v>
      </c>
      <c r="I134" s="23">
        <v>0</v>
      </c>
      <c r="J134" s="23">
        <v>0</v>
      </c>
      <c r="K134" s="23">
        <v>0</v>
      </c>
    </row>
    <row r="135" spans="1:11" x14ac:dyDescent="0.2">
      <c r="A135" s="2" t="str">
        <f t="shared" si="66"/>
        <v>San Antonio Spurs</v>
      </c>
      <c r="B135" s="23">
        <v>0</v>
      </c>
      <c r="C135" s="23">
        <v>0</v>
      </c>
      <c r="D135" s="23">
        <v>0</v>
      </c>
      <c r="E135" s="23">
        <v>0</v>
      </c>
      <c r="F135" s="23">
        <v>0</v>
      </c>
      <c r="G135" s="23">
        <v>0</v>
      </c>
      <c r="H135" s="23">
        <v>0</v>
      </c>
      <c r="I135" s="23">
        <v>0</v>
      </c>
      <c r="J135" s="23">
        <v>0</v>
      </c>
      <c r="K135" s="23">
        <v>0</v>
      </c>
    </row>
    <row r="136" spans="1:11" x14ac:dyDescent="0.2">
      <c r="A136" s="2" t="str">
        <f t="shared" si="66"/>
        <v>Toronto Raptors</v>
      </c>
      <c r="B136" s="23">
        <v>0</v>
      </c>
      <c r="C136" s="23">
        <v>0</v>
      </c>
      <c r="D136" s="23">
        <v>25190963</v>
      </c>
      <c r="E136" s="23">
        <v>0</v>
      </c>
      <c r="F136" s="23">
        <v>0</v>
      </c>
      <c r="G136" s="23">
        <v>0</v>
      </c>
      <c r="H136" s="23">
        <v>0</v>
      </c>
      <c r="I136" s="23">
        <v>0</v>
      </c>
      <c r="J136" s="23">
        <v>0</v>
      </c>
      <c r="K136" s="23">
        <v>0</v>
      </c>
    </row>
    <row r="137" spans="1:11" x14ac:dyDescent="0.2">
      <c r="A137" s="2" t="str">
        <f t="shared" si="66"/>
        <v>Utah Jazz</v>
      </c>
      <c r="B137" s="23">
        <v>0</v>
      </c>
      <c r="C137" s="23">
        <v>0</v>
      </c>
      <c r="D137" s="23">
        <v>0</v>
      </c>
      <c r="E137" s="23">
        <v>0</v>
      </c>
      <c r="F137" s="116">
        <v>5509202</v>
      </c>
      <c r="G137" s="23">
        <v>18833260</v>
      </c>
      <c r="H137" s="23">
        <v>0</v>
      </c>
      <c r="I137" s="23">
        <v>0</v>
      </c>
      <c r="J137" s="23">
        <v>0</v>
      </c>
      <c r="K137" s="23">
        <v>0</v>
      </c>
    </row>
    <row r="138" spans="1:11" x14ac:dyDescent="0.2">
      <c r="A138" s="2" t="str">
        <f t="shared" si="66"/>
        <v>Washington Wizards</v>
      </c>
      <c r="B138" s="23">
        <v>0</v>
      </c>
      <c r="C138" s="23">
        <v>7000000</v>
      </c>
      <c r="D138" s="23">
        <v>0</v>
      </c>
      <c r="E138" s="23">
        <v>0</v>
      </c>
      <c r="F138" s="23">
        <v>0</v>
      </c>
      <c r="G138" s="23">
        <v>0</v>
      </c>
      <c r="H138" s="23">
        <v>0</v>
      </c>
      <c r="I138" s="23">
        <v>0</v>
      </c>
      <c r="J138" s="23">
        <v>0</v>
      </c>
      <c r="K138" s="23">
        <v>0</v>
      </c>
    </row>
    <row r="141" spans="1:11" x14ac:dyDescent="0.2">
      <c r="A141" s="9" t="s">
        <v>315</v>
      </c>
    </row>
    <row r="142" spans="1:11" ht="85" customHeight="1" x14ac:dyDescent="0.2">
      <c r="A142" s="120" t="s">
        <v>0</v>
      </c>
      <c r="B142" s="119" t="s">
        <v>316</v>
      </c>
      <c r="C142" s="119" t="s">
        <v>317</v>
      </c>
    </row>
    <row r="143" spans="1:11" x14ac:dyDescent="0.2">
      <c r="A143" s="121" t="str">
        <f>A10</f>
        <v>Atlanta Hawks</v>
      </c>
      <c r="B143" s="117">
        <v>71407945</v>
      </c>
      <c r="C143" s="117">
        <v>0</v>
      </c>
    </row>
    <row r="144" spans="1:11" x14ac:dyDescent="0.2">
      <c r="A144" s="121" t="str">
        <f>A11</f>
        <v>Boston Celtics</v>
      </c>
      <c r="B144" s="117">
        <v>77166671</v>
      </c>
      <c r="C144" s="117">
        <v>0</v>
      </c>
    </row>
    <row r="145" spans="1:3" x14ac:dyDescent="0.2">
      <c r="A145" s="121" t="str">
        <f>A12</f>
        <v>Brooklyn Nets</v>
      </c>
      <c r="B145" s="117">
        <v>80503847</v>
      </c>
      <c r="C145" s="117">
        <v>0</v>
      </c>
    </row>
    <row r="146" spans="1:3" x14ac:dyDescent="0.2">
      <c r="A146" s="121" t="str">
        <f>A13</f>
        <v>Charlotte Hornets</v>
      </c>
      <c r="B146" s="117">
        <v>78532364</v>
      </c>
      <c r="C146" s="117">
        <v>0</v>
      </c>
    </row>
    <row r="147" spans="1:3" x14ac:dyDescent="0.2">
      <c r="A147" s="121" t="str">
        <f>A14</f>
        <v>Chicago Bulls</v>
      </c>
      <c r="B147" s="117">
        <v>102184130</v>
      </c>
      <c r="C147" s="117">
        <v>36693423</v>
      </c>
    </row>
    <row r="148" spans="1:3" x14ac:dyDescent="0.2">
      <c r="A148" s="121" t="str">
        <f>A15</f>
        <v>Cleveland Cavaliers</v>
      </c>
      <c r="B148" s="117">
        <v>107028354</v>
      </c>
      <c r="C148" s="117">
        <v>53581328</v>
      </c>
    </row>
    <row r="149" spans="1:3" x14ac:dyDescent="0.2">
      <c r="A149" s="121" t="str">
        <f>A16</f>
        <v>Dallas Mavericks</v>
      </c>
      <c r="B149" s="117">
        <v>73096861</v>
      </c>
      <c r="C149" s="117">
        <v>0</v>
      </c>
    </row>
    <row r="150" spans="1:3" x14ac:dyDescent="0.2">
      <c r="A150" s="121" t="str">
        <f>A17</f>
        <v>Denver Nuggets</v>
      </c>
      <c r="B150" s="117">
        <v>71448753</v>
      </c>
      <c r="C150" s="117">
        <v>0</v>
      </c>
    </row>
    <row r="151" spans="1:3" x14ac:dyDescent="0.2">
      <c r="A151" s="121" t="str">
        <f>A18</f>
        <v>Detroit Pistons</v>
      </c>
      <c r="B151" s="117">
        <v>75603690</v>
      </c>
      <c r="C151" s="117">
        <v>0</v>
      </c>
    </row>
    <row r="152" spans="1:3" x14ac:dyDescent="0.2">
      <c r="A152" s="121" t="str">
        <f>A19</f>
        <v>Golden State Warriors</v>
      </c>
      <c r="B152" s="117">
        <v>95879899</v>
      </c>
      <c r="C152" s="117">
        <v>19099748</v>
      </c>
    </row>
    <row r="153" spans="1:3" x14ac:dyDescent="0.2">
      <c r="A153" s="121" t="str">
        <f>A20</f>
        <v>Houston Rockets</v>
      </c>
      <c r="B153" s="117">
        <v>88387446</v>
      </c>
      <c r="C153" s="117">
        <v>5471169</v>
      </c>
    </row>
    <row r="154" spans="1:3" x14ac:dyDescent="0.2">
      <c r="A154" s="121" t="str">
        <f>A21</f>
        <v>Indiana Pacers</v>
      </c>
      <c r="B154" s="117">
        <v>72413726</v>
      </c>
      <c r="C154" s="117">
        <v>0</v>
      </c>
    </row>
    <row r="155" spans="1:3" x14ac:dyDescent="0.2">
      <c r="A155" s="121" t="str">
        <f>A22</f>
        <v>LA Clippers</v>
      </c>
      <c r="B155" s="117">
        <v>96140524</v>
      </c>
      <c r="C155" s="117">
        <v>19751310</v>
      </c>
    </row>
    <row r="156" spans="1:3" x14ac:dyDescent="0.2">
      <c r="A156" s="121" t="str">
        <f>A23</f>
        <v>Los Angeles Lakers</v>
      </c>
      <c r="B156" s="117">
        <v>71965372</v>
      </c>
      <c r="C156" s="117">
        <v>0</v>
      </c>
    </row>
    <row r="157" spans="1:3" x14ac:dyDescent="0.2">
      <c r="A157" s="121" t="str">
        <f>A24</f>
        <v>Memphis Grizzlies</v>
      </c>
      <c r="B157" s="117">
        <v>83382043</v>
      </c>
      <c r="C157" s="117">
        <v>0</v>
      </c>
    </row>
    <row r="158" spans="1:3" x14ac:dyDescent="0.2">
      <c r="A158" s="121" t="str">
        <f>A25</f>
        <v>Miami Heat</v>
      </c>
      <c r="B158" s="117">
        <v>84629571</v>
      </c>
      <c r="C158" s="117">
        <v>0</v>
      </c>
    </row>
    <row r="159" spans="1:3" x14ac:dyDescent="0.2">
      <c r="A159" s="121" t="str">
        <f>A26</f>
        <v>Milwaukee Bucks</v>
      </c>
      <c r="B159" s="117">
        <v>70579512</v>
      </c>
      <c r="C159" s="117">
        <v>0</v>
      </c>
    </row>
    <row r="160" spans="1:3" x14ac:dyDescent="0.2">
      <c r="A160" s="121" t="str">
        <f>A27</f>
        <v>Minnesota Timberwolves</v>
      </c>
      <c r="B160" s="117">
        <v>70652855</v>
      </c>
      <c r="C160" s="117">
        <v>0</v>
      </c>
    </row>
    <row r="161" spans="1:3" x14ac:dyDescent="0.2">
      <c r="A161" s="121" t="str">
        <f>A28</f>
        <v>New Orleans Pelicans</v>
      </c>
      <c r="B161" s="117">
        <v>81425760</v>
      </c>
      <c r="C161" s="117">
        <v>0</v>
      </c>
    </row>
    <row r="162" spans="1:3" x14ac:dyDescent="0.2">
      <c r="A162" s="121" t="str">
        <f>A29</f>
        <v>New York Knicks</v>
      </c>
      <c r="B162" s="117">
        <v>59812260</v>
      </c>
      <c r="C162" s="117">
        <v>0</v>
      </c>
    </row>
    <row r="163" spans="1:3" x14ac:dyDescent="0.2">
      <c r="A163" s="121" t="str">
        <f>A30</f>
        <v>Oklahoma City Thunder</v>
      </c>
      <c r="B163" s="117">
        <v>93765298</v>
      </c>
      <c r="C163" s="117">
        <v>14544272</v>
      </c>
    </row>
    <row r="164" spans="1:3" x14ac:dyDescent="0.2">
      <c r="A164" s="121" t="str">
        <f>A31</f>
        <v>Orlando Magic</v>
      </c>
      <c r="B164" s="117">
        <v>64462856</v>
      </c>
      <c r="C164" s="117">
        <v>0</v>
      </c>
    </row>
    <row r="165" spans="1:3" x14ac:dyDescent="0.2">
      <c r="A165" s="121" t="str">
        <f>A32</f>
        <v>Philadelphia 76ers</v>
      </c>
      <c r="B165" s="117">
        <v>62424777</v>
      </c>
      <c r="C165" s="117">
        <v>0</v>
      </c>
    </row>
    <row r="166" spans="1:3" x14ac:dyDescent="0.2">
      <c r="A166" s="121" t="str">
        <f>A33</f>
        <v>Phoenix Suns</v>
      </c>
      <c r="B166" s="117">
        <v>73443637</v>
      </c>
      <c r="C166" s="117">
        <v>0</v>
      </c>
    </row>
    <row r="167" spans="1:3" x14ac:dyDescent="0.2">
      <c r="A167" s="121" t="str">
        <f>A34</f>
        <v>Portland Trail Blazers</v>
      </c>
      <c r="B167" s="117">
        <v>62486866</v>
      </c>
      <c r="C167" s="117">
        <v>0</v>
      </c>
    </row>
    <row r="168" spans="1:3" x14ac:dyDescent="0.2">
      <c r="A168" s="121" t="str">
        <f>A35</f>
        <v>Sacramento Kings</v>
      </c>
      <c r="B168" s="117">
        <v>72671296</v>
      </c>
      <c r="C168" s="117">
        <v>0</v>
      </c>
    </row>
    <row r="169" spans="1:3" x14ac:dyDescent="0.2">
      <c r="A169" s="121" t="str">
        <f>A36</f>
        <v>San Antonio Spurs</v>
      </c>
      <c r="B169" s="117">
        <v>87594996</v>
      </c>
      <c r="C169" s="117">
        <v>4282494</v>
      </c>
    </row>
    <row r="170" spans="1:3" x14ac:dyDescent="0.2">
      <c r="A170" s="121" t="str">
        <f>A37</f>
        <v>Toronto Raptors</v>
      </c>
      <c r="B170" s="117">
        <v>72314887</v>
      </c>
      <c r="C170" s="117">
        <v>0</v>
      </c>
    </row>
    <row r="171" spans="1:3" x14ac:dyDescent="0.2">
      <c r="A171" s="121" t="str">
        <f>A38</f>
        <v>Utah Jazz</v>
      </c>
      <c r="B171" s="117">
        <v>64817873</v>
      </c>
      <c r="C171" s="117">
        <v>0</v>
      </c>
    </row>
    <row r="172" spans="1:3" x14ac:dyDescent="0.2">
      <c r="A172" s="122" t="str">
        <f>A39</f>
        <v>Washington Wizards</v>
      </c>
      <c r="B172" s="118">
        <v>84291562</v>
      </c>
      <c r="C172" s="118">
        <v>0</v>
      </c>
    </row>
  </sheetData>
  <mergeCells count="8">
    <mergeCell ref="A1:L1"/>
    <mergeCell ref="O42:R42"/>
    <mergeCell ref="O43:R43"/>
    <mergeCell ref="N46:Z46"/>
    <mergeCell ref="N47:Z47"/>
    <mergeCell ref="N48:Z48"/>
    <mergeCell ref="N49:Z49"/>
    <mergeCell ref="N50:Z50"/>
  </mergeCells>
  <conditionalFormatting sqref="B10:K39">
    <cfRule type="expression" dxfId="15" priority="5" stopIfTrue="1">
      <formula>OR(AND(ISNUMBER(B10),B10&gt;B$6),AND(ISNUMBER(B109),B109&gt;0),LEFT(B109,4)="Paid")</formula>
    </cfRule>
    <cfRule type="expression" dxfId="14" priority="7" stopIfTrue="1">
      <formula>AND(ISNUMBER(B10),B10&gt;B$5)</formula>
    </cfRule>
  </conditionalFormatting>
  <conditionalFormatting sqref="B43:K72">
    <cfRule type="expression" dxfId="13" priority="9" stopIfTrue="1">
      <formula>AND(ISNUMBER(B43),B43&gt;0)</formula>
    </cfRule>
  </conditionalFormatting>
  <conditionalFormatting sqref="B76:K105">
    <cfRule type="expression" dxfId="12" priority="11" stopIfTrue="1">
      <formula>AND(ISNUMBER(B76),B76&gt;0)</formula>
    </cfRule>
  </conditionalFormatting>
  <conditionalFormatting sqref="B109:K138">
    <cfRule type="expression" dxfId="11" priority="13" stopIfTrue="1">
      <formula>OR(AND(ISNUMBER(B109),B109&gt;0),LEFT(B109,4)="Paid")</formula>
    </cfRule>
  </conditionalFormatting>
  <conditionalFormatting sqref="O10:O39">
    <cfRule type="expression" dxfId="10" priority="15" stopIfTrue="1">
      <formula>O10&gt;0</formula>
    </cfRule>
  </conditionalFormatting>
  <conditionalFormatting sqref="B142:C142">
    <cfRule type="expression" dxfId="8" priority="2" stopIfTrue="1">
      <formula>OR(AND(ISNUMBER(B142),B142&gt;0),LEFT(B142,4)="Paid")</formula>
    </cfRule>
  </conditionalFormatting>
  <conditionalFormatting sqref="B143:C171">
    <cfRule type="expression" dxfId="7" priority="1" stopIfTrue="1">
      <formula>OR(AND(ISNUMBER(B143),B143&gt;0),LEFT(B143,4)="Paid")</formula>
    </cfRule>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ECA27-04C4-BA49-81BC-CC34968D52B6}">
  <dimension ref="A1:Q270"/>
  <sheetViews>
    <sheetView zoomScale="75" zoomScaleNormal="75" workbookViewId="0">
      <pane xSplit="1" topLeftCell="B1" activePane="topRight" state="frozen"/>
      <selection pane="topRight" activeCell="N3" sqref="N3"/>
    </sheetView>
  </sheetViews>
  <sheetFormatPr baseColWidth="10" defaultRowHeight="16" x14ac:dyDescent="0.2"/>
  <cols>
    <col min="1" max="1" width="29.1640625" customWidth="1"/>
    <col min="2" max="11" width="20.83203125" customWidth="1"/>
    <col min="12" max="12" width="3.33203125" customWidth="1"/>
    <col min="13" max="13" width="56.6640625" customWidth="1"/>
    <col min="14" max="17" width="15.83203125" customWidth="1"/>
  </cols>
  <sheetData>
    <row r="1" spans="1:14" ht="36" customHeight="1" x14ac:dyDescent="0.35">
      <c r="A1" s="51" t="s">
        <v>78</v>
      </c>
      <c r="B1" s="51"/>
      <c r="C1" s="51"/>
      <c r="D1" s="51"/>
      <c r="E1" s="51"/>
      <c r="F1" s="51"/>
      <c r="G1" s="51"/>
      <c r="H1" s="51"/>
      <c r="I1" s="51"/>
      <c r="J1" s="51"/>
      <c r="K1" s="51"/>
    </row>
    <row r="2" spans="1:14" x14ac:dyDescent="0.2">
      <c r="A2" s="16" t="s">
        <v>79</v>
      </c>
    </row>
    <row r="4" spans="1:14" x14ac:dyDescent="0.2">
      <c r="A4" s="34" t="s">
        <v>80</v>
      </c>
    </row>
    <row r="5" spans="1:14" x14ac:dyDescent="0.2">
      <c r="A5" s="17" t="s">
        <v>0</v>
      </c>
      <c r="B5" s="17" t="s">
        <v>81</v>
      </c>
      <c r="C5" s="17" t="s">
        <v>82</v>
      </c>
      <c r="D5" s="17" t="s">
        <v>83</v>
      </c>
      <c r="E5" s="17" t="s">
        <v>84</v>
      </c>
      <c r="F5" s="17" t="s">
        <v>85</v>
      </c>
      <c r="G5" s="17" t="s">
        <v>86</v>
      </c>
      <c r="H5" s="17" t="s">
        <v>87</v>
      </c>
      <c r="I5" s="17" t="s">
        <v>88</v>
      </c>
      <c r="J5" s="17" t="s">
        <v>89</v>
      </c>
      <c r="K5" s="17" t="s">
        <v>90</v>
      </c>
    </row>
    <row r="6" spans="1:14" x14ac:dyDescent="0.2">
      <c r="A6" t="s">
        <v>1</v>
      </c>
      <c r="B6" s="35">
        <v>43</v>
      </c>
      <c r="C6" s="35">
        <v>24</v>
      </c>
      <c r="D6" s="35">
        <v>29</v>
      </c>
      <c r="E6" s="35">
        <v>20</v>
      </c>
      <c r="F6" s="35">
        <v>41</v>
      </c>
      <c r="G6" s="35">
        <v>43</v>
      </c>
      <c r="H6" s="35">
        <v>41</v>
      </c>
      <c r="I6" s="35">
        <v>36</v>
      </c>
      <c r="J6" s="35">
        <v>40</v>
      </c>
      <c r="K6" s="35">
        <v>46</v>
      </c>
      <c r="M6" s="34" t="s">
        <v>106</v>
      </c>
    </row>
    <row r="7" spans="1:14" x14ac:dyDescent="0.2">
      <c r="A7" t="s">
        <v>2</v>
      </c>
      <c r="B7" s="35">
        <v>53</v>
      </c>
      <c r="C7" s="35">
        <v>55</v>
      </c>
      <c r="D7" s="35">
        <v>49</v>
      </c>
      <c r="E7" s="35">
        <v>48</v>
      </c>
      <c r="F7" s="35">
        <v>36</v>
      </c>
      <c r="G7" s="35">
        <v>51</v>
      </c>
      <c r="H7" s="35">
        <v>57</v>
      </c>
      <c r="I7" s="35">
        <v>64</v>
      </c>
      <c r="J7" s="35">
        <v>61</v>
      </c>
      <c r="K7" s="35">
        <v>56</v>
      </c>
      <c r="M7" s="9" t="s">
        <v>95</v>
      </c>
      <c r="N7" s="9" t="s">
        <v>107</v>
      </c>
    </row>
    <row r="8" spans="1:14" x14ac:dyDescent="0.2">
      <c r="A8" t="s">
        <v>3</v>
      </c>
      <c r="B8" s="35">
        <v>20</v>
      </c>
      <c r="C8" s="35">
        <v>28</v>
      </c>
      <c r="D8" s="35">
        <v>42</v>
      </c>
      <c r="E8" s="35">
        <v>35</v>
      </c>
      <c r="F8" s="35">
        <v>48</v>
      </c>
      <c r="G8" s="35">
        <v>44</v>
      </c>
      <c r="H8" s="35">
        <v>45</v>
      </c>
      <c r="I8" s="35">
        <v>32</v>
      </c>
      <c r="J8" s="35">
        <v>26</v>
      </c>
      <c r="K8" s="35">
        <v>20</v>
      </c>
      <c r="M8" t="s">
        <v>97</v>
      </c>
      <c r="N8" s="18">
        <v>0</v>
      </c>
    </row>
    <row r="9" spans="1:14" x14ac:dyDescent="0.2">
      <c r="A9" t="s">
        <v>4</v>
      </c>
      <c r="B9" s="35">
        <v>36</v>
      </c>
      <c r="C9" s="35">
        <v>36</v>
      </c>
      <c r="D9" s="35">
        <v>39</v>
      </c>
      <c r="E9" s="35">
        <v>23</v>
      </c>
      <c r="F9" s="35">
        <v>33</v>
      </c>
      <c r="G9" s="35">
        <v>43</v>
      </c>
      <c r="H9" s="35">
        <v>27</v>
      </c>
      <c r="I9" s="35">
        <v>21</v>
      </c>
      <c r="J9" s="35">
        <v>19</v>
      </c>
      <c r="K9" s="35">
        <v>44</v>
      </c>
      <c r="M9" t="s">
        <v>96</v>
      </c>
      <c r="N9" s="18">
        <v>1</v>
      </c>
    </row>
    <row r="10" spans="1:14" x14ac:dyDescent="0.2">
      <c r="A10" t="s">
        <v>5</v>
      </c>
      <c r="B10" s="35">
        <v>41</v>
      </c>
      <c r="C10" s="35">
        <v>27</v>
      </c>
      <c r="D10" s="35">
        <v>22</v>
      </c>
      <c r="E10" s="35">
        <v>22</v>
      </c>
      <c r="F10" s="35">
        <v>31</v>
      </c>
      <c r="G10" s="35">
        <v>46</v>
      </c>
      <c r="H10" s="35">
        <v>40</v>
      </c>
      <c r="I10" s="35">
        <v>39</v>
      </c>
      <c r="J10" s="35">
        <v>39</v>
      </c>
      <c r="K10" s="35">
        <v>31</v>
      </c>
      <c r="M10" t="s">
        <v>99</v>
      </c>
      <c r="N10" s="18">
        <v>2</v>
      </c>
    </row>
    <row r="11" spans="1:14" x14ac:dyDescent="0.2">
      <c r="A11" t="s">
        <v>6</v>
      </c>
      <c r="B11" s="35">
        <v>51</v>
      </c>
      <c r="C11" s="35">
        <v>50</v>
      </c>
      <c r="D11" s="35">
        <v>19</v>
      </c>
      <c r="E11" s="35">
        <v>19</v>
      </c>
      <c r="F11" s="35">
        <v>22</v>
      </c>
      <c r="G11" s="35">
        <v>44</v>
      </c>
      <c r="H11" s="35">
        <v>51</v>
      </c>
      <c r="I11" s="35">
        <v>48</v>
      </c>
      <c r="J11" s="35">
        <v>64</v>
      </c>
      <c r="K11" s="35">
        <v>52</v>
      </c>
      <c r="M11" t="s">
        <v>98</v>
      </c>
      <c r="N11" s="18">
        <v>3</v>
      </c>
    </row>
    <row r="12" spans="1:14" x14ac:dyDescent="0.2">
      <c r="A12" t="s">
        <v>7</v>
      </c>
      <c r="B12" s="35">
        <v>33</v>
      </c>
      <c r="C12" s="35">
        <v>24</v>
      </c>
      <c r="D12" s="35">
        <v>33</v>
      </c>
      <c r="E12" s="35">
        <v>43</v>
      </c>
      <c r="F12" s="35">
        <v>42</v>
      </c>
      <c r="G12" s="35">
        <v>52</v>
      </c>
      <c r="H12" s="35">
        <v>38</v>
      </c>
      <c r="I12" s="35">
        <v>50</v>
      </c>
      <c r="J12" s="35">
        <v>39</v>
      </c>
      <c r="K12" s="35">
        <v>26</v>
      </c>
      <c r="M12" t="s">
        <v>100</v>
      </c>
      <c r="N12" s="18">
        <v>4</v>
      </c>
    </row>
    <row r="13" spans="1:14" x14ac:dyDescent="0.2">
      <c r="A13" t="s">
        <v>8</v>
      </c>
      <c r="B13" s="35">
        <v>40</v>
      </c>
      <c r="C13" s="35">
        <v>46</v>
      </c>
      <c r="D13" s="35">
        <v>54</v>
      </c>
      <c r="E13" s="35">
        <v>46</v>
      </c>
      <c r="F13" s="35">
        <v>47</v>
      </c>
      <c r="G13" s="35">
        <v>48</v>
      </c>
      <c r="H13" s="35">
        <v>53</v>
      </c>
      <c r="I13" s="35">
        <v>57</v>
      </c>
      <c r="J13" s="35">
        <v>50</v>
      </c>
      <c r="K13" s="35">
        <v>54</v>
      </c>
      <c r="M13" t="s">
        <v>101</v>
      </c>
      <c r="N13" s="18">
        <v>5</v>
      </c>
    </row>
    <row r="14" spans="1:14" x14ac:dyDescent="0.2">
      <c r="A14" t="s">
        <v>9</v>
      </c>
      <c r="B14" s="35">
        <v>37</v>
      </c>
      <c r="C14" s="35">
        <v>39</v>
      </c>
      <c r="D14" s="35">
        <v>41</v>
      </c>
      <c r="E14" s="35">
        <v>20</v>
      </c>
      <c r="F14" s="35">
        <v>20</v>
      </c>
      <c r="G14" s="35">
        <v>23</v>
      </c>
      <c r="H14" s="35">
        <v>17</v>
      </c>
      <c r="I14" s="35">
        <v>14</v>
      </c>
      <c r="J14" s="35">
        <v>44</v>
      </c>
      <c r="K14" s="35">
        <v>60</v>
      </c>
    </row>
    <row r="15" spans="1:14" x14ac:dyDescent="0.2">
      <c r="A15" t="s">
        <v>10</v>
      </c>
      <c r="B15" s="35">
        <v>67</v>
      </c>
      <c r="C15" s="35">
        <v>58</v>
      </c>
      <c r="D15" s="35">
        <v>57</v>
      </c>
      <c r="E15" s="35">
        <v>15</v>
      </c>
      <c r="F15" s="35">
        <v>39</v>
      </c>
      <c r="G15" s="35">
        <v>53</v>
      </c>
      <c r="H15" s="35">
        <v>44</v>
      </c>
      <c r="I15" s="35">
        <v>46</v>
      </c>
      <c r="J15" s="35">
        <v>48</v>
      </c>
      <c r="K15" s="35">
        <v>37</v>
      </c>
      <c r="M15" s="34" t="s">
        <v>108</v>
      </c>
    </row>
    <row r="16" spans="1:14" ht="21" customHeight="1" x14ac:dyDescent="0.2">
      <c r="A16" t="s">
        <v>11</v>
      </c>
      <c r="B16" s="35">
        <v>55</v>
      </c>
      <c r="C16" s="35">
        <v>65</v>
      </c>
      <c r="D16" s="35">
        <v>53</v>
      </c>
      <c r="E16" s="35">
        <v>44</v>
      </c>
      <c r="F16" s="35">
        <v>17</v>
      </c>
      <c r="G16" s="35">
        <v>20</v>
      </c>
      <c r="H16" s="35">
        <v>22</v>
      </c>
      <c r="I16" s="35">
        <v>41</v>
      </c>
      <c r="J16" s="35">
        <v>52</v>
      </c>
      <c r="K16" s="35">
        <v>52</v>
      </c>
      <c r="M16" s="38" t="s">
        <v>109</v>
      </c>
      <c r="N16" s="38" t="s">
        <v>110</v>
      </c>
    </row>
    <row r="17" spans="1:16" x14ac:dyDescent="0.2">
      <c r="A17" t="s">
        <v>12</v>
      </c>
      <c r="B17" s="35">
        <v>42</v>
      </c>
      <c r="C17" s="35">
        <v>48</v>
      </c>
      <c r="D17" s="35">
        <v>48</v>
      </c>
      <c r="E17" s="35">
        <v>45</v>
      </c>
      <c r="F17" s="35">
        <v>34</v>
      </c>
      <c r="G17" s="35">
        <v>25</v>
      </c>
      <c r="H17" s="35">
        <v>35</v>
      </c>
      <c r="I17" s="35">
        <v>47</v>
      </c>
      <c r="J17" s="35">
        <v>50</v>
      </c>
      <c r="K17" s="35">
        <v>19</v>
      </c>
      <c r="M17" t="s">
        <v>111</v>
      </c>
      <c r="N17" s="39">
        <f>CORREL(B72:J101,B207:J236)</f>
        <v>5.8014323226191621E-2</v>
      </c>
      <c r="O17" s="1"/>
      <c r="P17" s="1"/>
    </row>
    <row r="18" spans="1:16" ht="37" customHeight="1" x14ac:dyDescent="0.2">
      <c r="A18" t="s">
        <v>13</v>
      </c>
      <c r="B18" s="35">
        <v>51</v>
      </c>
      <c r="C18" s="35">
        <v>42</v>
      </c>
      <c r="D18" s="35">
        <v>48</v>
      </c>
      <c r="E18" s="35">
        <v>49</v>
      </c>
      <c r="F18" s="35">
        <v>47</v>
      </c>
      <c r="G18" s="35">
        <v>42</v>
      </c>
      <c r="H18" s="35">
        <v>44</v>
      </c>
      <c r="I18" s="35">
        <v>51</v>
      </c>
      <c r="J18" s="35">
        <v>50</v>
      </c>
      <c r="K18" s="35">
        <v>42</v>
      </c>
      <c r="M18" s="10" t="s">
        <v>112</v>
      </c>
      <c r="N18" s="39">
        <f>CORREL(B140:J169,B207:J236)</f>
        <v>2.5596012514920358E-2</v>
      </c>
      <c r="O18" s="1"/>
      <c r="P18" s="1"/>
    </row>
    <row r="19" spans="1:16" x14ac:dyDescent="0.2">
      <c r="A19" t="s">
        <v>14</v>
      </c>
      <c r="B19" s="35">
        <v>26</v>
      </c>
      <c r="C19" s="35">
        <v>35</v>
      </c>
      <c r="D19" s="35">
        <v>37</v>
      </c>
      <c r="E19" s="35">
        <v>52</v>
      </c>
      <c r="F19" s="35">
        <v>42</v>
      </c>
      <c r="G19" s="35">
        <v>33</v>
      </c>
      <c r="H19" s="35">
        <v>43</v>
      </c>
      <c r="I19" s="35">
        <v>47</v>
      </c>
      <c r="J19" s="35">
        <v>50</v>
      </c>
      <c r="K19" s="35">
        <v>53</v>
      </c>
      <c r="M19" t="s">
        <v>113</v>
      </c>
      <c r="N19" s="1" t="str">
        <f>COUNTIF(B173:J202,"&lt;0")&amp;" of "&amp;COUNT(B173:J202)</f>
        <v>3 of 270</v>
      </c>
      <c r="O19" s="1"/>
      <c r="P19" s="1"/>
    </row>
    <row r="20" spans="1:16" x14ac:dyDescent="0.2">
      <c r="A20" t="s">
        <v>15</v>
      </c>
      <c r="B20" s="35">
        <v>43</v>
      </c>
      <c r="C20" s="35">
        <v>22</v>
      </c>
      <c r="D20" s="35">
        <v>33</v>
      </c>
      <c r="E20" s="35">
        <v>34</v>
      </c>
      <c r="F20" s="35">
        <v>38</v>
      </c>
      <c r="G20" s="35">
        <v>56</v>
      </c>
      <c r="H20" s="35">
        <v>51</v>
      </c>
      <c r="I20" s="35">
        <v>27</v>
      </c>
      <c r="J20" s="35">
        <v>48</v>
      </c>
      <c r="K20" s="35">
        <v>25</v>
      </c>
      <c r="N20" s="1"/>
      <c r="O20" s="1"/>
      <c r="P20" s="1"/>
    </row>
    <row r="21" spans="1:16" ht="37" customHeight="1" x14ac:dyDescent="0.2">
      <c r="A21" t="s">
        <v>16</v>
      </c>
      <c r="B21" s="35">
        <v>41</v>
      </c>
      <c r="C21" s="35">
        <v>44</v>
      </c>
      <c r="D21" s="35">
        <v>39</v>
      </c>
      <c r="E21" s="35">
        <v>44</v>
      </c>
      <c r="F21" s="35">
        <v>40</v>
      </c>
      <c r="G21" s="35">
        <v>53</v>
      </c>
      <c r="H21" s="35">
        <v>44</v>
      </c>
      <c r="I21" s="35">
        <v>46</v>
      </c>
      <c r="J21" s="35">
        <v>37</v>
      </c>
      <c r="K21" s="35">
        <v>43</v>
      </c>
      <c r="M21" s="38" t="s">
        <v>95</v>
      </c>
      <c r="N21" s="40" t="s">
        <v>114</v>
      </c>
      <c r="O21" s="40" t="s">
        <v>115</v>
      </c>
      <c r="P21" s="40" t="s">
        <v>116</v>
      </c>
    </row>
    <row r="22" spans="1:16" x14ac:dyDescent="0.2">
      <c r="A22" t="s">
        <v>17</v>
      </c>
      <c r="B22" s="35">
        <v>42</v>
      </c>
      <c r="C22" s="35">
        <v>44</v>
      </c>
      <c r="D22" s="35">
        <v>60</v>
      </c>
      <c r="E22" s="35">
        <v>56</v>
      </c>
      <c r="F22" s="35">
        <v>46</v>
      </c>
      <c r="G22" s="35">
        <v>51</v>
      </c>
      <c r="H22" s="35">
        <v>58</v>
      </c>
      <c r="I22" s="35">
        <v>49</v>
      </c>
      <c r="J22" s="35">
        <v>48</v>
      </c>
      <c r="K22" s="35">
        <v>32</v>
      </c>
      <c r="M22" t="str">
        <f t="shared" ref="M22:M27" si="0">M8</f>
        <v>Missed Playoffs</v>
      </c>
      <c r="N22" s="1">
        <f>COUNTIF($B$140:$J$169,$N$8)</f>
        <v>126</v>
      </c>
      <c r="O22" s="36">
        <f>AVERAGEIF($B$140:$J$169,$N$8,$B$173:$J$202)</f>
        <v>0.17834349247417705</v>
      </c>
      <c r="P22" s="37">
        <f>AVERAGEIF($B$140:$J$169,$N$8,$B$207:$J$236)</f>
        <v>1.124853391528596E-2</v>
      </c>
    </row>
    <row r="23" spans="1:16" x14ac:dyDescent="0.2">
      <c r="A23" t="s">
        <v>18</v>
      </c>
      <c r="B23" s="35">
        <v>31</v>
      </c>
      <c r="C23" s="35">
        <v>47</v>
      </c>
      <c r="D23" s="35">
        <v>36</v>
      </c>
      <c r="E23" s="35">
        <v>19</v>
      </c>
      <c r="F23" s="35">
        <v>23</v>
      </c>
      <c r="G23" s="35">
        <v>46</v>
      </c>
      <c r="H23" s="35">
        <v>42</v>
      </c>
      <c r="I23" s="35">
        <v>56</v>
      </c>
      <c r="J23" s="35">
        <v>49</v>
      </c>
      <c r="K23" s="35">
        <v>49</v>
      </c>
      <c r="M23" t="str">
        <f t="shared" si="0"/>
        <v>Lost First Round</v>
      </c>
      <c r="N23" s="1">
        <f>COUNTIF($B$140:$J$169,$N$9)</f>
        <v>72</v>
      </c>
      <c r="O23" s="36">
        <f>AVERAGEIF($B$140:$J$169,$N$9,$B$173:$J$202)</f>
        <v>0.17851038942340666</v>
      </c>
      <c r="P23" s="37">
        <f>AVERAGEIF($B$140:$J$169,$N$9,$B$207:$J$236)</f>
        <v>1.1415430864515609E-2</v>
      </c>
    </row>
    <row r="24" spans="1:16" x14ac:dyDescent="0.2">
      <c r="A24" t="s">
        <v>19</v>
      </c>
      <c r="B24" s="35">
        <v>34</v>
      </c>
      <c r="C24" s="35">
        <v>48</v>
      </c>
      <c r="D24" s="35">
        <v>33</v>
      </c>
      <c r="E24" s="35">
        <v>30</v>
      </c>
      <c r="F24" s="35">
        <v>31</v>
      </c>
      <c r="G24" s="35">
        <v>36</v>
      </c>
      <c r="H24" s="35">
        <v>42</v>
      </c>
      <c r="I24" s="35">
        <v>49</v>
      </c>
      <c r="J24" s="35">
        <v>21</v>
      </c>
      <c r="K24" s="35">
        <v>26</v>
      </c>
      <c r="M24" t="str">
        <f t="shared" si="0"/>
        <v>Lost Conf Semi</v>
      </c>
      <c r="N24" s="1">
        <f>COUNTIF($B$140:$J$169,$N$10)</f>
        <v>36</v>
      </c>
      <c r="O24" s="36">
        <f>AVERAGEIF($B$140:$J$169,$N$10,$B$173:$J$202)</f>
        <v>0.1927845233547372</v>
      </c>
      <c r="P24" s="37">
        <f>AVERAGEIF($B$140:$J$169,$N$10,$B$207:$J$236)</f>
        <v>2.568956479584603E-2</v>
      </c>
    </row>
    <row r="25" spans="1:16" x14ac:dyDescent="0.2">
      <c r="A25" t="s">
        <v>20</v>
      </c>
      <c r="B25" s="35">
        <v>31</v>
      </c>
      <c r="C25" s="35">
        <v>29</v>
      </c>
      <c r="D25" s="35">
        <v>17</v>
      </c>
      <c r="E25" s="35">
        <v>21</v>
      </c>
      <c r="F25" s="35">
        <v>41</v>
      </c>
      <c r="G25" s="35">
        <v>37</v>
      </c>
      <c r="H25" s="35">
        <v>47</v>
      </c>
      <c r="I25" s="35">
        <v>50</v>
      </c>
      <c r="J25" s="35">
        <v>51</v>
      </c>
      <c r="K25" s="35">
        <v>53</v>
      </c>
      <c r="M25" t="str">
        <f t="shared" si="0"/>
        <v>Lost Conf Finals</v>
      </c>
      <c r="N25" s="1">
        <f>COUNTIF($B$140:$J$169,$N$11)</f>
        <v>18</v>
      </c>
      <c r="O25" s="36">
        <f>AVERAGEIF($B$140:$J$169,$N$11,$B$173:$J$202)</f>
        <v>0.1701814069092244</v>
      </c>
      <c r="P25" s="37">
        <f>AVERAGEIF($B$140:$J$169,$N$11,$B$207:$J$236)</f>
        <v>3.0864483503333252E-3</v>
      </c>
    </row>
    <row r="26" spans="1:16" x14ac:dyDescent="0.2">
      <c r="A26" t="s">
        <v>21</v>
      </c>
      <c r="B26" s="35">
        <v>47</v>
      </c>
      <c r="C26" s="35">
        <v>48</v>
      </c>
      <c r="D26" s="35">
        <v>49</v>
      </c>
      <c r="E26" s="35">
        <v>44</v>
      </c>
      <c r="F26" s="35">
        <v>22</v>
      </c>
      <c r="G26" s="35">
        <v>24</v>
      </c>
      <c r="H26" s="35">
        <v>40</v>
      </c>
      <c r="I26" s="35">
        <v>57</v>
      </c>
      <c r="J26" s="35">
        <v>68</v>
      </c>
      <c r="K26" s="35">
        <v>64</v>
      </c>
      <c r="M26" t="str">
        <f t="shared" si="0"/>
        <v>Lost Finals</v>
      </c>
      <c r="N26" s="1">
        <f>COUNTIF($B$140:$J$169,$N$12)</f>
        <v>9</v>
      </c>
      <c r="O26" s="36">
        <f>AVERAGEIF($B$140:$J$169,$N$12,$B$173:$J$202)</f>
        <v>0.11206666286754663</v>
      </c>
      <c r="P26" s="37">
        <f>AVERAGEIF($B$140:$J$169,$N$12,$B$207:$J$236)</f>
        <v>-5.50282956913445E-2</v>
      </c>
    </row>
    <row r="27" spans="1:16" x14ac:dyDescent="0.2">
      <c r="A27" t="s">
        <v>22</v>
      </c>
      <c r="B27" s="35">
        <v>29</v>
      </c>
      <c r="C27" s="35">
        <v>25</v>
      </c>
      <c r="D27" s="35">
        <v>42</v>
      </c>
      <c r="E27" s="35">
        <v>33</v>
      </c>
      <c r="F27" s="35">
        <v>21</v>
      </c>
      <c r="G27" s="35">
        <v>22</v>
      </c>
      <c r="H27" s="35">
        <v>34</v>
      </c>
      <c r="I27" s="35">
        <v>47</v>
      </c>
      <c r="J27" s="35">
        <v>41</v>
      </c>
      <c r="K27" s="35">
        <v>45</v>
      </c>
      <c r="M27" t="str">
        <f t="shared" si="0"/>
        <v>Won Finals</v>
      </c>
      <c r="N27" s="1">
        <f>COUNTIF($B$140:$J$169,$N$13)</f>
        <v>9</v>
      </c>
      <c r="O27" s="36">
        <f>AVERAGEIF($B$140:$J$169,$N$13,$B$173:$J$202)</f>
        <v>0.24842332654894969</v>
      </c>
      <c r="P27" s="37">
        <f>AVERAGEIF($B$140:$J$169,$N$13,$B$207:$J$236)</f>
        <v>8.1328367990058562E-2</v>
      </c>
    </row>
    <row r="28" spans="1:16" x14ac:dyDescent="0.2">
      <c r="A28" t="s">
        <v>23</v>
      </c>
      <c r="B28" s="35">
        <v>28</v>
      </c>
      <c r="C28" s="35">
        <v>52</v>
      </c>
      <c r="D28" s="35">
        <v>51</v>
      </c>
      <c r="E28" s="35">
        <v>43</v>
      </c>
      <c r="F28" s="35">
        <v>49</v>
      </c>
      <c r="G28" s="35">
        <v>51</v>
      </c>
      <c r="H28" s="35">
        <v>54</v>
      </c>
      <c r="I28" s="35">
        <v>47</v>
      </c>
      <c r="J28" s="35">
        <v>24</v>
      </c>
      <c r="K28" s="35">
        <v>45</v>
      </c>
      <c r="M28" t="s">
        <v>279</v>
      </c>
      <c r="N28" s="1">
        <f>N27-1</f>
        <v>8</v>
      </c>
      <c r="O28" s="36">
        <f>(O27*N27-H180)/(N27-1)</f>
        <v>0.1862119936629052</v>
      </c>
      <c r="P28" s="37">
        <f>(P27*N27-H214)/(N27-1)</f>
        <v>4.1453784398290394E-2</v>
      </c>
    </row>
    <row r="29" spans="1:16" ht="37" customHeight="1" x14ac:dyDescent="0.2">
      <c r="A29" t="s">
        <v>24</v>
      </c>
      <c r="B29" s="35">
        <v>24</v>
      </c>
      <c r="C29" s="35">
        <v>21</v>
      </c>
      <c r="D29" s="35">
        <v>19</v>
      </c>
      <c r="E29" s="35">
        <v>34</v>
      </c>
      <c r="F29" s="35">
        <v>51</v>
      </c>
      <c r="G29" s="35">
        <v>64</v>
      </c>
      <c r="H29" s="35">
        <v>45</v>
      </c>
      <c r="I29" s="35">
        <v>49</v>
      </c>
      <c r="J29" s="35">
        <v>36</v>
      </c>
      <c r="K29" s="35">
        <v>45</v>
      </c>
      <c r="M29" s="38" t="s">
        <v>117</v>
      </c>
      <c r="N29" s="40" t="s">
        <v>114</v>
      </c>
      <c r="O29" s="40" t="s">
        <v>118</v>
      </c>
      <c r="P29" s="1"/>
    </row>
    <row r="30" spans="1:16" x14ac:dyDescent="0.2">
      <c r="A30" t="s">
        <v>25</v>
      </c>
      <c r="B30" s="35">
        <v>41</v>
      </c>
      <c r="C30" s="35">
        <v>49</v>
      </c>
      <c r="D30" s="35">
        <v>53</v>
      </c>
      <c r="E30" s="35">
        <v>35</v>
      </c>
      <c r="F30" s="35">
        <v>42</v>
      </c>
      <c r="G30" s="35">
        <v>27</v>
      </c>
      <c r="H30" s="35">
        <v>33</v>
      </c>
      <c r="I30" s="35">
        <v>21</v>
      </c>
      <c r="J30" s="35">
        <v>36</v>
      </c>
      <c r="K30" s="35">
        <v>42</v>
      </c>
      <c r="M30" t="s">
        <v>119</v>
      </c>
      <c r="N30" s="1" cm="1">
        <f t="array" ref="N30">SUMPRODUCT(--(B72:J101&lt;=B102:J102))</f>
        <v>45</v>
      </c>
      <c r="O30" s="37" cm="1">
        <f t="array" ref="O30">SUMPRODUCT((B72:J101&lt;=B102:J102)*B207:J236)/N30</f>
        <v>1.7622858395015116E-2</v>
      </c>
      <c r="P30" s="1"/>
    </row>
    <row r="31" spans="1:16" x14ac:dyDescent="0.2">
      <c r="A31" t="s">
        <v>26</v>
      </c>
      <c r="B31" s="35">
        <v>32</v>
      </c>
      <c r="C31" s="35">
        <v>27</v>
      </c>
      <c r="D31" s="35">
        <v>39</v>
      </c>
      <c r="E31" s="35">
        <v>31</v>
      </c>
      <c r="F31" s="35">
        <v>31</v>
      </c>
      <c r="G31" s="35">
        <v>30</v>
      </c>
      <c r="H31" s="35">
        <v>48</v>
      </c>
      <c r="I31" s="35">
        <v>46</v>
      </c>
      <c r="J31" s="35">
        <v>40</v>
      </c>
      <c r="K31" s="35">
        <v>22</v>
      </c>
      <c r="M31" s="41" t="s">
        <v>120</v>
      </c>
      <c r="N31" s="42" cm="1">
        <f t="array" ref="N31">SUMPRODUCT(--(B72:J101&gt;=B103:J103))</f>
        <v>51</v>
      </c>
      <c r="O31" s="43" cm="1">
        <f t="array" ref="O31">SUMPRODUCT((B72:J101&gt;=B103:J103)*B207:J236)/N31</f>
        <v>4.0009856981235818E-2</v>
      </c>
      <c r="P31" s="42"/>
    </row>
    <row r="32" spans="1:16" x14ac:dyDescent="0.2">
      <c r="A32" t="s">
        <v>27</v>
      </c>
      <c r="B32" s="35">
        <v>61</v>
      </c>
      <c r="C32" s="35">
        <v>47</v>
      </c>
      <c r="D32" s="35">
        <v>48</v>
      </c>
      <c r="E32" s="35">
        <v>32</v>
      </c>
      <c r="F32" s="35">
        <v>33</v>
      </c>
      <c r="G32" s="35">
        <v>34</v>
      </c>
      <c r="H32" s="35">
        <v>22</v>
      </c>
      <c r="I32" s="35">
        <v>22</v>
      </c>
      <c r="J32" s="35">
        <v>34</v>
      </c>
      <c r="K32" s="35">
        <v>62</v>
      </c>
    </row>
    <row r="33" spans="1:17" x14ac:dyDescent="0.2">
      <c r="A33" t="s">
        <v>28</v>
      </c>
      <c r="B33" s="35">
        <v>51</v>
      </c>
      <c r="C33" s="35">
        <v>59</v>
      </c>
      <c r="D33" s="35">
        <v>58</v>
      </c>
      <c r="E33" s="35">
        <v>53</v>
      </c>
      <c r="F33" s="35">
        <v>27</v>
      </c>
      <c r="G33" s="35">
        <v>48</v>
      </c>
      <c r="H33" s="35">
        <v>41</v>
      </c>
      <c r="I33" s="35">
        <v>25</v>
      </c>
      <c r="J33" s="35">
        <v>30</v>
      </c>
      <c r="K33" s="35">
        <v>46</v>
      </c>
    </row>
    <row r="34" spans="1:17" ht="18" x14ac:dyDescent="0.25">
      <c r="A34" t="s">
        <v>29</v>
      </c>
      <c r="B34" s="35">
        <v>51</v>
      </c>
      <c r="C34" s="35">
        <v>48</v>
      </c>
      <c r="D34" s="35">
        <v>50</v>
      </c>
      <c r="E34" s="35">
        <v>44</v>
      </c>
      <c r="F34" s="35">
        <v>52</v>
      </c>
      <c r="G34" s="35">
        <v>49</v>
      </c>
      <c r="H34" s="35">
        <v>37</v>
      </c>
      <c r="I34" s="35">
        <v>31</v>
      </c>
      <c r="J34" s="35">
        <v>17</v>
      </c>
      <c r="K34" s="35">
        <v>22</v>
      </c>
      <c r="M34" s="22" t="s">
        <v>121</v>
      </c>
    </row>
    <row r="35" spans="1:17" ht="104" customHeight="1" x14ac:dyDescent="0.2">
      <c r="A35" t="s">
        <v>30</v>
      </c>
      <c r="B35" s="35">
        <v>49</v>
      </c>
      <c r="C35" s="35">
        <v>43</v>
      </c>
      <c r="D35" s="35">
        <v>32</v>
      </c>
      <c r="E35" s="35">
        <v>25</v>
      </c>
      <c r="F35" s="35">
        <v>34</v>
      </c>
      <c r="G35" s="35">
        <v>35</v>
      </c>
      <c r="H35" s="35">
        <v>35</v>
      </c>
      <c r="I35" s="35">
        <v>15</v>
      </c>
      <c r="J35" s="35">
        <v>18</v>
      </c>
      <c r="K35" s="35">
        <v>17</v>
      </c>
      <c r="M35" s="64" t="s">
        <v>122</v>
      </c>
      <c r="N35" s="64"/>
      <c r="O35" s="64"/>
      <c r="P35" s="64"/>
      <c r="Q35" s="64"/>
    </row>
    <row r="36" spans="1:17" ht="16" customHeight="1" x14ac:dyDescent="0.2">
      <c r="B36" s="1"/>
      <c r="C36" s="1"/>
      <c r="D36" s="1"/>
      <c r="E36" s="1"/>
      <c r="F36" s="1"/>
      <c r="G36" s="1"/>
      <c r="H36" s="1"/>
      <c r="I36" s="1"/>
      <c r="J36" s="1"/>
      <c r="K36" s="1"/>
      <c r="M36" s="64"/>
      <c r="N36" s="64"/>
      <c r="O36" s="64"/>
      <c r="P36" s="64"/>
      <c r="Q36" s="64"/>
    </row>
    <row r="37" spans="1:17" ht="16" customHeight="1" x14ac:dyDescent="0.2">
      <c r="A37" s="34" t="s">
        <v>91</v>
      </c>
      <c r="B37" s="1"/>
      <c r="C37" s="1"/>
      <c r="D37" s="1"/>
      <c r="E37" s="1"/>
      <c r="F37" s="1"/>
      <c r="G37" s="1"/>
      <c r="H37" s="1"/>
      <c r="I37" s="1"/>
      <c r="J37" s="1"/>
      <c r="K37" s="1"/>
      <c r="M37" s="64"/>
      <c r="N37" s="64"/>
      <c r="O37" s="64"/>
      <c r="P37" s="64"/>
      <c r="Q37" s="64"/>
    </row>
    <row r="38" spans="1:17" ht="16" customHeight="1" x14ac:dyDescent="0.2">
      <c r="A38" s="17" t="s">
        <v>0</v>
      </c>
      <c r="B38" s="17" t="s">
        <v>81</v>
      </c>
      <c r="C38" s="17" t="s">
        <v>82</v>
      </c>
      <c r="D38" s="17" t="s">
        <v>83</v>
      </c>
      <c r="E38" s="17" t="s">
        <v>84</v>
      </c>
      <c r="F38" s="17" t="s">
        <v>85</v>
      </c>
      <c r="G38" s="17" t="s">
        <v>86</v>
      </c>
      <c r="H38" s="17" t="s">
        <v>87</v>
      </c>
      <c r="I38" s="17" t="s">
        <v>88</v>
      </c>
      <c r="J38" s="17" t="s">
        <v>89</v>
      </c>
      <c r="K38" s="17" t="s">
        <v>90</v>
      </c>
      <c r="M38" s="64"/>
      <c r="N38" s="64"/>
      <c r="O38" s="64"/>
      <c r="P38" s="64"/>
      <c r="Q38" s="64"/>
    </row>
    <row r="39" spans="1:17" ht="16" customHeight="1" x14ac:dyDescent="0.2">
      <c r="A39" t="s">
        <v>1</v>
      </c>
      <c r="B39" s="35">
        <v>39</v>
      </c>
      <c r="C39" s="35">
        <v>58</v>
      </c>
      <c r="D39" s="35">
        <v>53</v>
      </c>
      <c r="E39" s="35">
        <v>47</v>
      </c>
      <c r="F39" s="35">
        <v>31</v>
      </c>
      <c r="G39" s="35">
        <v>39</v>
      </c>
      <c r="H39" s="35">
        <v>41</v>
      </c>
      <c r="I39" s="35">
        <v>46</v>
      </c>
      <c r="J39" s="35">
        <v>42</v>
      </c>
      <c r="K39" s="35">
        <v>36</v>
      </c>
      <c r="M39" s="64"/>
      <c r="N39" s="64"/>
      <c r="O39" s="64"/>
      <c r="P39" s="64"/>
      <c r="Q39" s="64"/>
    </row>
    <row r="40" spans="1:17" ht="16" customHeight="1" x14ac:dyDescent="0.2">
      <c r="A40" t="s">
        <v>2</v>
      </c>
      <c r="B40" s="35">
        <v>29</v>
      </c>
      <c r="C40" s="35">
        <v>27</v>
      </c>
      <c r="D40" s="35">
        <v>33</v>
      </c>
      <c r="E40" s="35">
        <v>24</v>
      </c>
      <c r="F40" s="35">
        <v>36</v>
      </c>
      <c r="G40" s="35">
        <v>31</v>
      </c>
      <c r="H40" s="35">
        <v>25</v>
      </c>
      <c r="I40" s="35">
        <v>18</v>
      </c>
      <c r="J40" s="35">
        <v>21</v>
      </c>
      <c r="K40" s="35">
        <v>26</v>
      </c>
      <c r="M40" s="64"/>
      <c r="N40" s="64"/>
      <c r="O40" s="64"/>
      <c r="P40" s="64"/>
      <c r="Q40" s="64"/>
    </row>
    <row r="41" spans="1:17" ht="90" customHeight="1" x14ac:dyDescent="0.2">
      <c r="A41" t="s">
        <v>3</v>
      </c>
      <c r="B41" s="35">
        <v>62</v>
      </c>
      <c r="C41" s="35">
        <v>54</v>
      </c>
      <c r="D41" s="35">
        <v>40</v>
      </c>
      <c r="E41" s="35">
        <v>37</v>
      </c>
      <c r="F41" s="35">
        <v>24</v>
      </c>
      <c r="G41" s="35">
        <v>38</v>
      </c>
      <c r="H41" s="35">
        <v>37</v>
      </c>
      <c r="I41" s="35">
        <v>50</v>
      </c>
      <c r="J41" s="35">
        <v>56</v>
      </c>
      <c r="K41" s="35">
        <v>62</v>
      </c>
      <c r="M41" s="64" t="s">
        <v>123</v>
      </c>
      <c r="N41" s="64"/>
      <c r="O41" s="64"/>
      <c r="P41" s="64"/>
      <c r="Q41" s="64"/>
    </row>
    <row r="42" spans="1:17" ht="16" customHeight="1" x14ac:dyDescent="0.2">
      <c r="A42" t="s">
        <v>4</v>
      </c>
      <c r="B42" s="35">
        <v>46</v>
      </c>
      <c r="C42" s="35">
        <v>46</v>
      </c>
      <c r="D42" s="35">
        <v>43</v>
      </c>
      <c r="E42" s="35">
        <v>42</v>
      </c>
      <c r="F42" s="35">
        <v>39</v>
      </c>
      <c r="G42" s="35">
        <v>39</v>
      </c>
      <c r="H42" s="35">
        <v>55</v>
      </c>
      <c r="I42" s="35">
        <v>61</v>
      </c>
      <c r="J42" s="35">
        <v>63</v>
      </c>
      <c r="K42" s="35">
        <v>38</v>
      </c>
      <c r="M42" s="64"/>
      <c r="N42" s="64"/>
      <c r="O42" s="64"/>
      <c r="P42" s="64"/>
      <c r="Q42" s="64"/>
    </row>
    <row r="43" spans="1:17" ht="16" customHeight="1" x14ac:dyDescent="0.2">
      <c r="A43" t="s">
        <v>5</v>
      </c>
      <c r="B43" s="35">
        <v>41</v>
      </c>
      <c r="C43" s="35">
        <v>55</v>
      </c>
      <c r="D43" s="35">
        <v>60</v>
      </c>
      <c r="E43" s="35">
        <v>43</v>
      </c>
      <c r="F43" s="35">
        <v>41</v>
      </c>
      <c r="G43" s="35">
        <v>36</v>
      </c>
      <c r="H43" s="35">
        <v>42</v>
      </c>
      <c r="I43" s="35">
        <v>43</v>
      </c>
      <c r="J43" s="35">
        <v>43</v>
      </c>
      <c r="K43" s="35">
        <v>51</v>
      </c>
      <c r="M43" s="64"/>
      <c r="N43" s="64"/>
      <c r="O43" s="64"/>
      <c r="P43" s="64"/>
      <c r="Q43" s="64"/>
    </row>
    <row r="44" spans="1:17" ht="16" customHeight="1" x14ac:dyDescent="0.2">
      <c r="A44" t="s">
        <v>6</v>
      </c>
      <c r="B44" s="35">
        <v>31</v>
      </c>
      <c r="C44" s="35">
        <v>32</v>
      </c>
      <c r="D44" s="35">
        <v>63</v>
      </c>
      <c r="E44" s="35">
        <v>46</v>
      </c>
      <c r="F44" s="35">
        <v>50</v>
      </c>
      <c r="G44" s="35">
        <v>38</v>
      </c>
      <c r="H44" s="35">
        <v>31</v>
      </c>
      <c r="I44" s="35">
        <v>34</v>
      </c>
      <c r="J44" s="35">
        <v>18</v>
      </c>
      <c r="K44" s="35">
        <v>30</v>
      </c>
      <c r="M44" s="64"/>
      <c r="N44" s="64"/>
      <c r="O44" s="64"/>
      <c r="P44" s="64"/>
      <c r="Q44" s="64"/>
    </row>
    <row r="45" spans="1:17" ht="16" customHeight="1" x14ac:dyDescent="0.2">
      <c r="A45" t="s">
        <v>7</v>
      </c>
      <c r="B45" s="35">
        <v>49</v>
      </c>
      <c r="C45" s="35">
        <v>58</v>
      </c>
      <c r="D45" s="35">
        <v>49</v>
      </c>
      <c r="E45" s="35">
        <v>32</v>
      </c>
      <c r="F45" s="35">
        <v>30</v>
      </c>
      <c r="G45" s="35">
        <v>30</v>
      </c>
      <c r="H45" s="35">
        <v>44</v>
      </c>
      <c r="I45" s="35">
        <v>32</v>
      </c>
      <c r="J45" s="35">
        <v>43</v>
      </c>
      <c r="K45" s="35">
        <v>56</v>
      </c>
      <c r="M45" s="64"/>
      <c r="N45" s="64"/>
      <c r="O45" s="64"/>
      <c r="P45" s="64"/>
      <c r="Q45" s="64"/>
    </row>
    <row r="46" spans="1:17" ht="16" customHeight="1" x14ac:dyDescent="0.2">
      <c r="A46" t="s">
        <v>8</v>
      </c>
      <c r="B46" s="35">
        <v>42</v>
      </c>
      <c r="C46" s="35">
        <v>36</v>
      </c>
      <c r="D46" s="35">
        <v>28</v>
      </c>
      <c r="E46" s="35">
        <v>27</v>
      </c>
      <c r="F46" s="35">
        <v>25</v>
      </c>
      <c r="G46" s="35">
        <v>34</v>
      </c>
      <c r="H46" s="35">
        <v>29</v>
      </c>
      <c r="I46" s="35">
        <v>25</v>
      </c>
      <c r="J46" s="35">
        <v>32</v>
      </c>
      <c r="K46" s="35">
        <v>28</v>
      </c>
      <c r="M46" s="64"/>
      <c r="N46" s="64"/>
      <c r="O46" s="64"/>
      <c r="P46" s="64"/>
      <c r="Q46" s="64"/>
    </row>
    <row r="47" spans="1:17" ht="160" customHeight="1" x14ac:dyDescent="0.2">
      <c r="A47" t="s">
        <v>9</v>
      </c>
      <c r="B47" s="35">
        <v>45</v>
      </c>
      <c r="C47" s="35">
        <v>43</v>
      </c>
      <c r="D47" s="35">
        <v>41</v>
      </c>
      <c r="E47" s="35">
        <v>46</v>
      </c>
      <c r="F47" s="35">
        <v>52</v>
      </c>
      <c r="G47" s="35">
        <v>59</v>
      </c>
      <c r="H47" s="35">
        <v>65</v>
      </c>
      <c r="I47" s="35">
        <v>68</v>
      </c>
      <c r="J47" s="35">
        <v>38</v>
      </c>
      <c r="K47" s="35">
        <v>22</v>
      </c>
      <c r="M47" s="64" t="str">
        <f>"CHAMPIONS: The champion effect rests on only "&amp;N27&amp;" title teams, so it is not statistically reliable. Champions averaged about "&amp;TEXT(P27*100,"0")&amp;" percentage points faster value growth than the league in their title season, but that drops to about "&amp;TEXT(P28*100,"0")&amp;" points when the 2022–23 Nuggets are excluded, because they won during the Oct 2023 Forbes re-valuation. Losing in the Finals did not help: those teams averaged about "&amp;TEXT(-P26*100,"0")&amp;" points slower than the league. The Oct 2023 Forbes list compressed values (small teams caught up), which affects every growth comparison."</f>
        <v>CHAMPIONS: The champion effect rests on only 9 title teams, so it is not statistically reliable. Champions averaged about 8 percentage points faster value growth than the league in their title season, but that drops to about 4 points when the 2022–23 Nuggets are excluded, because they won during the Oct 2023 Forbes re-valuation. Losing in the Finals did not help: those teams averaged about 6 points slower than the league. The Oct 2023 Forbes list compressed values (small teams caught up), which affects every growth comparison.</v>
      </c>
      <c r="N47" s="64"/>
      <c r="O47" s="64"/>
      <c r="P47" s="64"/>
      <c r="Q47" s="64"/>
    </row>
    <row r="48" spans="1:17" ht="16" customHeight="1" x14ac:dyDescent="0.2">
      <c r="A48" t="s">
        <v>10</v>
      </c>
      <c r="B48" s="35">
        <v>15</v>
      </c>
      <c r="C48" s="35">
        <v>24</v>
      </c>
      <c r="D48" s="35">
        <v>25</v>
      </c>
      <c r="E48" s="35">
        <v>50</v>
      </c>
      <c r="F48" s="35">
        <v>33</v>
      </c>
      <c r="G48" s="35">
        <v>29</v>
      </c>
      <c r="H48" s="35">
        <v>38</v>
      </c>
      <c r="I48" s="35">
        <v>36</v>
      </c>
      <c r="J48" s="35">
        <v>34</v>
      </c>
      <c r="K48" s="35">
        <v>45</v>
      </c>
      <c r="M48" s="64"/>
      <c r="N48" s="64"/>
      <c r="O48" s="64"/>
      <c r="P48" s="64"/>
      <c r="Q48" s="64"/>
    </row>
    <row r="49" spans="1:17" ht="16" customHeight="1" x14ac:dyDescent="0.2">
      <c r="A49" t="s">
        <v>11</v>
      </c>
      <c r="B49" s="35">
        <v>27</v>
      </c>
      <c r="C49" s="35">
        <v>17</v>
      </c>
      <c r="D49" s="35">
        <v>29</v>
      </c>
      <c r="E49" s="35">
        <v>28</v>
      </c>
      <c r="F49" s="35">
        <v>55</v>
      </c>
      <c r="G49" s="35">
        <v>62</v>
      </c>
      <c r="H49" s="35">
        <v>60</v>
      </c>
      <c r="I49" s="35">
        <v>41</v>
      </c>
      <c r="J49" s="35">
        <v>30</v>
      </c>
      <c r="K49" s="35">
        <v>30</v>
      </c>
      <c r="M49" s="64"/>
      <c r="N49" s="64"/>
      <c r="O49" s="64"/>
      <c r="P49" s="64"/>
      <c r="Q49" s="64"/>
    </row>
    <row r="50" spans="1:17" ht="16" customHeight="1" x14ac:dyDescent="0.2">
      <c r="A50" t="s">
        <v>12</v>
      </c>
      <c r="B50" s="35">
        <v>40</v>
      </c>
      <c r="C50" s="35">
        <v>34</v>
      </c>
      <c r="D50" s="35">
        <v>34</v>
      </c>
      <c r="E50" s="35">
        <v>28</v>
      </c>
      <c r="F50" s="35">
        <v>38</v>
      </c>
      <c r="G50" s="35">
        <v>57</v>
      </c>
      <c r="H50" s="35">
        <v>47</v>
      </c>
      <c r="I50" s="35">
        <v>35</v>
      </c>
      <c r="J50" s="35">
        <v>32</v>
      </c>
      <c r="K50" s="35">
        <v>63</v>
      </c>
      <c r="M50" s="64"/>
      <c r="N50" s="64"/>
      <c r="O50" s="64"/>
      <c r="P50" s="64"/>
      <c r="Q50" s="64"/>
    </row>
    <row r="51" spans="1:17" ht="16" customHeight="1" x14ac:dyDescent="0.2">
      <c r="A51" t="s">
        <v>13</v>
      </c>
      <c r="B51" s="35">
        <v>31</v>
      </c>
      <c r="C51" s="35">
        <v>40</v>
      </c>
      <c r="D51" s="35">
        <v>34</v>
      </c>
      <c r="E51" s="35">
        <v>23</v>
      </c>
      <c r="F51" s="35">
        <v>25</v>
      </c>
      <c r="G51" s="35">
        <v>40</v>
      </c>
      <c r="H51" s="35">
        <v>38</v>
      </c>
      <c r="I51" s="35">
        <v>31</v>
      </c>
      <c r="J51" s="35">
        <v>32</v>
      </c>
      <c r="K51" s="35">
        <v>40</v>
      </c>
      <c r="M51" s="64"/>
      <c r="N51" s="64"/>
      <c r="O51" s="64"/>
      <c r="P51" s="64"/>
      <c r="Q51" s="64"/>
    </row>
    <row r="52" spans="1:17" ht="16" customHeight="1" x14ac:dyDescent="0.2">
      <c r="A52" t="s">
        <v>14</v>
      </c>
      <c r="B52" s="35">
        <v>56</v>
      </c>
      <c r="C52" s="35">
        <v>47</v>
      </c>
      <c r="D52" s="35">
        <v>45</v>
      </c>
      <c r="E52" s="35">
        <v>19</v>
      </c>
      <c r="F52" s="35">
        <v>30</v>
      </c>
      <c r="G52" s="35">
        <v>49</v>
      </c>
      <c r="H52" s="35">
        <v>39</v>
      </c>
      <c r="I52" s="35">
        <v>35</v>
      </c>
      <c r="J52" s="35">
        <v>32</v>
      </c>
      <c r="K52" s="35">
        <v>29</v>
      </c>
      <c r="M52" s="64"/>
      <c r="N52" s="64"/>
      <c r="O52" s="64"/>
      <c r="P52" s="64"/>
      <c r="Q52" s="64"/>
    </row>
    <row r="53" spans="1:17" ht="104" customHeight="1" x14ac:dyDescent="0.2">
      <c r="A53" t="s">
        <v>15</v>
      </c>
      <c r="B53" s="35">
        <v>39</v>
      </c>
      <c r="C53" s="35">
        <v>60</v>
      </c>
      <c r="D53" s="35">
        <v>49</v>
      </c>
      <c r="E53" s="35">
        <v>39</v>
      </c>
      <c r="F53" s="35">
        <v>34</v>
      </c>
      <c r="G53" s="35">
        <v>26</v>
      </c>
      <c r="H53" s="35">
        <v>31</v>
      </c>
      <c r="I53" s="35">
        <v>55</v>
      </c>
      <c r="J53" s="35">
        <v>34</v>
      </c>
      <c r="K53" s="35">
        <v>57</v>
      </c>
      <c r="M53" s="64" t="s">
        <v>124</v>
      </c>
      <c r="N53" s="64"/>
      <c r="O53" s="64"/>
      <c r="P53" s="64"/>
      <c r="Q53" s="64"/>
    </row>
    <row r="54" spans="1:17" ht="16" customHeight="1" x14ac:dyDescent="0.2">
      <c r="A54" t="s">
        <v>16</v>
      </c>
      <c r="B54" s="35">
        <v>41</v>
      </c>
      <c r="C54" s="35">
        <v>38</v>
      </c>
      <c r="D54" s="35">
        <v>43</v>
      </c>
      <c r="E54" s="35">
        <v>29</v>
      </c>
      <c r="F54" s="35">
        <v>32</v>
      </c>
      <c r="G54" s="35">
        <v>29</v>
      </c>
      <c r="H54" s="35">
        <v>38</v>
      </c>
      <c r="I54" s="35">
        <v>36</v>
      </c>
      <c r="J54" s="35">
        <v>45</v>
      </c>
      <c r="K54" s="35">
        <v>39</v>
      </c>
      <c r="M54" s="64"/>
      <c r="N54" s="64"/>
      <c r="O54" s="64"/>
      <c r="P54" s="64"/>
      <c r="Q54" s="64"/>
    </row>
    <row r="55" spans="1:17" ht="16" customHeight="1" x14ac:dyDescent="0.2">
      <c r="A55" t="s">
        <v>17</v>
      </c>
      <c r="B55" s="35">
        <v>40</v>
      </c>
      <c r="C55" s="35">
        <v>38</v>
      </c>
      <c r="D55" s="35">
        <v>22</v>
      </c>
      <c r="E55" s="35">
        <v>17</v>
      </c>
      <c r="F55" s="35">
        <v>26</v>
      </c>
      <c r="G55" s="35">
        <v>31</v>
      </c>
      <c r="H55" s="35">
        <v>24</v>
      </c>
      <c r="I55" s="35">
        <v>33</v>
      </c>
      <c r="J55" s="35">
        <v>34</v>
      </c>
      <c r="K55" s="35">
        <v>50</v>
      </c>
      <c r="M55" s="64"/>
      <c r="N55" s="64"/>
      <c r="O55" s="64"/>
      <c r="P55" s="64"/>
      <c r="Q55" s="64"/>
    </row>
    <row r="56" spans="1:17" ht="16" customHeight="1" x14ac:dyDescent="0.2">
      <c r="A56" t="s">
        <v>18</v>
      </c>
      <c r="B56" s="35">
        <v>51</v>
      </c>
      <c r="C56" s="35">
        <v>35</v>
      </c>
      <c r="D56" s="35">
        <v>46</v>
      </c>
      <c r="E56" s="35">
        <v>45</v>
      </c>
      <c r="F56" s="35">
        <v>49</v>
      </c>
      <c r="G56" s="35">
        <v>36</v>
      </c>
      <c r="H56" s="35">
        <v>40</v>
      </c>
      <c r="I56" s="35">
        <v>26</v>
      </c>
      <c r="J56" s="35">
        <v>33</v>
      </c>
      <c r="K56" s="35">
        <v>33</v>
      </c>
      <c r="M56" s="64"/>
      <c r="N56" s="64"/>
      <c r="O56" s="64"/>
      <c r="P56" s="64"/>
      <c r="Q56" s="64"/>
    </row>
    <row r="57" spans="1:17" ht="16" customHeight="1" x14ac:dyDescent="0.2">
      <c r="A57" t="s">
        <v>19</v>
      </c>
      <c r="B57" s="35">
        <v>48</v>
      </c>
      <c r="C57" s="35">
        <v>34</v>
      </c>
      <c r="D57" s="35">
        <v>49</v>
      </c>
      <c r="E57" s="35">
        <v>42</v>
      </c>
      <c r="F57" s="35">
        <v>41</v>
      </c>
      <c r="G57" s="35">
        <v>46</v>
      </c>
      <c r="H57" s="35">
        <v>40</v>
      </c>
      <c r="I57" s="35">
        <v>33</v>
      </c>
      <c r="J57" s="35">
        <v>61</v>
      </c>
      <c r="K57" s="35">
        <v>56</v>
      </c>
      <c r="M57" s="64"/>
      <c r="N57" s="64"/>
      <c r="O57" s="64"/>
      <c r="P57" s="64"/>
      <c r="Q57" s="64"/>
    </row>
    <row r="58" spans="1:17" ht="16" customHeight="1" x14ac:dyDescent="0.2">
      <c r="A58" t="s">
        <v>20</v>
      </c>
      <c r="B58" s="35">
        <v>51</v>
      </c>
      <c r="C58" s="35">
        <v>53</v>
      </c>
      <c r="D58" s="35">
        <v>65</v>
      </c>
      <c r="E58" s="35">
        <v>45</v>
      </c>
      <c r="F58" s="35">
        <v>31</v>
      </c>
      <c r="G58" s="35">
        <v>45</v>
      </c>
      <c r="H58" s="35">
        <v>35</v>
      </c>
      <c r="I58" s="35">
        <v>32</v>
      </c>
      <c r="J58" s="35">
        <v>31</v>
      </c>
      <c r="K58" s="35">
        <v>29</v>
      </c>
      <c r="M58" s="64"/>
      <c r="N58" s="64"/>
      <c r="O58" s="64"/>
      <c r="P58" s="64"/>
      <c r="Q58" s="64"/>
    </row>
    <row r="59" spans="1:17" ht="118" customHeight="1" x14ac:dyDescent="0.2">
      <c r="A59" t="s">
        <v>21</v>
      </c>
      <c r="B59" s="35">
        <v>35</v>
      </c>
      <c r="C59" s="35">
        <v>34</v>
      </c>
      <c r="D59" s="35">
        <v>33</v>
      </c>
      <c r="E59" s="35">
        <v>28</v>
      </c>
      <c r="F59" s="35">
        <v>50</v>
      </c>
      <c r="G59" s="35">
        <v>58</v>
      </c>
      <c r="H59" s="35">
        <v>42</v>
      </c>
      <c r="I59" s="35">
        <v>25</v>
      </c>
      <c r="J59" s="35">
        <v>14</v>
      </c>
      <c r="K59" s="35">
        <v>18</v>
      </c>
      <c r="M59" s="64" t="s">
        <v>125</v>
      </c>
      <c r="N59" s="64"/>
      <c r="O59" s="64"/>
      <c r="P59" s="64"/>
      <c r="Q59" s="64"/>
    </row>
    <row r="60" spans="1:17" ht="16" customHeight="1" x14ac:dyDescent="0.2">
      <c r="A60" t="s">
        <v>22</v>
      </c>
      <c r="B60" s="35">
        <v>53</v>
      </c>
      <c r="C60" s="35">
        <v>57</v>
      </c>
      <c r="D60" s="35">
        <v>40</v>
      </c>
      <c r="E60" s="35">
        <v>40</v>
      </c>
      <c r="F60" s="35">
        <v>51</v>
      </c>
      <c r="G60" s="35">
        <v>60</v>
      </c>
      <c r="H60" s="35">
        <v>48</v>
      </c>
      <c r="I60" s="35">
        <v>35</v>
      </c>
      <c r="J60" s="35">
        <v>41</v>
      </c>
      <c r="K60" s="35">
        <v>37</v>
      </c>
      <c r="M60" s="64"/>
      <c r="N60" s="64"/>
      <c r="O60" s="64"/>
      <c r="P60" s="64"/>
      <c r="Q60" s="64"/>
    </row>
    <row r="61" spans="1:17" ht="16" customHeight="1" x14ac:dyDescent="0.2">
      <c r="A61" t="s">
        <v>23</v>
      </c>
      <c r="B61" s="35">
        <v>54</v>
      </c>
      <c r="C61" s="35">
        <v>30</v>
      </c>
      <c r="D61" s="35">
        <v>31</v>
      </c>
      <c r="E61" s="35">
        <v>30</v>
      </c>
      <c r="F61" s="35">
        <v>23</v>
      </c>
      <c r="G61" s="35">
        <v>31</v>
      </c>
      <c r="H61" s="35">
        <v>28</v>
      </c>
      <c r="I61" s="35">
        <v>35</v>
      </c>
      <c r="J61" s="35">
        <v>58</v>
      </c>
      <c r="K61" s="35">
        <v>37</v>
      </c>
      <c r="M61" s="64"/>
      <c r="N61" s="64"/>
      <c r="O61" s="64"/>
      <c r="P61" s="64"/>
      <c r="Q61" s="64"/>
    </row>
    <row r="62" spans="1:17" ht="16" customHeight="1" x14ac:dyDescent="0.2">
      <c r="A62" t="s">
        <v>24</v>
      </c>
      <c r="B62" s="35">
        <v>58</v>
      </c>
      <c r="C62" s="35">
        <v>61</v>
      </c>
      <c r="D62" s="35">
        <v>63</v>
      </c>
      <c r="E62" s="35">
        <v>39</v>
      </c>
      <c r="F62" s="35">
        <v>21</v>
      </c>
      <c r="G62" s="35">
        <v>18</v>
      </c>
      <c r="H62" s="35">
        <v>37</v>
      </c>
      <c r="I62" s="35">
        <v>33</v>
      </c>
      <c r="J62" s="35">
        <v>46</v>
      </c>
      <c r="K62" s="35">
        <v>37</v>
      </c>
      <c r="M62" s="64"/>
      <c r="N62" s="64"/>
      <c r="O62" s="64"/>
      <c r="P62" s="64"/>
      <c r="Q62" s="64"/>
    </row>
    <row r="63" spans="1:17" ht="16" customHeight="1" x14ac:dyDescent="0.2">
      <c r="A63" t="s">
        <v>25</v>
      </c>
      <c r="B63" s="35">
        <v>41</v>
      </c>
      <c r="C63" s="35">
        <v>33</v>
      </c>
      <c r="D63" s="35">
        <v>29</v>
      </c>
      <c r="E63" s="35">
        <v>39</v>
      </c>
      <c r="F63" s="35">
        <v>30</v>
      </c>
      <c r="G63" s="35">
        <v>55</v>
      </c>
      <c r="H63" s="35">
        <v>49</v>
      </c>
      <c r="I63" s="35">
        <v>61</v>
      </c>
      <c r="J63" s="35">
        <v>46</v>
      </c>
      <c r="K63" s="35">
        <v>40</v>
      </c>
      <c r="M63" s="64"/>
      <c r="N63" s="64"/>
      <c r="O63" s="64"/>
      <c r="P63" s="64"/>
      <c r="Q63" s="64"/>
    </row>
    <row r="64" spans="1:17" ht="16" customHeight="1" x14ac:dyDescent="0.2">
      <c r="A64" t="s">
        <v>26</v>
      </c>
      <c r="B64" s="35">
        <v>50</v>
      </c>
      <c r="C64" s="35">
        <v>55</v>
      </c>
      <c r="D64" s="35">
        <v>43</v>
      </c>
      <c r="E64" s="35">
        <v>41</v>
      </c>
      <c r="F64" s="35">
        <v>41</v>
      </c>
      <c r="G64" s="35">
        <v>52</v>
      </c>
      <c r="H64" s="35">
        <v>34</v>
      </c>
      <c r="I64" s="35">
        <v>36</v>
      </c>
      <c r="J64" s="35">
        <v>42</v>
      </c>
      <c r="K64" s="35">
        <v>60</v>
      </c>
      <c r="M64" s="64"/>
      <c r="N64" s="64"/>
      <c r="O64" s="64"/>
      <c r="P64" s="64"/>
      <c r="Q64" s="64"/>
    </row>
    <row r="65" spans="1:11" x14ac:dyDescent="0.2">
      <c r="A65" t="s">
        <v>27</v>
      </c>
      <c r="B65" s="35">
        <v>21</v>
      </c>
      <c r="C65" s="35">
        <v>35</v>
      </c>
      <c r="D65" s="35">
        <v>34</v>
      </c>
      <c r="E65" s="35">
        <v>39</v>
      </c>
      <c r="F65" s="35">
        <v>39</v>
      </c>
      <c r="G65" s="35">
        <v>48</v>
      </c>
      <c r="H65" s="35">
        <v>60</v>
      </c>
      <c r="I65" s="35">
        <v>60</v>
      </c>
      <c r="J65" s="35">
        <v>48</v>
      </c>
      <c r="K65" s="35">
        <v>20</v>
      </c>
    </row>
    <row r="66" spans="1:11" x14ac:dyDescent="0.2">
      <c r="A66" t="s">
        <v>28</v>
      </c>
      <c r="B66" s="35">
        <v>31</v>
      </c>
      <c r="C66" s="35">
        <v>23</v>
      </c>
      <c r="D66" s="35">
        <v>24</v>
      </c>
      <c r="E66" s="35">
        <v>19</v>
      </c>
      <c r="F66" s="35">
        <v>45</v>
      </c>
      <c r="G66" s="35">
        <v>34</v>
      </c>
      <c r="H66" s="35">
        <v>41</v>
      </c>
      <c r="I66" s="35">
        <v>57</v>
      </c>
      <c r="J66" s="35">
        <v>52</v>
      </c>
      <c r="K66" s="35">
        <v>36</v>
      </c>
    </row>
    <row r="67" spans="1:11" x14ac:dyDescent="0.2">
      <c r="A67" t="s">
        <v>29</v>
      </c>
      <c r="B67" s="35">
        <v>31</v>
      </c>
      <c r="C67" s="35">
        <v>34</v>
      </c>
      <c r="D67" s="35">
        <v>32</v>
      </c>
      <c r="E67" s="35">
        <v>28</v>
      </c>
      <c r="F67" s="35">
        <v>20</v>
      </c>
      <c r="G67" s="35">
        <v>33</v>
      </c>
      <c r="H67" s="35">
        <v>45</v>
      </c>
      <c r="I67" s="35">
        <v>51</v>
      </c>
      <c r="J67" s="35">
        <v>65</v>
      </c>
      <c r="K67" s="35">
        <v>60</v>
      </c>
    </row>
    <row r="68" spans="1:11" x14ac:dyDescent="0.2">
      <c r="A68" t="s">
        <v>30</v>
      </c>
      <c r="B68" s="35">
        <v>33</v>
      </c>
      <c r="C68" s="35">
        <v>39</v>
      </c>
      <c r="D68" s="35">
        <v>50</v>
      </c>
      <c r="E68" s="35">
        <v>47</v>
      </c>
      <c r="F68" s="35">
        <v>38</v>
      </c>
      <c r="G68" s="35">
        <v>47</v>
      </c>
      <c r="H68" s="35">
        <v>47</v>
      </c>
      <c r="I68" s="35">
        <v>67</v>
      </c>
      <c r="J68" s="35">
        <v>64</v>
      </c>
      <c r="K68" s="35">
        <v>65</v>
      </c>
    </row>
    <row r="69" spans="1:11" x14ac:dyDescent="0.2">
      <c r="B69" s="1"/>
      <c r="C69" s="1"/>
      <c r="D69" s="1"/>
      <c r="E69" s="1"/>
      <c r="F69" s="1"/>
      <c r="G69" s="1"/>
      <c r="H69" s="1"/>
      <c r="I69" s="1"/>
      <c r="J69" s="1"/>
      <c r="K69" s="1"/>
    </row>
    <row r="70" spans="1:11" x14ac:dyDescent="0.2">
      <c r="A70" s="34" t="s">
        <v>92</v>
      </c>
      <c r="B70" s="1"/>
      <c r="C70" s="1"/>
      <c r="D70" s="1"/>
      <c r="E70" s="1"/>
      <c r="F70" s="1"/>
      <c r="G70" s="1"/>
      <c r="H70" s="1"/>
      <c r="I70" s="1"/>
      <c r="J70" s="1"/>
      <c r="K70" s="1"/>
    </row>
    <row r="71" spans="1:11" x14ac:dyDescent="0.2">
      <c r="A71" s="17" t="s">
        <v>0</v>
      </c>
      <c r="B71" s="17" t="s">
        <v>81</v>
      </c>
      <c r="C71" s="17" t="s">
        <v>82</v>
      </c>
      <c r="D71" s="17" t="s">
        <v>83</v>
      </c>
      <c r="E71" s="17" t="s">
        <v>84</v>
      </c>
      <c r="F71" s="17" t="s">
        <v>85</v>
      </c>
      <c r="G71" s="17" t="s">
        <v>86</v>
      </c>
      <c r="H71" s="17" t="s">
        <v>87</v>
      </c>
      <c r="I71" s="17" t="s">
        <v>88</v>
      </c>
      <c r="J71" s="17" t="s">
        <v>89</v>
      </c>
      <c r="K71" s="17" t="s">
        <v>90</v>
      </c>
    </row>
    <row r="72" spans="1:11" x14ac:dyDescent="0.2">
      <c r="A72" t="s">
        <v>1</v>
      </c>
      <c r="B72" s="36">
        <f>B6/(B6+B39)</f>
        <v>0.52439024390243905</v>
      </c>
      <c r="C72" s="36">
        <f t="shared" ref="C72:K72" si="1">C6/(C6+C39)</f>
        <v>0.29268292682926828</v>
      </c>
      <c r="D72" s="36">
        <f t="shared" si="1"/>
        <v>0.35365853658536583</v>
      </c>
      <c r="E72" s="36">
        <f t="shared" si="1"/>
        <v>0.29850746268656714</v>
      </c>
      <c r="F72" s="36">
        <f t="shared" si="1"/>
        <v>0.56944444444444442</v>
      </c>
      <c r="G72" s="36">
        <f t="shared" si="1"/>
        <v>0.52439024390243905</v>
      </c>
      <c r="H72" s="36">
        <f t="shared" si="1"/>
        <v>0.5</v>
      </c>
      <c r="I72" s="36">
        <f t="shared" si="1"/>
        <v>0.43902439024390244</v>
      </c>
      <c r="J72" s="36">
        <f t="shared" si="1"/>
        <v>0.48780487804878048</v>
      </c>
      <c r="K72" s="36">
        <f t="shared" si="1"/>
        <v>0.56097560975609762</v>
      </c>
    </row>
    <row r="73" spans="1:11" x14ac:dyDescent="0.2">
      <c r="A73" t="s">
        <v>2</v>
      </c>
      <c r="B73" s="36">
        <f t="shared" ref="B73:K73" si="2">B7/(B7+B40)</f>
        <v>0.64634146341463417</v>
      </c>
      <c r="C73" s="36">
        <f t="shared" si="2"/>
        <v>0.67073170731707321</v>
      </c>
      <c r="D73" s="36">
        <f t="shared" si="2"/>
        <v>0.59756097560975607</v>
      </c>
      <c r="E73" s="36">
        <f t="shared" si="2"/>
        <v>0.66666666666666663</v>
      </c>
      <c r="F73" s="36">
        <f t="shared" si="2"/>
        <v>0.5</v>
      </c>
      <c r="G73" s="36">
        <f t="shared" si="2"/>
        <v>0.62195121951219512</v>
      </c>
      <c r="H73" s="36">
        <f t="shared" si="2"/>
        <v>0.69512195121951215</v>
      </c>
      <c r="I73" s="36">
        <f t="shared" si="2"/>
        <v>0.78048780487804881</v>
      </c>
      <c r="J73" s="36">
        <f t="shared" si="2"/>
        <v>0.74390243902439024</v>
      </c>
      <c r="K73" s="36">
        <f t="shared" si="2"/>
        <v>0.68292682926829273</v>
      </c>
    </row>
    <row r="74" spans="1:11" x14ac:dyDescent="0.2">
      <c r="A74" t="s">
        <v>3</v>
      </c>
      <c r="B74" s="36">
        <f t="shared" ref="B74:K74" si="3">B8/(B8+B41)</f>
        <v>0.24390243902439024</v>
      </c>
      <c r="C74" s="36">
        <f t="shared" si="3"/>
        <v>0.34146341463414637</v>
      </c>
      <c r="D74" s="36">
        <f t="shared" si="3"/>
        <v>0.51219512195121952</v>
      </c>
      <c r="E74" s="36">
        <f t="shared" si="3"/>
        <v>0.4861111111111111</v>
      </c>
      <c r="F74" s="36">
        <f t="shared" si="3"/>
        <v>0.66666666666666663</v>
      </c>
      <c r="G74" s="36">
        <f t="shared" si="3"/>
        <v>0.53658536585365857</v>
      </c>
      <c r="H74" s="36">
        <f t="shared" si="3"/>
        <v>0.54878048780487809</v>
      </c>
      <c r="I74" s="36">
        <f t="shared" si="3"/>
        <v>0.3902439024390244</v>
      </c>
      <c r="J74" s="36">
        <f t="shared" si="3"/>
        <v>0.31707317073170732</v>
      </c>
      <c r="K74" s="36">
        <f t="shared" si="3"/>
        <v>0.24390243902439024</v>
      </c>
    </row>
    <row r="75" spans="1:11" x14ac:dyDescent="0.2">
      <c r="A75" t="s">
        <v>4</v>
      </c>
      <c r="B75" s="36">
        <f t="shared" ref="B75:K75" si="4">B9/(B9+B42)</f>
        <v>0.43902439024390244</v>
      </c>
      <c r="C75" s="36">
        <f t="shared" si="4"/>
        <v>0.43902439024390244</v>
      </c>
      <c r="D75" s="36">
        <f t="shared" si="4"/>
        <v>0.47560975609756095</v>
      </c>
      <c r="E75" s="36">
        <f t="shared" si="4"/>
        <v>0.35384615384615387</v>
      </c>
      <c r="F75" s="36">
        <f t="shared" si="4"/>
        <v>0.45833333333333331</v>
      </c>
      <c r="G75" s="36">
        <f t="shared" si="4"/>
        <v>0.52439024390243905</v>
      </c>
      <c r="H75" s="36">
        <f t="shared" si="4"/>
        <v>0.32926829268292684</v>
      </c>
      <c r="I75" s="36">
        <f t="shared" si="4"/>
        <v>0.25609756097560976</v>
      </c>
      <c r="J75" s="36">
        <f t="shared" si="4"/>
        <v>0.23170731707317074</v>
      </c>
      <c r="K75" s="36">
        <f t="shared" si="4"/>
        <v>0.53658536585365857</v>
      </c>
    </row>
    <row r="76" spans="1:11" x14ac:dyDescent="0.2">
      <c r="A76" t="s">
        <v>5</v>
      </c>
      <c r="B76" s="36">
        <f t="shared" ref="B76:K76" si="5">B10/(B10+B43)</f>
        <v>0.5</v>
      </c>
      <c r="C76" s="36">
        <f t="shared" si="5"/>
        <v>0.32926829268292684</v>
      </c>
      <c r="D76" s="36">
        <f t="shared" si="5"/>
        <v>0.26829268292682928</v>
      </c>
      <c r="E76" s="36">
        <f t="shared" si="5"/>
        <v>0.33846153846153848</v>
      </c>
      <c r="F76" s="36">
        <f t="shared" si="5"/>
        <v>0.43055555555555558</v>
      </c>
      <c r="G76" s="36">
        <f t="shared" si="5"/>
        <v>0.56097560975609762</v>
      </c>
      <c r="H76" s="36">
        <f t="shared" si="5"/>
        <v>0.48780487804878048</v>
      </c>
      <c r="I76" s="36">
        <f t="shared" si="5"/>
        <v>0.47560975609756095</v>
      </c>
      <c r="J76" s="36">
        <f t="shared" si="5"/>
        <v>0.47560975609756095</v>
      </c>
      <c r="K76" s="36">
        <f t="shared" si="5"/>
        <v>0.37804878048780488</v>
      </c>
    </row>
    <row r="77" spans="1:11" x14ac:dyDescent="0.2">
      <c r="A77" t="s">
        <v>6</v>
      </c>
      <c r="B77" s="36">
        <f t="shared" ref="B77:K77" si="6">B11/(B11+B44)</f>
        <v>0.62195121951219512</v>
      </c>
      <c r="C77" s="36">
        <f t="shared" si="6"/>
        <v>0.6097560975609756</v>
      </c>
      <c r="D77" s="36">
        <f t="shared" si="6"/>
        <v>0.23170731707317074</v>
      </c>
      <c r="E77" s="36">
        <f t="shared" si="6"/>
        <v>0.29230769230769232</v>
      </c>
      <c r="F77" s="36">
        <f t="shared" si="6"/>
        <v>0.30555555555555558</v>
      </c>
      <c r="G77" s="36">
        <f t="shared" si="6"/>
        <v>0.53658536585365857</v>
      </c>
      <c r="H77" s="36">
        <f t="shared" si="6"/>
        <v>0.62195121951219512</v>
      </c>
      <c r="I77" s="36">
        <f t="shared" si="6"/>
        <v>0.58536585365853655</v>
      </c>
      <c r="J77" s="36">
        <f t="shared" si="6"/>
        <v>0.78048780487804881</v>
      </c>
      <c r="K77" s="36">
        <f t="shared" si="6"/>
        <v>0.63414634146341464</v>
      </c>
    </row>
    <row r="78" spans="1:11" x14ac:dyDescent="0.2">
      <c r="A78" t="s">
        <v>7</v>
      </c>
      <c r="B78" s="36">
        <f t="shared" ref="B78:K78" si="7">B12/(B12+B45)</f>
        <v>0.40243902439024393</v>
      </c>
      <c r="C78" s="36">
        <f t="shared" si="7"/>
        <v>0.29268292682926828</v>
      </c>
      <c r="D78" s="36">
        <f t="shared" si="7"/>
        <v>0.40243902439024393</v>
      </c>
      <c r="E78" s="36">
        <f t="shared" si="7"/>
        <v>0.57333333333333336</v>
      </c>
      <c r="F78" s="36">
        <f t="shared" si="7"/>
        <v>0.58333333333333337</v>
      </c>
      <c r="G78" s="36">
        <f t="shared" si="7"/>
        <v>0.63414634146341464</v>
      </c>
      <c r="H78" s="36">
        <f t="shared" si="7"/>
        <v>0.46341463414634149</v>
      </c>
      <c r="I78" s="36">
        <f t="shared" si="7"/>
        <v>0.6097560975609756</v>
      </c>
      <c r="J78" s="36">
        <f t="shared" si="7"/>
        <v>0.47560975609756095</v>
      </c>
      <c r="K78" s="36">
        <f t="shared" si="7"/>
        <v>0.31707317073170732</v>
      </c>
    </row>
    <row r="79" spans="1:11" x14ac:dyDescent="0.2">
      <c r="A79" t="s">
        <v>8</v>
      </c>
      <c r="B79" s="36">
        <f t="shared" ref="B79:K79" si="8">B13/(B13+B46)</f>
        <v>0.48780487804878048</v>
      </c>
      <c r="C79" s="36">
        <f t="shared" si="8"/>
        <v>0.56097560975609762</v>
      </c>
      <c r="D79" s="36">
        <f t="shared" si="8"/>
        <v>0.65853658536585369</v>
      </c>
      <c r="E79" s="36">
        <f t="shared" si="8"/>
        <v>0.63013698630136983</v>
      </c>
      <c r="F79" s="36">
        <f t="shared" si="8"/>
        <v>0.65277777777777779</v>
      </c>
      <c r="G79" s="36">
        <f t="shared" si="8"/>
        <v>0.58536585365853655</v>
      </c>
      <c r="H79" s="36">
        <f t="shared" si="8"/>
        <v>0.64634146341463417</v>
      </c>
      <c r="I79" s="36">
        <f t="shared" si="8"/>
        <v>0.69512195121951215</v>
      </c>
      <c r="J79" s="36">
        <f t="shared" si="8"/>
        <v>0.6097560975609756</v>
      </c>
      <c r="K79" s="36">
        <f t="shared" si="8"/>
        <v>0.65853658536585369</v>
      </c>
    </row>
    <row r="80" spans="1:11" x14ac:dyDescent="0.2">
      <c r="A80" t="s">
        <v>9</v>
      </c>
      <c r="B80" s="36">
        <f t="shared" ref="B80:K80" si="9">B14/(B14+B47)</f>
        <v>0.45121951219512196</v>
      </c>
      <c r="C80" s="36">
        <f t="shared" si="9"/>
        <v>0.47560975609756095</v>
      </c>
      <c r="D80" s="36">
        <f t="shared" si="9"/>
        <v>0.5</v>
      </c>
      <c r="E80" s="36">
        <f t="shared" si="9"/>
        <v>0.30303030303030304</v>
      </c>
      <c r="F80" s="36">
        <f t="shared" si="9"/>
        <v>0.27777777777777779</v>
      </c>
      <c r="G80" s="36">
        <f t="shared" si="9"/>
        <v>0.28048780487804881</v>
      </c>
      <c r="H80" s="36">
        <f t="shared" si="9"/>
        <v>0.2073170731707317</v>
      </c>
      <c r="I80" s="36">
        <f t="shared" si="9"/>
        <v>0.17073170731707318</v>
      </c>
      <c r="J80" s="36">
        <f t="shared" si="9"/>
        <v>0.53658536585365857</v>
      </c>
      <c r="K80" s="36">
        <f t="shared" si="9"/>
        <v>0.73170731707317072</v>
      </c>
    </row>
    <row r="81" spans="1:11" x14ac:dyDescent="0.2">
      <c r="A81" t="s">
        <v>10</v>
      </c>
      <c r="B81" s="36">
        <f t="shared" ref="B81:K81" si="10">B15/(B15+B48)</f>
        <v>0.81707317073170727</v>
      </c>
      <c r="C81" s="36">
        <f t="shared" si="10"/>
        <v>0.70731707317073167</v>
      </c>
      <c r="D81" s="36">
        <f t="shared" si="10"/>
        <v>0.69512195121951215</v>
      </c>
      <c r="E81" s="36">
        <f t="shared" si="10"/>
        <v>0.23076923076923078</v>
      </c>
      <c r="F81" s="36">
        <f t="shared" si="10"/>
        <v>0.54166666666666663</v>
      </c>
      <c r="G81" s="36">
        <f t="shared" si="10"/>
        <v>0.64634146341463417</v>
      </c>
      <c r="H81" s="36">
        <f t="shared" si="10"/>
        <v>0.53658536585365857</v>
      </c>
      <c r="I81" s="36">
        <f t="shared" si="10"/>
        <v>0.56097560975609762</v>
      </c>
      <c r="J81" s="36">
        <f t="shared" si="10"/>
        <v>0.58536585365853655</v>
      </c>
      <c r="K81" s="36">
        <f t="shared" si="10"/>
        <v>0.45121951219512196</v>
      </c>
    </row>
    <row r="82" spans="1:11" x14ac:dyDescent="0.2">
      <c r="A82" t="s">
        <v>11</v>
      </c>
      <c r="B82" s="36">
        <f t="shared" ref="B82:K82" si="11">B16/(B16+B49)</f>
        <v>0.67073170731707321</v>
      </c>
      <c r="C82" s="36">
        <f t="shared" si="11"/>
        <v>0.79268292682926833</v>
      </c>
      <c r="D82" s="36">
        <f t="shared" si="11"/>
        <v>0.64634146341463417</v>
      </c>
      <c r="E82" s="36">
        <f t="shared" si="11"/>
        <v>0.61111111111111116</v>
      </c>
      <c r="F82" s="36">
        <f t="shared" si="11"/>
        <v>0.2361111111111111</v>
      </c>
      <c r="G82" s="36">
        <f t="shared" si="11"/>
        <v>0.24390243902439024</v>
      </c>
      <c r="H82" s="36">
        <f t="shared" si="11"/>
        <v>0.26829268292682928</v>
      </c>
      <c r="I82" s="36">
        <f t="shared" si="11"/>
        <v>0.5</v>
      </c>
      <c r="J82" s="36">
        <f t="shared" si="11"/>
        <v>0.63414634146341464</v>
      </c>
      <c r="K82" s="36">
        <f t="shared" si="11"/>
        <v>0.63414634146341464</v>
      </c>
    </row>
    <row r="83" spans="1:11" x14ac:dyDescent="0.2">
      <c r="A83" t="s">
        <v>12</v>
      </c>
      <c r="B83" s="36">
        <f t="shared" ref="B83:K83" si="12">B17/(B17+B50)</f>
        <v>0.51219512195121952</v>
      </c>
      <c r="C83" s="36">
        <f t="shared" si="12"/>
        <v>0.58536585365853655</v>
      </c>
      <c r="D83" s="36">
        <f t="shared" si="12"/>
        <v>0.58536585365853655</v>
      </c>
      <c r="E83" s="36">
        <f t="shared" si="12"/>
        <v>0.61643835616438358</v>
      </c>
      <c r="F83" s="36">
        <f t="shared" si="12"/>
        <v>0.47222222222222221</v>
      </c>
      <c r="G83" s="36">
        <f t="shared" si="12"/>
        <v>0.3048780487804878</v>
      </c>
      <c r="H83" s="36">
        <f t="shared" si="12"/>
        <v>0.42682926829268292</v>
      </c>
      <c r="I83" s="36">
        <f t="shared" si="12"/>
        <v>0.57317073170731703</v>
      </c>
      <c r="J83" s="36">
        <f t="shared" si="12"/>
        <v>0.6097560975609756</v>
      </c>
      <c r="K83" s="36">
        <f t="shared" si="12"/>
        <v>0.23170731707317074</v>
      </c>
    </row>
    <row r="84" spans="1:11" x14ac:dyDescent="0.2">
      <c r="A84" t="s">
        <v>13</v>
      </c>
      <c r="B84" s="36">
        <f t="shared" ref="B84:K84" si="13">B18/(B18+B51)</f>
        <v>0.62195121951219512</v>
      </c>
      <c r="C84" s="36">
        <f t="shared" si="13"/>
        <v>0.51219512195121952</v>
      </c>
      <c r="D84" s="36">
        <f t="shared" si="13"/>
        <v>0.58536585365853655</v>
      </c>
      <c r="E84" s="36">
        <f t="shared" si="13"/>
        <v>0.68055555555555558</v>
      </c>
      <c r="F84" s="36">
        <f t="shared" si="13"/>
        <v>0.65277777777777779</v>
      </c>
      <c r="G84" s="36">
        <f t="shared" si="13"/>
        <v>0.51219512195121952</v>
      </c>
      <c r="H84" s="36">
        <f t="shared" si="13"/>
        <v>0.53658536585365857</v>
      </c>
      <c r="I84" s="36">
        <f t="shared" si="13"/>
        <v>0.62195121951219512</v>
      </c>
      <c r="J84" s="36">
        <f t="shared" si="13"/>
        <v>0.6097560975609756</v>
      </c>
      <c r="K84" s="36">
        <f t="shared" si="13"/>
        <v>0.51219512195121952</v>
      </c>
    </row>
    <row r="85" spans="1:11" x14ac:dyDescent="0.2">
      <c r="A85" t="s">
        <v>14</v>
      </c>
      <c r="B85" s="36">
        <f t="shared" ref="B85:K85" si="14">B19/(B19+B52)</f>
        <v>0.31707317073170732</v>
      </c>
      <c r="C85" s="36">
        <f t="shared" si="14"/>
        <v>0.42682926829268292</v>
      </c>
      <c r="D85" s="36">
        <f t="shared" si="14"/>
        <v>0.45121951219512196</v>
      </c>
      <c r="E85" s="36">
        <f t="shared" si="14"/>
        <v>0.73239436619718312</v>
      </c>
      <c r="F85" s="36">
        <f t="shared" si="14"/>
        <v>0.58333333333333337</v>
      </c>
      <c r="G85" s="36">
        <f t="shared" si="14"/>
        <v>0.40243902439024393</v>
      </c>
      <c r="H85" s="36">
        <f t="shared" si="14"/>
        <v>0.52439024390243905</v>
      </c>
      <c r="I85" s="36">
        <f t="shared" si="14"/>
        <v>0.57317073170731703</v>
      </c>
      <c r="J85" s="36">
        <f t="shared" si="14"/>
        <v>0.6097560975609756</v>
      </c>
      <c r="K85" s="36">
        <f t="shared" si="14"/>
        <v>0.64634146341463417</v>
      </c>
    </row>
    <row r="86" spans="1:11" x14ac:dyDescent="0.2">
      <c r="A86" t="s">
        <v>15</v>
      </c>
      <c r="B86" s="36">
        <f t="shared" ref="B86:K86" si="15">B20/(B20+B53)</f>
        <v>0.52439024390243905</v>
      </c>
      <c r="C86" s="36">
        <f t="shared" si="15"/>
        <v>0.26829268292682928</v>
      </c>
      <c r="D86" s="36">
        <f t="shared" si="15"/>
        <v>0.40243902439024393</v>
      </c>
      <c r="E86" s="36">
        <f t="shared" si="15"/>
        <v>0.46575342465753422</v>
      </c>
      <c r="F86" s="36">
        <f t="shared" si="15"/>
        <v>0.52777777777777779</v>
      </c>
      <c r="G86" s="36">
        <f t="shared" si="15"/>
        <v>0.68292682926829273</v>
      </c>
      <c r="H86" s="36">
        <f t="shared" si="15"/>
        <v>0.62195121951219512</v>
      </c>
      <c r="I86" s="36">
        <f t="shared" si="15"/>
        <v>0.32926829268292684</v>
      </c>
      <c r="J86" s="36">
        <f t="shared" si="15"/>
        <v>0.58536585365853655</v>
      </c>
      <c r="K86" s="36">
        <f t="shared" si="15"/>
        <v>0.3048780487804878</v>
      </c>
    </row>
    <row r="87" spans="1:11" x14ac:dyDescent="0.2">
      <c r="A87" t="s">
        <v>16</v>
      </c>
      <c r="B87" s="36">
        <f t="shared" ref="B87:K87" si="16">B21/(B21+B54)</f>
        <v>0.5</v>
      </c>
      <c r="C87" s="36">
        <f t="shared" si="16"/>
        <v>0.53658536585365857</v>
      </c>
      <c r="D87" s="36">
        <f t="shared" si="16"/>
        <v>0.47560975609756095</v>
      </c>
      <c r="E87" s="36">
        <f t="shared" si="16"/>
        <v>0.60273972602739723</v>
      </c>
      <c r="F87" s="36">
        <f t="shared" si="16"/>
        <v>0.55555555555555558</v>
      </c>
      <c r="G87" s="36">
        <f t="shared" si="16"/>
        <v>0.64634146341463417</v>
      </c>
      <c r="H87" s="36">
        <f t="shared" si="16"/>
        <v>0.53658536585365857</v>
      </c>
      <c r="I87" s="36">
        <f t="shared" si="16"/>
        <v>0.56097560975609762</v>
      </c>
      <c r="J87" s="36">
        <f t="shared" si="16"/>
        <v>0.45121951219512196</v>
      </c>
      <c r="K87" s="36">
        <f t="shared" si="16"/>
        <v>0.52439024390243905</v>
      </c>
    </row>
    <row r="88" spans="1:11" x14ac:dyDescent="0.2">
      <c r="A88" t="s">
        <v>17</v>
      </c>
      <c r="B88" s="36">
        <f t="shared" ref="B88:K88" si="17">B22/(B22+B55)</f>
        <v>0.51219512195121952</v>
      </c>
      <c r="C88" s="36">
        <f t="shared" si="17"/>
        <v>0.53658536585365857</v>
      </c>
      <c r="D88" s="36">
        <f t="shared" si="17"/>
        <v>0.73170731707317072</v>
      </c>
      <c r="E88" s="36">
        <f t="shared" si="17"/>
        <v>0.76712328767123283</v>
      </c>
      <c r="F88" s="36">
        <f t="shared" si="17"/>
        <v>0.63888888888888884</v>
      </c>
      <c r="G88" s="36">
        <f t="shared" si="17"/>
        <v>0.62195121951219512</v>
      </c>
      <c r="H88" s="36">
        <f t="shared" si="17"/>
        <v>0.70731707317073167</v>
      </c>
      <c r="I88" s="36">
        <f t="shared" si="17"/>
        <v>0.59756097560975607</v>
      </c>
      <c r="J88" s="36">
        <f t="shared" si="17"/>
        <v>0.58536585365853655</v>
      </c>
      <c r="K88" s="36">
        <f t="shared" si="17"/>
        <v>0.3902439024390244</v>
      </c>
    </row>
    <row r="89" spans="1:11" x14ac:dyDescent="0.2">
      <c r="A89" t="s">
        <v>18</v>
      </c>
      <c r="B89" s="36">
        <f t="shared" ref="B89:K89" si="18">B23/(B23+B56)</f>
        <v>0.37804878048780488</v>
      </c>
      <c r="C89" s="36">
        <f t="shared" si="18"/>
        <v>0.57317073170731703</v>
      </c>
      <c r="D89" s="36">
        <f t="shared" si="18"/>
        <v>0.43902439024390244</v>
      </c>
      <c r="E89" s="36">
        <f t="shared" si="18"/>
        <v>0.296875</v>
      </c>
      <c r="F89" s="36">
        <f t="shared" si="18"/>
        <v>0.31944444444444442</v>
      </c>
      <c r="G89" s="36">
        <f t="shared" si="18"/>
        <v>0.56097560975609762</v>
      </c>
      <c r="H89" s="36">
        <f t="shared" si="18"/>
        <v>0.51219512195121952</v>
      </c>
      <c r="I89" s="36">
        <f t="shared" si="18"/>
        <v>0.68292682926829273</v>
      </c>
      <c r="J89" s="36">
        <f t="shared" si="18"/>
        <v>0.59756097560975607</v>
      </c>
      <c r="K89" s="36">
        <f t="shared" si="18"/>
        <v>0.59756097560975607</v>
      </c>
    </row>
    <row r="90" spans="1:11" x14ac:dyDescent="0.2">
      <c r="A90" t="s">
        <v>19</v>
      </c>
      <c r="B90" s="36">
        <f t="shared" ref="B90:K90" si="19">B24/(B24+B57)</f>
        <v>0.41463414634146339</v>
      </c>
      <c r="C90" s="36">
        <f t="shared" si="19"/>
        <v>0.58536585365853655</v>
      </c>
      <c r="D90" s="36">
        <f t="shared" si="19"/>
        <v>0.40243902439024393</v>
      </c>
      <c r="E90" s="36">
        <f t="shared" si="19"/>
        <v>0.41666666666666669</v>
      </c>
      <c r="F90" s="36">
        <f t="shared" si="19"/>
        <v>0.43055555555555558</v>
      </c>
      <c r="G90" s="36">
        <f t="shared" si="19"/>
        <v>0.43902439024390244</v>
      </c>
      <c r="H90" s="36">
        <f t="shared" si="19"/>
        <v>0.51219512195121952</v>
      </c>
      <c r="I90" s="36">
        <f t="shared" si="19"/>
        <v>0.59756097560975607</v>
      </c>
      <c r="J90" s="36">
        <f t="shared" si="19"/>
        <v>0.25609756097560976</v>
      </c>
      <c r="K90" s="36">
        <f t="shared" si="19"/>
        <v>0.31707317073170732</v>
      </c>
    </row>
    <row r="91" spans="1:11" x14ac:dyDescent="0.2">
      <c r="A91" t="s">
        <v>20</v>
      </c>
      <c r="B91" s="36">
        <f t="shared" ref="B91:K91" si="20">B25/(B25+B58)</f>
        <v>0.37804878048780488</v>
      </c>
      <c r="C91" s="36">
        <f t="shared" si="20"/>
        <v>0.35365853658536583</v>
      </c>
      <c r="D91" s="36">
        <f t="shared" si="20"/>
        <v>0.2073170731707317</v>
      </c>
      <c r="E91" s="36">
        <f t="shared" si="20"/>
        <v>0.31818181818181818</v>
      </c>
      <c r="F91" s="36">
        <f t="shared" si="20"/>
        <v>0.56944444444444442</v>
      </c>
      <c r="G91" s="36">
        <f t="shared" si="20"/>
        <v>0.45121951219512196</v>
      </c>
      <c r="H91" s="36">
        <f t="shared" si="20"/>
        <v>0.57317073170731703</v>
      </c>
      <c r="I91" s="36">
        <f t="shared" si="20"/>
        <v>0.6097560975609756</v>
      </c>
      <c r="J91" s="36">
        <f t="shared" si="20"/>
        <v>0.62195121951219512</v>
      </c>
      <c r="K91" s="36">
        <f t="shared" si="20"/>
        <v>0.64634146341463417</v>
      </c>
    </row>
    <row r="92" spans="1:11" x14ac:dyDescent="0.2">
      <c r="A92" t="s">
        <v>21</v>
      </c>
      <c r="B92" s="36">
        <f t="shared" ref="B92:K92" si="21">B26/(B26+B59)</f>
        <v>0.57317073170731703</v>
      </c>
      <c r="C92" s="36">
        <f t="shared" si="21"/>
        <v>0.58536585365853655</v>
      </c>
      <c r="D92" s="36">
        <f t="shared" si="21"/>
        <v>0.59756097560975607</v>
      </c>
      <c r="E92" s="36">
        <f t="shared" si="21"/>
        <v>0.61111111111111116</v>
      </c>
      <c r="F92" s="36">
        <f t="shared" si="21"/>
        <v>0.30555555555555558</v>
      </c>
      <c r="G92" s="36">
        <f t="shared" si="21"/>
        <v>0.29268292682926828</v>
      </c>
      <c r="H92" s="36">
        <f t="shared" si="21"/>
        <v>0.48780487804878048</v>
      </c>
      <c r="I92" s="36">
        <f t="shared" si="21"/>
        <v>0.69512195121951215</v>
      </c>
      <c r="J92" s="36">
        <f t="shared" si="21"/>
        <v>0.82926829268292679</v>
      </c>
      <c r="K92" s="36">
        <f t="shared" si="21"/>
        <v>0.78048780487804881</v>
      </c>
    </row>
    <row r="93" spans="1:11" x14ac:dyDescent="0.2">
      <c r="A93" t="s">
        <v>22</v>
      </c>
      <c r="B93" s="36">
        <f t="shared" ref="B93:K93" si="22">B27/(B27+B60)</f>
        <v>0.35365853658536583</v>
      </c>
      <c r="C93" s="36">
        <f t="shared" si="22"/>
        <v>0.3048780487804878</v>
      </c>
      <c r="D93" s="36">
        <f t="shared" si="22"/>
        <v>0.51219512195121952</v>
      </c>
      <c r="E93" s="36">
        <f t="shared" si="22"/>
        <v>0.45205479452054792</v>
      </c>
      <c r="F93" s="36">
        <f t="shared" si="22"/>
        <v>0.29166666666666669</v>
      </c>
      <c r="G93" s="36">
        <f t="shared" si="22"/>
        <v>0.26829268292682928</v>
      </c>
      <c r="H93" s="36">
        <f t="shared" si="22"/>
        <v>0.41463414634146339</v>
      </c>
      <c r="I93" s="36">
        <f t="shared" si="22"/>
        <v>0.57317073170731703</v>
      </c>
      <c r="J93" s="36">
        <f t="shared" si="22"/>
        <v>0.5</v>
      </c>
      <c r="K93" s="36">
        <f t="shared" si="22"/>
        <v>0.54878048780487809</v>
      </c>
    </row>
    <row r="94" spans="1:11" x14ac:dyDescent="0.2">
      <c r="A94" t="s">
        <v>23</v>
      </c>
      <c r="B94" s="36">
        <f t="shared" ref="B94:K94" si="23">B28/(B28+B61)</f>
        <v>0.34146341463414637</v>
      </c>
      <c r="C94" s="36">
        <f t="shared" si="23"/>
        <v>0.63414634146341464</v>
      </c>
      <c r="D94" s="36">
        <f t="shared" si="23"/>
        <v>0.62195121951219512</v>
      </c>
      <c r="E94" s="36">
        <f t="shared" si="23"/>
        <v>0.58904109589041098</v>
      </c>
      <c r="F94" s="36">
        <f t="shared" si="23"/>
        <v>0.68055555555555558</v>
      </c>
      <c r="G94" s="36">
        <f t="shared" si="23"/>
        <v>0.62195121951219512</v>
      </c>
      <c r="H94" s="36">
        <f t="shared" si="23"/>
        <v>0.65853658536585369</v>
      </c>
      <c r="I94" s="36">
        <f t="shared" si="23"/>
        <v>0.57317073170731703</v>
      </c>
      <c r="J94" s="36">
        <f t="shared" si="23"/>
        <v>0.29268292682926828</v>
      </c>
      <c r="K94" s="36">
        <f t="shared" si="23"/>
        <v>0.54878048780487809</v>
      </c>
    </row>
    <row r="95" spans="1:11" x14ac:dyDescent="0.2">
      <c r="A95" t="s">
        <v>24</v>
      </c>
      <c r="B95" s="36">
        <f t="shared" ref="B95:K95" si="24">B29/(B29+B62)</f>
        <v>0.29268292682926828</v>
      </c>
      <c r="C95" s="36">
        <f t="shared" si="24"/>
        <v>0.25609756097560976</v>
      </c>
      <c r="D95" s="36">
        <f t="shared" si="24"/>
        <v>0.23170731707317074</v>
      </c>
      <c r="E95" s="36">
        <f t="shared" si="24"/>
        <v>0.46575342465753422</v>
      </c>
      <c r="F95" s="36">
        <f t="shared" si="24"/>
        <v>0.70833333333333337</v>
      </c>
      <c r="G95" s="36">
        <f t="shared" si="24"/>
        <v>0.78048780487804881</v>
      </c>
      <c r="H95" s="36">
        <f t="shared" si="24"/>
        <v>0.54878048780487809</v>
      </c>
      <c r="I95" s="36">
        <f t="shared" si="24"/>
        <v>0.59756097560975607</v>
      </c>
      <c r="J95" s="36">
        <f t="shared" si="24"/>
        <v>0.43902439024390244</v>
      </c>
      <c r="K95" s="36">
        <f t="shared" si="24"/>
        <v>0.54878048780487809</v>
      </c>
    </row>
    <row r="96" spans="1:11" x14ac:dyDescent="0.2">
      <c r="A96" t="s">
        <v>25</v>
      </c>
      <c r="B96" s="36">
        <f t="shared" ref="B96:K96" si="25">B30/(B30+B63)</f>
        <v>0.5</v>
      </c>
      <c r="C96" s="36">
        <f t="shared" si="25"/>
        <v>0.59756097560975607</v>
      </c>
      <c r="D96" s="36">
        <f t="shared" si="25"/>
        <v>0.64634146341463417</v>
      </c>
      <c r="E96" s="36">
        <f t="shared" si="25"/>
        <v>0.47297297297297297</v>
      </c>
      <c r="F96" s="36">
        <f t="shared" si="25"/>
        <v>0.58333333333333337</v>
      </c>
      <c r="G96" s="36">
        <f t="shared" si="25"/>
        <v>0.32926829268292684</v>
      </c>
      <c r="H96" s="36">
        <f t="shared" si="25"/>
        <v>0.40243902439024393</v>
      </c>
      <c r="I96" s="36">
        <f t="shared" si="25"/>
        <v>0.25609756097560976</v>
      </c>
      <c r="J96" s="36">
        <f t="shared" si="25"/>
        <v>0.43902439024390244</v>
      </c>
      <c r="K96" s="36">
        <f t="shared" si="25"/>
        <v>0.51219512195121952</v>
      </c>
    </row>
    <row r="97" spans="1:11" x14ac:dyDescent="0.2">
      <c r="A97" t="s">
        <v>26</v>
      </c>
      <c r="B97" s="36">
        <f t="shared" ref="B97:K97" si="26">B31/(B31+B64)</f>
        <v>0.3902439024390244</v>
      </c>
      <c r="C97" s="36">
        <f t="shared" si="26"/>
        <v>0.32926829268292684</v>
      </c>
      <c r="D97" s="36">
        <f t="shared" si="26"/>
        <v>0.47560975609756095</v>
      </c>
      <c r="E97" s="36">
        <f t="shared" si="26"/>
        <v>0.43055555555555558</v>
      </c>
      <c r="F97" s="36">
        <f t="shared" si="26"/>
        <v>0.43055555555555558</v>
      </c>
      <c r="G97" s="36">
        <f t="shared" si="26"/>
        <v>0.36585365853658536</v>
      </c>
      <c r="H97" s="36">
        <f t="shared" si="26"/>
        <v>0.58536585365853655</v>
      </c>
      <c r="I97" s="36">
        <f t="shared" si="26"/>
        <v>0.56097560975609762</v>
      </c>
      <c r="J97" s="36">
        <f t="shared" si="26"/>
        <v>0.48780487804878048</v>
      </c>
      <c r="K97" s="36">
        <f t="shared" si="26"/>
        <v>0.26829268292682928</v>
      </c>
    </row>
    <row r="98" spans="1:11" x14ac:dyDescent="0.2">
      <c r="A98" t="s">
        <v>27</v>
      </c>
      <c r="B98" s="36">
        <f t="shared" ref="B98:K98" si="27">B32/(B32+B65)</f>
        <v>0.74390243902439024</v>
      </c>
      <c r="C98" s="36">
        <f t="shared" si="27"/>
        <v>0.57317073170731703</v>
      </c>
      <c r="D98" s="36">
        <f t="shared" si="27"/>
        <v>0.58536585365853655</v>
      </c>
      <c r="E98" s="36">
        <f t="shared" si="27"/>
        <v>0.45070422535211269</v>
      </c>
      <c r="F98" s="36">
        <f t="shared" si="27"/>
        <v>0.45833333333333331</v>
      </c>
      <c r="G98" s="36">
        <f t="shared" si="27"/>
        <v>0.41463414634146339</v>
      </c>
      <c r="H98" s="36">
        <f t="shared" si="27"/>
        <v>0.26829268292682928</v>
      </c>
      <c r="I98" s="36">
        <f t="shared" si="27"/>
        <v>0.26829268292682928</v>
      </c>
      <c r="J98" s="36">
        <f t="shared" si="27"/>
        <v>0.41463414634146339</v>
      </c>
      <c r="K98" s="36">
        <f t="shared" si="27"/>
        <v>0.75609756097560976</v>
      </c>
    </row>
    <row r="99" spans="1:11" x14ac:dyDescent="0.2">
      <c r="A99" t="s">
        <v>28</v>
      </c>
      <c r="B99" s="36">
        <f t="shared" ref="B99:K99" si="28">B33/(B33+B66)</f>
        <v>0.62195121951219512</v>
      </c>
      <c r="C99" s="36">
        <f t="shared" si="28"/>
        <v>0.71951219512195119</v>
      </c>
      <c r="D99" s="36">
        <f t="shared" si="28"/>
        <v>0.70731707317073167</v>
      </c>
      <c r="E99" s="36">
        <f t="shared" si="28"/>
        <v>0.73611111111111116</v>
      </c>
      <c r="F99" s="36">
        <f t="shared" si="28"/>
        <v>0.375</v>
      </c>
      <c r="G99" s="36">
        <f t="shared" si="28"/>
        <v>0.58536585365853655</v>
      </c>
      <c r="H99" s="36">
        <f t="shared" si="28"/>
        <v>0.5</v>
      </c>
      <c r="I99" s="36">
        <f t="shared" si="28"/>
        <v>0.3048780487804878</v>
      </c>
      <c r="J99" s="36">
        <f t="shared" si="28"/>
        <v>0.36585365853658536</v>
      </c>
      <c r="K99" s="36">
        <f t="shared" si="28"/>
        <v>0.56097560975609762</v>
      </c>
    </row>
    <row r="100" spans="1:11" x14ac:dyDescent="0.2">
      <c r="A100" t="s">
        <v>29</v>
      </c>
      <c r="B100" s="36">
        <f t="shared" ref="B100:K100" si="29">B34/(B34+B67)</f>
        <v>0.62195121951219512</v>
      </c>
      <c r="C100" s="36">
        <f t="shared" si="29"/>
        <v>0.58536585365853655</v>
      </c>
      <c r="D100" s="36">
        <f t="shared" si="29"/>
        <v>0.6097560975609756</v>
      </c>
      <c r="E100" s="36">
        <f t="shared" si="29"/>
        <v>0.61111111111111116</v>
      </c>
      <c r="F100" s="36">
        <f t="shared" si="29"/>
        <v>0.72222222222222221</v>
      </c>
      <c r="G100" s="36">
        <f t="shared" si="29"/>
        <v>0.59756097560975607</v>
      </c>
      <c r="H100" s="36">
        <f t="shared" si="29"/>
        <v>0.45121951219512196</v>
      </c>
      <c r="I100" s="36">
        <f t="shared" si="29"/>
        <v>0.37804878048780488</v>
      </c>
      <c r="J100" s="36">
        <f t="shared" si="29"/>
        <v>0.2073170731707317</v>
      </c>
      <c r="K100" s="36">
        <f t="shared" si="29"/>
        <v>0.26829268292682928</v>
      </c>
    </row>
    <row r="101" spans="1:11" x14ac:dyDescent="0.2">
      <c r="A101" t="s">
        <v>30</v>
      </c>
      <c r="B101" s="36">
        <f t="shared" ref="B101:K101" si="30">B35/(B35+B68)</f>
        <v>0.59756097560975607</v>
      </c>
      <c r="C101" s="36">
        <f t="shared" si="30"/>
        <v>0.52439024390243905</v>
      </c>
      <c r="D101" s="36">
        <f t="shared" si="30"/>
        <v>0.3902439024390244</v>
      </c>
      <c r="E101" s="36">
        <f t="shared" si="30"/>
        <v>0.34722222222222221</v>
      </c>
      <c r="F101" s="36">
        <f t="shared" si="30"/>
        <v>0.47222222222222221</v>
      </c>
      <c r="G101" s="36">
        <f t="shared" si="30"/>
        <v>0.42682926829268292</v>
      </c>
      <c r="H101" s="36">
        <f t="shared" si="30"/>
        <v>0.42682926829268292</v>
      </c>
      <c r="I101" s="36">
        <f t="shared" si="30"/>
        <v>0.18292682926829268</v>
      </c>
      <c r="J101" s="36">
        <f t="shared" si="30"/>
        <v>0.21951219512195122</v>
      </c>
      <c r="K101" s="36">
        <f t="shared" si="30"/>
        <v>0.2073170731707317</v>
      </c>
    </row>
    <row r="102" spans="1:11" ht="37" customHeight="1" x14ac:dyDescent="0.2">
      <c r="A102" s="44" t="s">
        <v>93</v>
      </c>
      <c r="B102" s="36">
        <f>SMALL(B72:B101,5)</f>
        <v>0.35365853658536583</v>
      </c>
      <c r="C102" s="36">
        <f t="shared" ref="C102:K102" si="31">SMALL(C72:C101,5)</f>
        <v>0.3048780487804878</v>
      </c>
      <c r="D102" s="36">
        <f t="shared" si="31"/>
        <v>0.35365853658536583</v>
      </c>
      <c r="E102" s="36">
        <f t="shared" si="31"/>
        <v>0.30303030303030304</v>
      </c>
      <c r="F102" s="36">
        <f t="shared" si="31"/>
        <v>0.30555555555555558</v>
      </c>
      <c r="G102" s="36">
        <f t="shared" si="31"/>
        <v>0.3048780487804878</v>
      </c>
      <c r="H102" s="36">
        <f t="shared" si="31"/>
        <v>0.40243902439024393</v>
      </c>
      <c r="I102" s="36">
        <f t="shared" si="31"/>
        <v>0.26829268292682928</v>
      </c>
      <c r="J102" s="36">
        <f t="shared" si="31"/>
        <v>0.29268292682926828</v>
      </c>
      <c r="K102" s="36">
        <f t="shared" si="31"/>
        <v>0.26829268292682928</v>
      </c>
    </row>
    <row r="103" spans="1:11" x14ac:dyDescent="0.2">
      <c r="A103" s="15" t="s">
        <v>94</v>
      </c>
      <c r="B103" s="36">
        <f>LARGE(B72:B101,5)</f>
        <v>0.62195121951219512</v>
      </c>
      <c r="C103" s="36">
        <f t="shared" ref="C103:K103" si="32">LARGE(C72:C101,5)</f>
        <v>0.63414634146341464</v>
      </c>
      <c r="D103" s="36">
        <f t="shared" si="32"/>
        <v>0.64634146341463417</v>
      </c>
      <c r="E103" s="36">
        <f t="shared" si="32"/>
        <v>0.66666666666666663</v>
      </c>
      <c r="F103" s="36">
        <f t="shared" si="32"/>
        <v>0.65277777777777779</v>
      </c>
      <c r="G103" s="36">
        <f t="shared" si="32"/>
        <v>0.63414634146341464</v>
      </c>
      <c r="H103" s="36">
        <f t="shared" si="32"/>
        <v>0.62195121951219512</v>
      </c>
      <c r="I103" s="36">
        <f t="shared" si="32"/>
        <v>0.62195121951219512</v>
      </c>
      <c r="J103" s="36">
        <f t="shared" si="32"/>
        <v>0.62195121951219512</v>
      </c>
      <c r="K103" s="36">
        <f t="shared" si="32"/>
        <v>0.65853658536585369</v>
      </c>
    </row>
    <row r="104" spans="1:11" x14ac:dyDescent="0.2">
      <c r="B104" s="1"/>
      <c r="C104" s="1"/>
      <c r="D104" s="1"/>
      <c r="E104" s="1"/>
      <c r="F104" s="1"/>
      <c r="G104" s="1"/>
      <c r="H104" s="1"/>
      <c r="I104" s="1"/>
      <c r="J104" s="1"/>
      <c r="K104" s="1"/>
    </row>
    <row r="105" spans="1:11" x14ac:dyDescent="0.2">
      <c r="A105" s="34" t="s">
        <v>95</v>
      </c>
      <c r="B105" s="1"/>
      <c r="C105" s="1"/>
      <c r="D105" s="1"/>
      <c r="E105" s="1"/>
      <c r="F105" s="1"/>
      <c r="G105" s="1"/>
      <c r="H105" s="1"/>
      <c r="I105" s="1"/>
      <c r="J105" s="1"/>
      <c r="K105" s="1"/>
    </row>
    <row r="106" spans="1:11" x14ac:dyDescent="0.2">
      <c r="A106" s="17" t="s">
        <v>0</v>
      </c>
      <c r="B106" s="17" t="s">
        <v>81</v>
      </c>
      <c r="C106" s="17" t="s">
        <v>82</v>
      </c>
      <c r="D106" s="17" t="s">
        <v>83</v>
      </c>
      <c r="E106" s="17" t="s">
        <v>84</v>
      </c>
      <c r="F106" s="17" t="s">
        <v>85</v>
      </c>
      <c r="G106" s="17" t="s">
        <v>86</v>
      </c>
      <c r="H106" s="17" t="s">
        <v>87</v>
      </c>
      <c r="I106" s="17" t="s">
        <v>88</v>
      </c>
      <c r="J106" s="17" t="s">
        <v>89</v>
      </c>
      <c r="K106" s="17" t="s">
        <v>90</v>
      </c>
    </row>
    <row r="107" spans="1:11" ht="16" customHeight="1" x14ac:dyDescent="0.2">
      <c r="A107" t="s">
        <v>1</v>
      </c>
      <c r="B107" s="35" t="s">
        <v>96</v>
      </c>
      <c r="C107" s="35" t="s">
        <v>97</v>
      </c>
      <c r="D107" s="35" t="s">
        <v>97</v>
      </c>
      <c r="E107" s="35" t="s">
        <v>97</v>
      </c>
      <c r="F107" s="35" t="s">
        <v>98</v>
      </c>
      <c r="G107" s="35" t="s">
        <v>96</v>
      </c>
      <c r="H107" s="35" t="s">
        <v>96</v>
      </c>
      <c r="I107" s="35" t="s">
        <v>97</v>
      </c>
      <c r="J107" s="35" t="s">
        <v>97</v>
      </c>
      <c r="K107" s="35" t="s">
        <v>96</v>
      </c>
    </row>
    <row r="108" spans="1:11" ht="16" customHeight="1" x14ac:dyDescent="0.2">
      <c r="A108" t="s">
        <v>2</v>
      </c>
      <c r="B108" s="35" t="s">
        <v>98</v>
      </c>
      <c r="C108" s="35" t="s">
        <v>98</v>
      </c>
      <c r="D108" s="35" t="s">
        <v>99</v>
      </c>
      <c r="E108" s="35" t="s">
        <v>98</v>
      </c>
      <c r="F108" s="35" t="s">
        <v>96</v>
      </c>
      <c r="G108" s="35" t="s">
        <v>100</v>
      </c>
      <c r="H108" s="35" t="s">
        <v>98</v>
      </c>
      <c r="I108" s="35" t="s">
        <v>101</v>
      </c>
      <c r="J108" s="35" t="s">
        <v>99</v>
      </c>
      <c r="K108" s="35" t="s">
        <v>96</v>
      </c>
    </row>
    <row r="109" spans="1:11" ht="16" customHeight="1" x14ac:dyDescent="0.2">
      <c r="A109" t="s">
        <v>3</v>
      </c>
      <c r="B109" s="35" t="s">
        <v>97</v>
      </c>
      <c r="C109" s="35" t="s">
        <v>97</v>
      </c>
      <c r="D109" s="35" t="s">
        <v>96</v>
      </c>
      <c r="E109" s="35" t="s">
        <v>96</v>
      </c>
      <c r="F109" s="35" t="s">
        <v>99</v>
      </c>
      <c r="G109" s="35" t="s">
        <v>96</v>
      </c>
      <c r="H109" s="35" t="s">
        <v>96</v>
      </c>
      <c r="I109" s="35" t="s">
        <v>97</v>
      </c>
      <c r="J109" s="35" t="s">
        <v>97</v>
      </c>
      <c r="K109" s="35" t="s">
        <v>97</v>
      </c>
    </row>
    <row r="110" spans="1:11" ht="16" customHeight="1" x14ac:dyDescent="0.2">
      <c r="A110" t="s">
        <v>4</v>
      </c>
      <c r="B110" s="35" t="s">
        <v>97</v>
      </c>
      <c r="C110" s="35" t="s">
        <v>97</v>
      </c>
      <c r="D110" s="35" t="s">
        <v>97</v>
      </c>
      <c r="E110" s="35" t="s">
        <v>97</v>
      </c>
      <c r="F110" s="35" t="s">
        <v>97</v>
      </c>
      <c r="G110" s="35" t="s">
        <v>97</v>
      </c>
      <c r="H110" s="35" t="s">
        <v>97</v>
      </c>
      <c r="I110" s="35" t="s">
        <v>97</v>
      </c>
      <c r="J110" s="35" t="s">
        <v>97</v>
      </c>
      <c r="K110" s="35" t="s">
        <v>97</v>
      </c>
    </row>
    <row r="111" spans="1:11" ht="16" customHeight="1" x14ac:dyDescent="0.2">
      <c r="A111" t="s">
        <v>5</v>
      </c>
      <c r="B111" s="35" t="s">
        <v>96</v>
      </c>
      <c r="C111" s="35" t="s">
        <v>97</v>
      </c>
      <c r="D111" s="35" t="s">
        <v>97</v>
      </c>
      <c r="E111" s="35" t="s">
        <v>97</v>
      </c>
      <c r="F111" s="35" t="s">
        <v>97</v>
      </c>
      <c r="G111" s="35" t="s">
        <v>96</v>
      </c>
      <c r="H111" s="35" t="s">
        <v>97</v>
      </c>
      <c r="I111" s="35" t="s">
        <v>97</v>
      </c>
      <c r="J111" s="35" t="s">
        <v>97</v>
      </c>
      <c r="K111" s="35" t="s">
        <v>97</v>
      </c>
    </row>
    <row r="112" spans="1:11" ht="16" customHeight="1" x14ac:dyDescent="0.2">
      <c r="A112" t="s">
        <v>6</v>
      </c>
      <c r="B112" s="35" t="s">
        <v>100</v>
      </c>
      <c r="C112" s="35" t="s">
        <v>100</v>
      </c>
      <c r="D112" s="35" t="s">
        <v>97</v>
      </c>
      <c r="E112" s="35" t="s">
        <v>97</v>
      </c>
      <c r="F112" s="35" t="s">
        <v>97</v>
      </c>
      <c r="G112" s="35" t="s">
        <v>97</v>
      </c>
      <c r="H112" s="35" t="s">
        <v>96</v>
      </c>
      <c r="I112" s="35" t="s">
        <v>99</v>
      </c>
      <c r="J112" s="35" t="s">
        <v>99</v>
      </c>
      <c r="K112" s="35" t="s">
        <v>98</v>
      </c>
    </row>
    <row r="113" spans="1:11" ht="16" customHeight="1" x14ac:dyDescent="0.2">
      <c r="A113" t="s">
        <v>7</v>
      </c>
      <c r="B113" s="35" t="s">
        <v>97</v>
      </c>
      <c r="C113" s="35" t="s">
        <v>97</v>
      </c>
      <c r="D113" s="35" t="s">
        <v>97</v>
      </c>
      <c r="E113" s="35" t="s">
        <v>96</v>
      </c>
      <c r="F113" s="35" t="s">
        <v>96</v>
      </c>
      <c r="G113" s="35" t="s">
        <v>98</v>
      </c>
      <c r="H113" s="35" t="s">
        <v>97</v>
      </c>
      <c r="I113" s="35" t="s">
        <v>100</v>
      </c>
      <c r="J113" s="35" t="s">
        <v>97</v>
      </c>
      <c r="K113" s="35" t="s">
        <v>97</v>
      </c>
    </row>
    <row r="114" spans="1:11" ht="16" customHeight="1" x14ac:dyDescent="0.2">
      <c r="A114" t="s">
        <v>8</v>
      </c>
      <c r="B114" s="35" t="s">
        <v>97</v>
      </c>
      <c r="C114" s="35" t="s">
        <v>97</v>
      </c>
      <c r="D114" s="35" t="s">
        <v>99</v>
      </c>
      <c r="E114" s="35" t="s">
        <v>98</v>
      </c>
      <c r="F114" s="35" t="s">
        <v>99</v>
      </c>
      <c r="G114" s="35" t="s">
        <v>96</v>
      </c>
      <c r="H114" s="35" t="s">
        <v>101</v>
      </c>
      <c r="I114" s="35" t="s">
        <v>99</v>
      </c>
      <c r="J114" s="35" t="s">
        <v>99</v>
      </c>
      <c r="K114" s="35" t="s">
        <v>96</v>
      </c>
    </row>
    <row r="115" spans="1:11" ht="16" customHeight="1" x14ac:dyDescent="0.2">
      <c r="A115" t="s">
        <v>9</v>
      </c>
      <c r="B115" s="35" t="s">
        <v>97</v>
      </c>
      <c r="C115" s="35" t="s">
        <v>97</v>
      </c>
      <c r="D115" s="35" t="s">
        <v>96</v>
      </c>
      <c r="E115" s="35" t="s">
        <v>97</v>
      </c>
      <c r="F115" s="35" t="s">
        <v>97</v>
      </c>
      <c r="G115" s="35" t="s">
        <v>97</v>
      </c>
      <c r="H115" s="35" t="s">
        <v>97</v>
      </c>
      <c r="I115" s="35" t="s">
        <v>97</v>
      </c>
      <c r="J115" s="35" t="s">
        <v>96</v>
      </c>
      <c r="K115" s="35" t="s">
        <v>99</v>
      </c>
    </row>
    <row r="116" spans="1:11" ht="16" customHeight="1" x14ac:dyDescent="0.2">
      <c r="A116" t="s">
        <v>10</v>
      </c>
      <c r="B116" s="35" t="s">
        <v>101</v>
      </c>
      <c r="C116" s="35" t="s">
        <v>101</v>
      </c>
      <c r="D116" s="35" t="s">
        <v>100</v>
      </c>
      <c r="E116" s="35" t="s">
        <v>97</v>
      </c>
      <c r="F116" s="35" t="s">
        <v>97</v>
      </c>
      <c r="G116" s="35" t="s">
        <v>101</v>
      </c>
      <c r="H116" s="35" t="s">
        <v>99</v>
      </c>
      <c r="I116" s="35" t="s">
        <v>97</v>
      </c>
      <c r="J116" s="35" t="s">
        <v>99</v>
      </c>
      <c r="K116" s="35" t="s">
        <v>97</v>
      </c>
    </row>
    <row r="117" spans="1:11" ht="16" customHeight="1" x14ac:dyDescent="0.2">
      <c r="A117" t="s">
        <v>11</v>
      </c>
      <c r="B117" s="35" t="s">
        <v>99</v>
      </c>
      <c r="C117" s="35" t="s">
        <v>98</v>
      </c>
      <c r="D117" s="35" t="s">
        <v>99</v>
      </c>
      <c r="E117" s="35" t="s">
        <v>99</v>
      </c>
      <c r="F117" s="35" t="s">
        <v>97</v>
      </c>
      <c r="G117" s="35" t="s">
        <v>97</v>
      </c>
      <c r="H117" s="35" t="s">
        <v>97</v>
      </c>
      <c r="I117" s="35" t="s">
        <v>97</v>
      </c>
      <c r="J117" s="35" t="s">
        <v>96</v>
      </c>
      <c r="K117" s="35" t="s">
        <v>96</v>
      </c>
    </row>
    <row r="118" spans="1:11" ht="16" customHeight="1" x14ac:dyDescent="0.2">
      <c r="A118" t="s">
        <v>12</v>
      </c>
      <c r="B118" s="35" t="s">
        <v>96</v>
      </c>
      <c r="C118" s="35" t="s">
        <v>96</v>
      </c>
      <c r="D118" s="35" t="s">
        <v>96</v>
      </c>
      <c r="E118" s="35" t="s">
        <v>96</v>
      </c>
      <c r="F118" s="35" t="s">
        <v>97</v>
      </c>
      <c r="G118" s="35" t="s">
        <v>97</v>
      </c>
      <c r="H118" s="35" t="s">
        <v>97</v>
      </c>
      <c r="I118" s="35" t="s">
        <v>98</v>
      </c>
      <c r="J118" s="35" t="s">
        <v>100</v>
      </c>
      <c r="K118" s="35" t="s">
        <v>97</v>
      </c>
    </row>
    <row r="119" spans="1:11" ht="16" customHeight="1" x14ac:dyDescent="0.2">
      <c r="A119" t="s">
        <v>13</v>
      </c>
      <c r="B119" s="35" t="s">
        <v>96</v>
      </c>
      <c r="C119" s="35" t="s">
        <v>97</v>
      </c>
      <c r="D119" s="35" t="s">
        <v>96</v>
      </c>
      <c r="E119" s="35" t="s">
        <v>99</v>
      </c>
      <c r="F119" s="35" t="s">
        <v>98</v>
      </c>
      <c r="G119" s="35" t="s">
        <v>97</v>
      </c>
      <c r="H119" s="35" t="s">
        <v>96</v>
      </c>
      <c r="I119" s="35" t="s">
        <v>96</v>
      </c>
      <c r="J119" s="35" t="s">
        <v>96</v>
      </c>
      <c r="K119" s="35" t="s">
        <v>97</v>
      </c>
    </row>
    <row r="120" spans="1:11" ht="16" customHeight="1" x14ac:dyDescent="0.2">
      <c r="A120" t="s">
        <v>14</v>
      </c>
      <c r="B120" s="35" t="s">
        <v>97</v>
      </c>
      <c r="C120" s="35" t="s">
        <v>97</v>
      </c>
      <c r="D120" s="35" t="s">
        <v>97</v>
      </c>
      <c r="E120" s="35" t="s">
        <v>101</v>
      </c>
      <c r="F120" s="35" t="s">
        <v>96</v>
      </c>
      <c r="G120" s="35" t="s">
        <v>97</v>
      </c>
      <c r="H120" s="35" t="s">
        <v>98</v>
      </c>
      <c r="I120" s="35" t="s">
        <v>96</v>
      </c>
      <c r="J120" s="35" t="s">
        <v>96</v>
      </c>
      <c r="K120" s="35" t="s">
        <v>99</v>
      </c>
    </row>
    <row r="121" spans="1:11" ht="16" customHeight="1" x14ac:dyDescent="0.2">
      <c r="A121" t="s">
        <v>15</v>
      </c>
      <c r="B121" s="35" t="s">
        <v>96</v>
      </c>
      <c r="C121" s="35" t="s">
        <v>97</v>
      </c>
      <c r="D121" s="35" t="s">
        <v>97</v>
      </c>
      <c r="E121" s="35" t="s">
        <v>97</v>
      </c>
      <c r="F121" s="35" t="s">
        <v>96</v>
      </c>
      <c r="G121" s="35" t="s">
        <v>99</v>
      </c>
      <c r="H121" s="35" t="s">
        <v>96</v>
      </c>
      <c r="I121" s="35" t="s">
        <v>97</v>
      </c>
      <c r="J121" s="35" t="s">
        <v>96</v>
      </c>
      <c r="K121" s="35" t="s">
        <v>97</v>
      </c>
    </row>
    <row r="122" spans="1:11" ht="16" customHeight="1" x14ac:dyDescent="0.2">
      <c r="A122" t="s">
        <v>16</v>
      </c>
      <c r="B122" s="35" t="s">
        <v>97</v>
      </c>
      <c r="C122" s="35" t="s">
        <v>96</v>
      </c>
      <c r="D122" s="35" t="s">
        <v>97</v>
      </c>
      <c r="E122" s="35" t="s">
        <v>100</v>
      </c>
      <c r="F122" s="35" t="s">
        <v>96</v>
      </c>
      <c r="G122" s="35" t="s">
        <v>98</v>
      </c>
      <c r="H122" s="35" t="s">
        <v>100</v>
      </c>
      <c r="I122" s="35" t="s">
        <v>96</v>
      </c>
      <c r="J122" s="35" t="s">
        <v>96</v>
      </c>
      <c r="K122" s="35" t="s">
        <v>97</v>
      </c>
    </row>
    <row r="123" spans="1:11" ht="16" customHeight="1" x14ac:dyDescent="0.2">
      <c r="A123" t="s">
        <v>17</v>
      </c>
      <c r="B123" s="35" t="s">
        <v>96</v>
      </c>
      <c r="C123" s="35" t="s">
        <v>96</v>
      </c>
      <c r="D123" s="35" t="s">
        <v>98</v>
      </c>
      <c r="E123" s="35" t="s">
        <v>99</v>
      </c>
      <c r="F123" s="35" t="s">
        <v>101</v>
      </c>
      <c r="G123" s="35" t="s">
        <v>99</v>
      </c>
      <c r="H123" s="35" t="s">
        <v>96</v>
      </c>
      <c r="I123" s="35" t="s">
        <v>96</v>
      </c>
      <c r="J123" s="35" t="s">
        <v>96</v>
      </c>
      <c r="K123" s="35" t="s">
        <v>97</v>
      </c>
    </row>
    <row r="124" spans="1:11" ht="16" customHeight="1" x14ac:dyDescent="0.2">
      <c r="A124" t="s">
        <v>18</v>
      </c>
      <c r="B124" s="35" t="s">
        <v>97</v>
      </c>
      <c r="C124" s="35" t="s">
        <v>96</v>
      </c>
      <c r="D124" s="35" t="s">
        <v>97</v>
      </c>
      <c r="E124" s="35" t="s">
        <v>97</v>
      </c>
      <c r="F124" s="35" t="s">
        <v>97</v>
      </c>
      <c r="G124" s="35" t="s">
        <v>96</v>
      </c>
      <c r="H124" s="35" t="s">
        <v>96</v>
      </c>
      <c r="I124" s="35" t="s">
        <v>98</v>
      </c>
      <c r="J124" s="35" t="s">
        <v>98</v>
      </c>
      <c r="K124" s="35" t="s">
        <v>99</v>
      </c>
    </row>
    <row r="125" spans="1:11" ht="16" customHeight="1" x14ac:dyDescent="0.2">
      <c r="A125" t="s">
        <v>19</v>
      </c>
      <c r="B125" s="35" t="s">
        <v>97</v>
      </c>
      <c r="C125" s="35" t="s">
        <v>99</v>
      </c>
      <c r="D125" s="35" t="s">
        <v>97</v>
      </c>
      <c r="E125" s="35" t="s">
        <v>97</v>
      </c>
      <c r="F125" s="35" t="s">
        <v>97</v>
      </c>
      <c r="G125" s="35" t="s">
        <v>96</v>
      </c>
      <c r="H125" s="35" t="s">
        <v>97</v>
      </c>
      <c r="I125" s="35" t="s">
        <v>96</v>
      </c>
      <c r="J125" s="35" t="s">
        <v>97</v>
      </c>
      <c r="K125" s="35" t="s">
        <v>97</v>
      </c>
    </row>
    <row r="126" spans="1:11" ht="16" customHeight="1" x14ac:dyDescent="0.2">
      <c r="A126" t="s">
        <v>20</v>
      </c>
      <c r="B126" s="35" t="s">
        <v>97</v>
      </c>
      <c r="C126" s="35" t="s">
        <v>97</v>
      </c>
      <c r="D126" s="35" t="s">
        <v>97</v>
      </c>
      <c r="E126" s="35" t="s">
        <v>97</v>
      </c>
      <c r="F126" s="35" t="s">
        <v>96</v>
      </c>
      <c r="G126" s="35" t="s">
        <v>97</v>
      </c>
      <c r="H126" s="35" t="s">
        <v>99</v>
      </c>
      <c r="I126" s="35" t="s">
        <v>99</v>
      </c>
      <c r="J126" s="35" t="s">
        <v>98</v>
      </c>
      <c r="K126" s="35" t="s">
        <v>101</v>
      </c>
    </row>
    <row r="127" spans="1:11" ht="16" customHeight="1" x14ac:dyDescent="0.2">
      <c r="A127" t="s">
        <v>21</v>
      </c>
      <c r="B127" s="35" t="s">
        <v>96</v>
      </c>
      <c r="C127" s="35" t="s">
        <v>96</v>
      </c>
      <c r="D127" s="35" t="s">
        <v>96</v>
      </c>
      <c r="E127" s="35" t="s">
        <v>96</v>
      </c>
      <c r="F127" s="35" t="s">
        <v>97</v>
      </c>
      <c r="G127" s="35" t="s">
        <v>97</v>
      </c>
      <c r="H127" s="35" t="s">
        <v>97</v>
      </c>
      <c r="I127" s="35" t="s">
        <v>99</v>
      </c>
      <c r="J127" s="35" t="s">
        <v>101</v>
      </c>
      <c r="K127" s="35" t="s">
        <v>98</v>
      </c>
    </row>
    <row r="128" spans="1:11" ht="16" customHeight="1" x14ac:dyDescent="0.2">
      <c r="A128" t="s">
        <v>22</v>
      </c>
      <c r="B128" s="35" t="s">
        <v>97</v>
      </c>
      <c r="C128" s="35" t="s">
        <v>97</v>
      </c>
      <c r="D128" s="35" t="s">
        <v>96</v>
      </c>
      <c r="E128" s="35" t="s">
        <v>96</v>
      </c>
      <c r="F128" s="35" t="s">
        <v>97</v>
      </c>
      <c r="G128" s="35" t="s">
        <v>97</v>
      </c>
      <c r="H128" s="35" t="s">
        <v>97</v>
      </c>
      <c r="I128" s="35" t="s">
        <v>96</v>
      </c>
      <c r="J128" s="35" t="s">
        <v>96</v>
      </c>
      <c r="K128" s="35" t="s">
        <v>96</v>
      </c>
    </row>
    <row r="129" spans="1:11" ht="16" customHeight="1" x14ac:dyDescent="0.2">
      <c r="A129" t="s">
        <v>23</v>
      </c>
      <c r="B129" s="35" t="s">
        <v>97</v>
      </c>
      <c r="C129" s="35" t="s">
        <v>99</v>
      </c>
      <c r="D129" s="35" t="s">
        <v>99</v>
      </c>
      <c r="E129" s="35" t="s">
        <v>96</v>
      </c>
      <c r="F129" s="35" t="s">
        <v>99</v>
      </c>
      <c r="G129" s="35" t="s">
        <v>99</v>
      </c>
      <c r="H129" s="35" t="s">
        <v>99</v>
      </c>
      <c r="I129" s="35" t="s">
        <v>96</v>
      </c>
      <c r="J129" s="35" t="s">
        <v>97</v>
      </c>
      <c r="K129" s="35" t="s">
        <v>99</v>
      </c>
    </row>
    <row r="130" spans="1:11" ht="16" customHeight="1" x14ac:dyDescent="0.2">
      <c r="A130" t="s">
        <v>24</v>
      </c>
      <c r="B130" s="35" t="s">
        <v>97</v>
      </c>
      <c r="C130" s="35" t="s">
        <v>97</v>
      </c>
      <c r="D130" s="35" t="s">
        <v>97</v>
      </c>
      <c r="E130" s="35" t="s">
        <v>97</v>
      </c>
      <c r="F130" s="35" t="s">
        <v>100</v>
      </c>
      <c r="G130" s="35" t="s">
        <v>99</v>
      </c>
      <c r="H130" s="35" t="s">
        <v>99</v>
      </c>
      <c r="I130" s="35" t="s">
        <v>96</v>
      </c>
      <c r="J130" s="35" t="s">
        <v>97</v>
      </c>
      <c r="K130" s="35" t="s">
        <v>96</v>
      </c>
    </row>
    <row r="131" spans="1:11" ht="16" customHeight="1" x14ac:dyDescent="0.2">
      <c r="A131" t="s">
        <v>25</v>
      </c>
      <c r="B131" s="35" t="s">
        <v>96</v>
      </c>
      <c r="C131" s="35" t="s">
        <v>96</v>
      </c>
      <c r="D131" s="35" t="s">
        <v>98</v>
      </c>
      <c r="E131" s="35" t="s">
        <v>96</v>
      </c>
      <c r="F131" s="35" t="s">
        <v>96</v>
      </c>
      <c r="G131" s="35" t="s">
        <v>97</v>
      </c>
      <c r="H131" s="35" t="s">
        <v>97</v>
      </c>
      <c r="I131" s="35" t="s">
        <v>97</v>
      </c>
      <c r="J131" s="35" t="s">
        <v>97</v>
      </c>
      <c r="K131" s="35" t="s">
        <v>96</v>
      </c>
    </row>
    <row r="132" spans="1:11" ht="16" customHeight="1" x14ac:dyDescent="0.2">
      <c r="A132" t="s">
        <v>26</v>
      </c>
      <c r="B132" s="35" t="s">
        <v>97</v>
      </c>
      <c r="C132" s="35" t="s">
        <v>97</v>
      </c>
      <c r="D132" s="35" t="s">
        <v>97</v>
      </c>
      <c r="E132" s="35" t="s">
        <v>97</v>
      </c>
      <c r="F132" s="35" t="s">
        <v>97</v>
      </c>
      <c r="G132" s="35" t="s">
        <v>97</v>
      </c>
      <c r="H132" s="35" t="s">
        <v>96</v>
      </c>
      <c r="I132" s="35" t="s">
        <v>97</v>
      </c>
      <c r="J132" s="35" t="s">
        <v>97</v>
      </c>
      <c r="K132" s="35" t="s">
        <v>97</v>
      </c>
    </row>
    <row r="133" spans="1:11" ht="16" customHeight="1" x14ac:dyDescent="0.2">
      <c r="A133" t="s">
        <v>27</v>
      </c>
      <c r="B133" s="35" t="s">
        <v>98</v>
      </c>
      <c r="C133" s="35" t="s">
        <v>96</v>
      </c>
      <c r="D133" s="35" t="s">
        <v>96</v>
      </c>
      <c r="E133" s="35" t="s">
        <v>97</v>
      </c>
      <c r="F133" s="35" t="s">
        <v>97</v>
      </c>
      <c r="G133" s="35" t="s">
        <v>97</v>
      </c>
      <c r="H133" s="35" t="s">
        <v>97</v>
      </c>
      <c r="I133" s="35" t="s">
        <v>97</v>
      </c>
      <c r="J133" s="35" t="s">
        <v>97</v>
      </c>
      <c r="K133" s="35" t="s">
        <v>100</v>
      </c>
    </row>
    <row r="134" spans="1:11" ht="16" customHeight="1" x14ac:dyDescent="0.2">
      <c r="A134" t="s">
        <v>28</v>
      </c>
      <c r="B134" s="35" t="s">
        <v>99</v>
      </c>
      <c r="C134" s="35" t="s">
        <v>99</v>
      </c>
      <c r="D134" s="35" t="s">
        <v>101</v>
      </c>
      <c r="E134" s="35" t="s">
        <v>99</v>
      </c>
      <c r="F134" s="35" t="s">
        <v>97</v>
      </c>
      <c r="G134" s="35" t="s">
        <v>96</v>
      </c>
      <c r="H134" s="35" t="s">
        <v>97</v>
      </c>
      <c r="I134" s="35" t="s">
        <v>97</v>
      </c>
      <c r="J134" s="35" t="s">
        <v>97</v>
      </c>
      <c r="K134" s="35" t="s">
        <v>96</v>
      </c>
    </row>
    <row r="135" spans="1:11" ht="16" customHeight="1" x14ac:dyDescent="0.2">
      <c r="A135" t="s">
        <v>29</v>
      </c>
      <c r="B135" s="35" t="s">
        <v>99</v>
      </c>
      <c r="C135" s="35" t="s">
        <v>99</v>
      </c>
      <c r="D135" s="35" t="s">
        <v>96</v>
      </c>
      <c r="E135" s="35" t="s">
        <v>96</v>
      </c>
      <c r="F135" s="35" t="s">
        <v>99</v>
      </c>
      <c r="G135" s="35" t="s">
        <v>96</v>
      </c>
      <c r="H135" s="35" t="s">
        <v>97</v>
      </c>
      <c r="I135" s="35" t="s">
        <v>97</v>
      </c>
      <c r="J135" s="35" t="s">
        <v>97</v>
      </c>
      <c r="K135" s="35" t="s">
        <v>97</v>
      </c>
    </row>
    <row r="136" spans="1:11" ht="16" customHeight="1" x14ac:dyDescent="0.2">
      <c r="A136" t="s">
        <v>30</v>
      </c>
      <c r="B136" s="35" t="s">
        <v>99</v>
      </c>
      <c r="C136" s="35" t="s">
        <v>96</v>
      </c>
      <c r="D136" s="35" t="s">
        <v>97</v>
      </c>
      <c r="E136" s="35" t="s">
        <v>97</v>
      </c>
      <c r="F136" s="35" t="s">
        <v>96</v>
      </c>
      <c r="G136" s="35" t="s">
        <v>97</v>
      </c>
      <c r="H136" s="35" t="s">
        <v>97</v>
      </c>
      <c r="I136" s="35" t="s">
        <v>97</v>
      </c>
      <c r="J136" s="35" t="s">
        <v>97</v>
      </c>
      <c r="K136" s="35" t="s">
        <v>97</v>
      </c>
    </row>
    <row r="137" spans="1:11" x14ac:dyDescent="0.2">
      <c r="B137" s="1"/>
      <c r="C137" s="1"/>
      <c r="D137" s="1"/>
      <c r="E137" s="1"/>
      <c r="F137" s="1"/>
      <c r="G137" s="1"/>
      <c r="H137" s="1"/>
      <c r="I137" s="1"/>
      <c r="J137" s="1"/>
      <c r="K137" s="1"/>
    </row>
    <row r="138" spans="1:11" x14ac:dyDescent="0.2">
      <c r="A138" s="34" t="s">
        <v>102</v>
      </c>
      <c r="B138" s="1"/>
      <c r="C138" s="1"/>
      <c r="D138" s="1"/>
      <c r="E138" s="1"/>
      <c r="F138" s="1"/>
      <c r="G138" s="1"/>
      <c r="H138" s="1"/>
      <c r="I138" s="1"/>
      <c r="J138" s="1"/>
      <c r="K138" s="1"/>
    </row>
    <row r="139" spans="1:11" x14ac:dyDescent="0.2">
      <c r="A139" s="17" t="s">
        <v>0</v>
      </c>
      <c r="B139" s="17" t="s">
        <v>81</v>
      </c>
      <c r="C139" s="17" t="s">
        <v>82</v>
      </c>
      <c r="D139" s="17" t="s">
        <v>83</v>
      </c>
      <c r="E139" s="17" t="s">
        <v>84</v>
      </c>
      <c r="F139" s="17" t="s">
        <v>85</v>
      </c>
      <c r="G139" s="17" t="s">
        <v>86</v>
      </c>
      <c r="H139" s="17" t="s">
        <v>87</v>
      </c>
      <c r="I139" s="17" t="s">
        <v>88</v>
      </c>
      <c r="J139" s="17" t="s">
        <v>89</v>
      </c>
      <c r="K139" s="17" t="s">
        <v>90</v>
      </c>
    </row>
    <row r="140" spans="1:11" x14ac:dyDescent="0.2">
      <c r="A140" t="s">
        <v>1</v>
      </c>
      <c r="B140" s="1">
        <f>INDEX($N$8:$N$13,MATCH(B107,$M$8:$M$13,0))</f>
        <v>1</v>
      </c>
      <c r="C140" s="1">
        <f t="shared" ref="C140:K140" si="33">INDEX($N$8:$N$13,MATCH(C107,$M$8:$M$13,0))</f>
        <v>0</v>
      </c>
      <c r="D140" s="1">
        <f t="shared" si="33"/>
        <v>0</v>
      </c>
      <c r="E140" s="1">
        <f t="shared" si="33"/>
        <v>0</v>
      </c>
      <c r="F140" s="1">
        <f t="shared" si="33"/>
        <v>3</v>
      </c>
      <c r="G140" s="1">
        <f t="shared" si="33"/>
        <v>1</v>
      </c>
      <c r="H140" s="1">
        <f t="shared" si="33"/>
        <v>1</v>
      </c>
      <c r="I140" s="1">
        <f t="shared" si="33"/>
        <v>0</v>
      </c>
      <c r="J140" s="1">
        <f t="shared" si="33"/>
        <v>0</v>
      </c>
      <c r="K140" s="1">
        <f t="shared" si="33"/>
        <v>1</v>
      </c>
    </row>
    <row r="141" spans="1:11" x14ac:dyDescent="0.2">
      <c r="A141" t="s">
        <v>2</v>
      </c>
      <c r="B141" s="1">
        <f t="shared" ref="B141:K141" si="34">INDEX($N$8:$N$13,MATCH(B108,$M$8:$M$13,0))</f>
        <v>3</v>
      </c>
      <c r="C141" s="1">
        <f t="shared" si="34"/>
        <v>3</v>
      </c>
      <c r="D141" s="1">
        <f t="shared" si="34"/>
        <v>2</v>
      </c>
      <c r="E141" s="1">
        <f t="shared" si="34"/>
        <v>3</v>
      </c>
      <c r="F141" s="1">
        <f t="shared" si="34"/>
        <v>1</v>
      </c>
      <c r="G141" s="1">
        <f t="shared" si="34"/>
        <v>4</v>
      </c>
      <c r="H141" s="1">
        <f t="shared" si="34"/>
        <v>3</v>
      </c>
      <c r="I141" s="1">
        <f t="shared" si="34"/>
        <v>5</v>
      </c>
      <c r="J141" s="1">
        <f t="shared" si="34"/>
        <v>2</v>
      </c>
      <c r="K141" s="1">
        <f t="shared" si="34"/>
        <v>1</v>
      </c>
    </row>
    <row r="142" spans="1:11" x14ac:dyDescent="0.2">
      <c r="A142" t="s">
        <v>3</v>
      </c>
      <c r="B142" s="1">
        <f t="shared" ref="B142:K142" si="35">INDEX($N$8:$N$13,MATCH(B109,$M$8:$M$13,0))</f>
        <v>0</v>
      </c>
      <c r="C142" s="1">
        <f t="shared" si="35"/>
        <v>0</v>
      </c>
      <c r="D142" s="1">
        <f t="shared" si="35"/>
        <v>1</v>
      </c>
      <c r="E142" s="1">
        <f t="shared" si="35"/>
        <v>1</v>
      </c>
      <c r="F142" s="1">
        <f t="shared" si="35"/>
        <v>2</v>
      </c>
      <c r="G142" s="1">
        <f t="shared" si="35"/>
        <v>1</v>
      </c>
      <c r="H142" s="1">
        <f t="shared" si="35"/>
        <v>1</v>
      </c>
      <c r="I142" s="1">
        <f t="shared" si="35"/>
        <v>0</v>
      </c>
      <c r="J142" s="1">
        <f t="shared" si="35"/>
        <v>0</v>
      </c>
      <c r="K142" s="1">
        <f t="shared" si="35"/>
        <v>0</v>
      </c>
    </row>
    <row r="143" spans="1:11" x14ac:dyDescent="0.2">
      <c r="A143" t="s">
        <v>4</v>
      </c>
      <c r="B143" s="1">
        <f t="shared" ref="B143:K143" si="36">INDEX($N$8:$N$13,MATCH(B110,$M$8:$M$13,0))</f>
        <v>0</v>
      </c>
      <c r="C143" s="1">
        <f t="shared" si="36"/>
        <v>0</v>
      </c>
      <c r="D143" s="1">
        <f t="shared" si="36"/>
        <v>0</v>
      </c>
      <c r="E143" s="1">
        <f t="shared" si="36"/>
        <v>0</v>
      </c>
      <c r="F143" s="1">
        <f t="shared" si="36"/>
        <v>0</v>
      </c>
      <c r="G143" s="1">
        <f t="shared" si="36"/>
        <v>0</v>
      </c>
      <c r="H143" s="1">
        <f t="shared" si="36"/>
        <v>0</v>
      </c>
      <c r="I143" s="1">
        <f t="shared" si="36"/>
        <v>0</v>
      </c>
      <c r="J143" s="1">
        <f t="shared" si="36"/>
        <v>0</v>
      </c>
      <c r="K143" s="1">
        <f t="shared" si="36"/>
        <v>0</v>
      </c>
    </row>
    <row r="144" spans="1:11" x14ac:dyDescent="0.2">
      <c r="A144" t="s">
        <v>5</v>
      </c>
      <c r="B144" s="1">
        <f t="shared" ref="B144:K144" si="37">INDEX($N$8:$N$13,MATCH(B111,$M$8:$M$13,0))</f>
        <v>1</v>
      </c>
      <c r="C144" s="1">
        <f t="shared" si="37"/>
        <v>0</v>
      </c>
      <c r="D144" s="1">
        <f t="shared" si="37"/>
        <v>0</v>
      </c>
      <c r="E144" s="1">
        <f t="shared" si="37"/>
        <v>0</v>
      </c>
      <c r="F144" s="1">
        <f t="shared" si="37"/>
        <v>0</v>
      </c>
      <c r="G144" s="1">
        <f t="shared" si="37"/>
        <v>1</v>
      </c>
      <c r="H144" s="1">
        <f t="shared" si="37"/>
        <v>0</v>
      </c>
      <c r="I144" s="1">
        <f t="shared" si="37"/>
        <v>0</v>
      </c>
      <c r="J144" s="1">
        <f t="shared" si="37"/>
        <v>0</v>
      </c>
      <c r="K144" s="1">
        <f t="shared" si="37"/>
        <v>0</v>
      </c>
    </row>
    <row r="145" spans="1:11" x14ac:dyDescent="0.2">
      <c r="A145" t="s">
        <v>6</v>
      </c>
      <c r="B145" s="1">
        <f t="shared" ref="B145:K145" si="38">INDEX($N$8:$N$13,MATCH(B112,$M$8:$M$13,0))</f>
        <v>4</v>
      </c>
      <c r="C145" s="1">
        <f t="shared" si="38"/>
        <v>4</v>
      </c>
      <c r="D145" s="1">
        <f t="shared" si="38"/>
        <v>0</v>
      </c>
      <c r="E145" s="1">
        <f t="shared" si="38"/>
        <v>0</v>
      </c>
      <c r="F145" s="1">
        <f t="shared" si="38"/>
        <v>0</v>
      </c>
      <c r="G145" s="1">
        <f t="shared" si="38"/>
        <v>0</v>
      </c>
      <c r="H145" s="1">
        <f t="shared" si="38"/>
        <v>1</v>
      </c>
      <c r="I145" s="1">
        <f t="shared" si="38"/>
        <v>2</v>
      </c>
      <c r="J145" s="1">
        <f t="shared" si="38"/>
        <v>2</v>
      </c>
      <c r="K145" s="1">
        <f t="shared" si="38"/>
        <v>3</v>
      </c>
    </row>
    <row r="146" spans="1:11" x14ac:dyDescent="0.2">
      <c r="A146" t="s">
        <v>7</v>
      </c>
      <c r="B146" s="1">
        <f t="shared" ref="B146:K146" si="39">INDEX($N$8:$N$13,MATCH(B113,$M$8:$M$13,0))</f>
        <v>0</v>
      </c>
      <c r="C146" s="1">
        <f t="shared" si="39"/>
        <v>0</v>
      </c>
      <c r="D146" s="1">
        <f t="shared" si="39"/>
        <v>0</v>
      </c>
      <c r="E146" s="1">
        <f t="shared" si="39"/>
        <v>1</v>
      </c>
      <c r="F146" s="1">
        <f t="shared" si="39"/>
        <v>1</v>
      </c>
      <c r="G146" s="1">
        <f t="shared" si="39"/>
        <v>3</v>
      </c>
      <c r="H146" s="1">
        <f t="shared" si="39"/>
        <v>0</v>
      </c>
      <c r="I146" s="1">
        <f t="shared" si="39"/>
        <v>4</v>
      </c>
      <c r="J146" s="1">
        <f t="shared" si="39"/>
        <v>0</v>
      </c>
      <c r="K146" s="1">
        <f t="shared" si="39"/>
        <v>0</v>
      </c>
    </row>
    <row r="147" spans="1:11" x14ac:dyDescent="0.2">
      <c r="A147" t="s">
        <v>8</v>
      </c>
      <c r="B147" s="1">
        <f t="shared" ref="B147:K147" si="40">INDEX($N$8:$N$13,MATCH(B114,$M$8:$M$13,0))</f>
        <v>0</v>
      </c>
      <c r="C147" s="1">
        <f t="shared" si="40"/>
        <v>0</v>
      </c>
      <c r="D147" s="1">
        <f t="shared" si="40"/>
        <v>2</v>
      </c>
      <c r="E147" s="1">
        <f t="shared" si="40"/>
        <v>3</v>
      </c>
      <c r="F147" s="1">
        <f t="shared" si="40"/>
        <v>2</v>
      </c>
      <c r="G147" s="1">
        <f t="shared" si="40"/>
        <v>1</v>
      </c>
      <c r="H147" s="1">
        <f t="shared" si="40"/>
        <v>5</v>
      </c>
      <c r="I147" s="1">
        <f t="shared" si="40"/>
        <v>2</v>
      </c>
      <c r="J147" s="1">
        <f t="shared" si="40"/>
        <v>2</v>
      </c>
      <c r="K147" s="1">
        <f t="shared" si="40"/>
        <v>1</v>
      </c>
    </row>
    <row r="148" spans="1:11" x14ac:dyDescent="0.2">
      <c r="A148" t="s">
        <v>9</v>
      </c>
      <c r="B148" s="1">
        <f t="shared" ref="B148:K148" si="41">INDEX($N$8:$N$13,MATCH(B115,$M$8:$M$13,0))</f>
        <v>0</v>
      </c>
      <c r="C148" s="1">
        <f t="shared" si="41"/>
        <v>0</v>
      </c>
      <c r="D148" s="1">
        <f t="shared" si="41"/>
        <v>1</v>
      </c>
      <c r="E148" s="1">
        <f t="shared" si="41"/>
        <v>0</v>
      </c>
      <c r="F148" s="1">
        <f t="shared" si="41"/>
        <v>0</v>
      </c>
      <c r="G148" s="1">
        <f t="shared" si="41"/>
        <v>0</v>
      </c>
      <c r="H148" s="1">
        <f t="shared" si="41"/>
        <v>0</v>
      </c>
      <c r="I148" s="1">
        <f t="shared" si="41"/>
        <v>0</v>
      </c>
      <c r="J148" s="1">
        <f t="shared" si="41"/>
        <v>1</v>
      </c>
      <c r="K148" s="1">
        <f t="shared" si="41"/>
        <v>2</v>
      </c>
    </row>
    <row r="149" spans="1:11" x14ac:dyDescent="0.2">
      <c r="A149" t="s">
        <v>10</v>
      </c>
      <c r="B149" s="1">
        <f t="shared" ref="B149:K149" si="42">INDEX($N$8:$N$13,MATCH(B116,$M$8:$M$13,0))</f>
        <v>5</v>
      </c>
      <c r="C149" s="1">
        <f t="shared" si="42"/>
        <v>5</v>
      </c>
      <c r="D149" s="1">
        <f t="shared" si="42"/>
        <v>4</v>
      </c>
      <c r="E149" s="1">
        <f t="shared" si="42"/>
        <v>0</v>
      </c>
      <c r="F149" s="1">
        <f t="shared" si="42"/>
        <v>0</v>
      </c>
      <c r="G149" s="1">
        <f t="shared" si="42"/>
        <v>5</v>
      </c>
      <c r="H149" s="1">
        <f t="shared" si="42"/>
        <v>2</v>
      </c>
      <c r="I149" s="1">
        <f t="shared" si="42"/>
        <v>0</v>
      </c>
      <c r="J149" s="1">
        <f t="shared" si="42"/>
        <v>2</v>
      </c>
      <c r="K149" s="1">
        <f t="shared" si="42"/>
        <v>0</v>
      </c>
    </row>
    <row r="150" spans="1:11" x14ac:dyDescent="0.2">
      <c r="A150" t="s">
        <v>11</v>
      </c>
      <c r="B150" s="1">
        <f t="shared" ref="B150:K150" si="43">INDEX($N$8:$N$13,MATCH(B117,$M$8:$M$13,0))</f>
        <v>2</v>
      </c>
      <c r="C150" s="1">
        <f t="shared" si="43"/>
        <v>3</v>
      </c>
      <c r="D150" s="1">
        <f t="shared" si="43"/>
        <v>2</v>
      </c>
      <c r="E150" s="1">
        <f t="shared" si="43"/>
        <v>2</v>
      </c>
      <c r="F150" s="1">
        <f t="shared" si="43"/>
        <v>0</v>
      </c>
      <c r="G150" s="1">
        <f t="shared" si="43"/>
        <v>0</v>
      </c>
      <c r="H150" s="1">
        <f t="shared" si="43"/>
        <v>0</v>
      </c>
      <c r="I150" s="1">
        <f t="shared" si="43"/>
        <v>0</v>
      </c>
      <c r="J150" s="1">
        <f t="shared" si="43"/>
        <v>1</v>
      </c>
      <c r="K150" s="1">
        <f t="shared" si="43"/>
        <v>1</v>
      </c>
    </row>
    <row r="151" spans="1:11" x14ac:dyDescent="0.2">
      <c r="A151" t="s">
        <v>12</v>
      </c>
      <c r="B151" s="1">
        <f t="shared" ref="B151:K151" si="44">INDEX($N$8:$N$13,MATCH(B118,$M$8:$M$13,0))</f>
        <v>1</v>
      </c>
      <c r="C151" s="1">
        <f t="shared" si="44"/>
        <v>1</v>
      </c>
      <c r="D151" s="1">
        <f t="shared" si="44"/>
        <v>1</v>
      </c>
      <c r="E151" s="1">
        <f t="shared" si="44"/>
        <v>1</v>
      </c>
      <c r="F151" s="1">
        <f t="shared" si="44"/>
        <v>0</v>
      </c>
      <c r="G151" s="1">
        <f t="shared" si="44"/>
        <v>0</v>
      </c>
      <c r="H151" s="1">
        <f t="shared" si="44"/>
        <v>0</v>
      </c>
      <c r="I151" s="1">
        <f t="shared" si="44"/>
        <v>3</v>
      </c>
      <c r="J151" s="1">
        <f t="shared" si="44"/>
        <v>4</v>
      </c>
      <c r="K151" s="1">
        <f t="shared" si="44"/>
        <v>0</v>
      </c>
    </row>
    <row r="152" spans="1:11" x14ac:dyDescent="0.2">
      <c r="A152" t="s">
        <v>13</v>
      </c>
      <c r="B152" s="1">
        <f t="shared" ref="B152:K152" si="45">INDEX($N$8:$N$13,MATCH(B119,$M$8:$M$13,0))</f>
        <v>1</v>
      </c>
      <c r="C152" s="1">
        <f t="shared" si="45"/>
        <v>0</v>
      </c>
      <c r="D152" s="1">
        <f t="shared" si="45"/>
        <v>1</v>
      </c>
      <c r="E152" s="1">
        <f t="shared" si="45"/>
        <v>2</v>
      </c>
      <c r="F152" s="1">
        <f t="shared" si="45"/>
        <v>3</v>
      </c>
      <c r="G152" s="1">
        <f t="shared" si="45"/>
        <v>0</v>
      </c>
      <c r="H152" s="1">
        <f t="shared" si="45"/>
        <v>1</v>
      </c>
      <c r="I152" s="1">
        <f t="shared" si="45"/>
        <v>1</v>
      </c>
      <c r="J152" s="1">
        <f t="shared" si="45"/>
        <v>1</v>
      </c>
      <c r="K152" s="1">
        <f t="shared" si="45"/>
        <v>0</v>
      </c>
    </row>
    <row r="153" spans="1:11" x14ac:dyDescent="0.2">
      <c r="A153" t="s">
        <v>14</v>
      </c>
      <c r="B153" s="1">
        <f t="shared" ref="B153:K153" si="46">INDEX($N$8:$N$13,MATCH(B120,$M$8:$M$13,0))</f>
        <v>0</v>
      </c>
      <c r="C153" s="1">
        <f t="shared" si="46"/>
        <v>0</v>
      </c>
      <c r="D153" s="1">
        <f t="shared" si="46"/>
        <v>0</v>
      </c>
      <c r="E153" s="1">
        <f t="shared" si="46"/>
        <v>5</v>
      </c>
      <c r="F153" s="1">
        <f t="shared" si="46"/>
        <v>1</v>
      </c>
      <c r="G153" s="1">
        <f t="shared" si="46"/>
        <v>0</v>
      </c>
      <c r="H153" s="1">
        <f t="shared" si="46"/>
        <v>3</v>
      </c>
      <c r="I153" s="1">
        <f t="shared" si="46"/>
        <v>1</v>
      </c>
      <c r="J153" s="1">
        <f t="shared" si="46"/>
        <v>1</v>
      </c>
      <c r="K153" s="1">
        <f t="shared" si="46"/>
        <v>2</v>
      </c>
    </row>
    <row r="154" spans="1:11" x14ac:dyDescent="0.2">
      <c r="A154" t="s">
        <v>15</v>
      </c>
      <c r="B154" s="1">
        <f t="shared" ref="B154:K154" si="47">INDEX($N$8:$N$13,MATCH(B121,$M$8:$M$13,0))</f>
        <v>1</v>
      </c>
      <c r="C154" s="1">
        <f t="shared" si="47"/>
        <v>0</v>
      </c>
      <c r="D154" s="1">
        <f t="shared" si="47"/>
        <v>0</v>
      </c>
      <c r="E154" s="1">
        <f t="shared" si="47"/>
        <v>0</v>
      </c>
      <c r="F154" s="1">
        <f t="shared" si="47"/>
        <v>1</v>
      </c>
      <c r="G154" s="1">
        <f t="shared" si="47"/>
        <v>2</v>
      </c>
      <c r="H154" s="1">
        <f t="shared" si="47"/>
        <v>1</v>
      </c>
      <c r="I154" s="1">
        <f t="shared" si="47"/>
        <v>0</v>
      </c>
      <c r="J154" s="1">
        <f t="shared" si="47"/>
        <v>1</v>
      </c>
      <c r="K154" s="1">
        <f t="shared" si="47"/>
        <v>0</v>
      </c>
    </row>
    <row r="155" spans="1:11" x14ac:dyDescent="0.2">
      <c r="A155" t="s">
        <v>16</v>
      </c>
      <c r="B155" s="1">
        <f t="shared" ref="B155:K155" si="48">INDEX($N$8:$N$13,MATCH(B122,$M$8:$M$13,0))</f>
        <v>0</v>
      </c>
      <c r="C155" s="1">
        <f t="shared" si="48"/>
        <v>1</v>
      </c>
      <c r="D155" s="1">
        <f t="shared" si="48"/>
        <v>0</v>
      </c>
      <c r="E155" s="1">
        <f t="shared" si="48"/>
        <v>4</v>
      </c>
      <c r="F155" s="1">
        <f t="shared" si="48"/>
        <v>1</v>
      </c>
      <c r="G155" s="1">
        <f t="shared" si="48"/>
        <v>3</v>
      </c>
      <c r="H155" s="1">
        <f t="shared" si="48"/>
        <v>4</v>
      </c>
      <c r="I155" s="1">
        <f t="shared" si="48"/>
        <v>1</v>
      </c>
      <c r="J155" s="1">
        <f t="shared" si="48"/>
        <v>1</v>
      </c>
      <c r="K155" s="1">
        <f t="shared" si="48"/>
        <v>0</v>
      </c>
    </row>
    <row r="156" spans="1:11" x14ac:dyDescent="0.2">
      <c r="A156" t="s">
        <v>17</v>
      </c>
      <c r="B156" s="1">
        <f t="shared" ref="B156:K156" si="49">INDEX($N$8:$N$13,MATCH(B123,$M$8:$M$13,0))</f>
        <v>1</v>
      </c>
      <c r="C156" s="1">
        <f t="shared" si="49"/>
        <v>1</v>
      </c>
      <c r="D156" s="1">
        <f t="shared" si="49"/>
        <v>3</v>
      </c>
      <c r="E156" s="1">
        <f t="shared" si="49"/>
        <v>2</v>
      </c>
      <c r="F156" s="1">
        <f t="shared" si="49"/>
        <v>5</v>
      </c>
      <c r="G156" s="1">
        <f t="shared" si="49"/>
        <v>2</v>
      </c>
      <c r="H156" s="1">
        <f t="shared" si="49"/>
        <v>1</v>
      </c>
      <c r="I156" s="1">
        <f t="shared" si="49"/>
        <v>1</v>
      </c>
      <c r="J156" s="1">
        <f t="shared" si="49"/>
        <v>1</v>
      </c>
      <c r="K156" s="1">
        <f t="shared" si="49"/>
        <v>0</v>
      </c>
    </row>
    <row r="157" spans="1:11" x14ac:dyDescent="0.2">
      <c r="A157" t="s">
        <v>18</v>
      </c>
      <c r="B157" s="1">
        <f t="shared" ref="B157:K157" si="50">INDEX($N$8:$N$13,MATCH(B124,$M$8:$M$13,0))</f>
        <v>0</v>
      </c>
      <c r="C157" s="1">
        <f t="shared" si="50"/>
        <v>1</v>
      </c>
      <c r="D157" s="1">
        <f t="shared" si="50"/>
        <v>0</v>
      </c>
      <c r="E157" s="1">
        <f t="shared" si="50"/>
        <v>0</v>
      </c>
      <c r="F157" s="1">
        <f t="shared" si="50"/>
        <v>0</v>
      </c>
      <c r="G157" s="1">
        <f t="shared" si="50"/>
        <v>1</v>
      </c>
      <c r="H157" s="1">
        <f t="shared" si="50"/>
        <v>1</v>
      </c>
      <c r="I157" s="1">
        <f t="shared" si="50"/>
        <v>3</v>
      </c>
      <c r="J157" s="1">
        <f t="shared" si="50"/>
        <v>3</v>
      </c>
      <c r="K157" s="1">
        <f t="shared" si="50"/>
        <v>2</v>
      </c>
    </row>
    <row r="158" spans="1:11" x14ac:dyDescent="0.2">
      <c r="A158" t="s">
        <v>19</v>
      </c>
      <c r="B158" s="1">
        <f t="shared" ref="B158:K158" si="51">INDEX($N$8:$N$13,MATCH(B125,$M$8:$M$13,0))</f>
        <v>0</v>
      </c>
      <c r="C158" s="1">
        <f t="shared" si="51"/>
        <v>2</v>
      </c>
      <c r="D158" s="1">
        <f t="shared" si="51"/>
        <v>0</v>
      </c>
      <c r="E158" s="1">
        <f t="shared" si="51"/>
        <v>0</v>
      </c>
      <c r="F158" s="1">
        <f t="shared" si="51"/>
        <v>0</v>
      </c>
      <c r="G158" s="1">
        <f t="shared" si="51"/>
        <v>1</v>
      </c>
      <c r="H158" s="1">
        <f t="shared" si="51"/>
        <v>0</v>
      </c>
      <c r="I158" s="1">
        <f t="shared" si="51"/>
        <v>1</v>
      </c>
      <c r="J158" s="1">
        <f t="shared" si="51"/>
        <v>0</v>
      </c>
      <c r="K158" s="1">
        <f t="shared" si="51"/>
        <v>0</v>
      </c>
    </row>
    <row r="159" spans="1:11" x14ac:dyDescent="0.2">
      <c r="A159" t="s">
        <v>20</v>
      </c>
      <c r="B159" s="1">
        <f t="shared" ref="B159:K159" si="52">INDEX($N$8:$N$13,MATCH(B126,$M$8:$M$13,0))</f>
        <v>0</v>
      </c>
      <c r="C159" s="1">
        <f t="shared" si="52"/>
        <v>0</v>
      </c>
      <c r="D159" s="1">
        <f t="shared" si="52"/>
        <v>0</v>
      </c>
      <c r="E159" s="1">
        <f t="shared" si="52"/>
        <v>0</v>
      </c>
      <c r="F159" s="1">
        <f t="shared" si="52"/>
        <v>1</v>
      </c>
      <c r="G159" s="1">
        <f t="shared" si="52"/>
        <v>0</v>
      </c>
      <c r="H159" s="1">
        <f t="shared" si="52"/>
        <v>2</v>
      </c>
      <c r="I159" s="1">
        <f t="shared" si="52"/>
        <v>2</v>
      </c>
      <c r="J159" s="1">
        <f t="shared" si="52"/>
        <v>3</v>
      </c>
      <c r="K159" s="1">
        <f t="shared" si="52"/>
        <v>5</v>
      </c>
    </row>
    <row r="160" spans="1:11" x14ac:dyDescent="0.2">
      <c r="A160" t="s">
        <v>21</v>
      </c>
      <c r="B160" s="1">
        <f t="shared" ref="B160:K160" si="53">INDEX($N$8:$N$13,MATCH(B127,$M$8:$M$13,0))</f>
        <v>1</v>
      </c>
      <c r="C160" s="1">
        <f t="shared" si="53"/>
        <v>1</v>
      </c>
      <c r="D160" s="1">
        <f t="shared" si="53"/>
        <v>1</v>
      </c>
      <c r="E160" s="1">
        <f t="shared" si="53"/>
        <v>1</v>
      </c>
      <c r="F160" s="1">
        <f t="shared" si="53"/>
        <v>0</v>
      </c>
      <c r="G160" s="1">
        <f t="shared" si="53"/>
        <v>0</v>
      </c>
      <c r="H160" s="1">
        <f t="shared" si="53"/>
        <v>0</v>
      </c>
      <c r="I160" s="1">
        <f t="shared" si="53"/>
        <v>2</v>
      </c>
      <c r="J160" s="1">
        <f t="shared" si="53"/>
        <v>5</v>
      </c>
      <c r="K160" s="1">
        <f t="shared" si="53"/>
        <v>3</v>
      </c>
    </row>
    <row r="161" spans="1:11" x14ac:dyDescent="0.2">
      <c r="A161" t="s">
        <v>22</v>
      </c>
      <c r="B161" s="1">
        <f t="shared" ref="B161:K161" si="54">INDEX($N$8:$N$13,MATCH(B128,$M$8:$M$13,0))</f>
        <v>0</v>
      </c>
      <c r="C161" s="1">
        <f t="shared" si="54"/>
        <v>0</v>
      </c>
      <c r="D161" s="1">
        <f t="shared" si="54"/>
        <v>1</v>
      </c>
      <c r="E161" s="1">
        <f t="shared" si="54"/>
        <v>1</v>
      </c>
      <c r="F161" s="1">
        <f t="shared" si="54"/>
        <v>0</v>
      </c>
      <c r="G161" s="1">
        <f t="shared" si="54"/>
        <v>0</v>
      </c>
      <c r="H161" s="1">
        <f t="shared" si="54"/>
        <v>0</v>
      </c>
      <c r="I161" s="1">
        <f t="shared" si="54"/>
        <v>1</v>
      </c>
      <c r="J161" s="1">
        <f t="shared" si="54"/>
        <v>1</v>
      </c>
      <c r="K161" s="1">
        <f t="shared" si="54"/>
        <v>1</v>
      </c>
    </row>
    <row r="162" spans="1:11" x14ac:dyDescent="0.2">
      <c r="A162" t="s">
        <v>23</v>
      </c>
      <c r="B162" s="1">
        <f t="shared" ref="B162:K162" si="55">INDEX($N$8:$N$13,MATCH(B129,$M$8:$M$13,0))</f>
        <v>0</v>
      </c>
      <c r="C162" s="1">
        <f t="shared" si="55"/>
        <v>2</v>
      </c>
      <c r="D162" s="1">
        <f t="shared" si="55"/>
        <v>2</v>
      </c>
      <c r="E162" s="1">
        <f t="shared" si="55"/>
        <v>1</v>
      </c>
      <c r="F162" s="1">
        <f t="shared" si="55"/>
        <v>2</v>
      </c>
      <c r="G162" s="1">
        <f t="shared" si="55"/>
        <v>2</v>
      </c>
      <c r="H162" s="1">
        <f t="shared" si="55"/>
        <v>2</v>
      </c>
      <c r="I162" s="1">
        <f t="shared" si="55"/>
        <v>1</v>
      </c>
      <c r="J162" s="1">
        <f t="shared" si="55"/>
        <v>0</v>
      </c>
      <c r="K162" s="1">
        <f t="shared" si="55"/>
        <v>2</v>
      </c>
    </row>
    <row r="163" spans="1:11" x14ac:dyDescent="0.2">
      <c r="A163" t="s">
        <v>24</v>
      </c>
      <c r="B163" s="1">
        <f t="shared" ref="B163:K163" si="56">INDEX($N$8:$N$13,MATCH(B130,$M$8:$M$13,0))</f>
        <v>0</v>
      </c>
      <c r="C163" s="1">
        <f t="shared" si="56"/>
        <v>0</v>
      </c>
      <c r="D163" s="1">
        <f t="shared" si="56"/>
        <v>0</v>
      </c>
      <c r="E163" s="1">
        <f t="shared" si="56"/>
        <v>0</v>
      </c>
      <c r="F163" s="1">
        <f t="shared" si="56"/>
        <v>4</v>
      </c>
      <c r="G163" s="1">
        <f t="shared" si="56"/>
        <v>2</v>
      </c>
      <c r="H163" s="1">
        <f t="shared" si="56"/>
        <v>2</v>
      </c>
      <c r="I163" s="1">
        <f t="shared" si="56"/>
        <v>1</v>
      </c>
      <c r="J163" s="1">
        <f t="shared" si="56"/>
        <v>0</v>
      </c>
      <c r="K163" s="1">
        <f t="shared" si="56"/>
        <v>1</v>
      </c>
    </row>
    <row r="164" spans="1:11" x14ac:dyDescent="0.2">
      <c r="A164" t="s">
        <v>25</v>
      </c>
      <c r="B164" s="1">
        <f t="shared" ref="B164:K164" si="57">INDEX($N$8:$N$13,MATCH(B131,$M$8:$M$13,0))</f>
        <v>1</v>
      </c>
      <c r="C164" s="1">
        <f t="shared" si="57"/>
        <v>1</v>
      </c>
      <c r="D164" s="1">
        <f t="shared" si="57"/>
        <v>3</v>
      </c>
      <c r="E164" s="1">
        <f t="shared" si="57"/>
        <v>1</v>
      </c>
      <c r="F164" s="1">
        <f t="shared" si="57"/>
        <v>1</v>
      </c>
      <c r="G164" s="1">
        <f t="shared" si="57"/>
        <v>0</v>
      </c>
      <c r="H164" s="1">
        <f t="shared" si="57"/>
        <v>0</v>
      </c>
      <c r="I164" s="1">
        <f t="shared" si="57"/>
        <v>0</v>
      </c>
      <c r="J164" s="1">
        <f t="shared" si="57"/>
        <v>0</v>
      </c>
      <c r="K164" s="1">
        <f t="shared" si="57"/>
        <v>1</v>
      </c>
    </row>
    <row r="165" spans="1:11" x14ac:dyDescent="0.2">
      <c r="A165" t="s">
        <v>26</v>
      </c>
      <c r="B165" s="1">
        <f t="shared" ref="B165:K165" si="58">INDEX($N$8:$N$13,MATCH(B132,$M$8:$M$13,0))</f>
        <v>0</v>
      </c>
      <c r="C165" s="1">
        <f t="shared" si="58"/>
        <v>0</v>
      </c>
      <c r="D165" s="1">
        <f t="shared" si="58"/>
        <v>0</v>
      </c>
      <c r="E165" s="1">
        <f t="shared" si="58"/>
        <v>0</v>
      </c>
      <c r="F165" s="1">
        <f t="shared" si="58"/>
        <v>0</v>
      </c>
      <c r="G165" s="1">
        <f t="shared" si="58"/>
        <v>0</v>
      </c>
      <c r="H165" s="1">
        <f t="shared" si="58"/>
        <v>1</v>
      </c>
      <c r="I165" s="1">
        <f t="shared" si="58"/>
        <v>0</v>
      </c>
      <c r="J165" s="1">
        <f t="shared" si="58"/>
        <v>0</v>
      </c>
      <c r="K165" s="1">
        <f t="shared" si="58"/>
        <v>0</v>
      </c>
    </row>
    <row r="166" spans="1:11" x14ac:dyDescent="0.2">
      <c r="A166" t="s">
        <v>27</v>
      </c>
      <c r="B166" s="1">
        <f t="shared" ref="B166:K166" si="59">INDEX($N$8:$N$13,MATCH(B133,$M$8:$M$13,0))</f>
        <v>3</v>
      </c>
      <c r="C166" s="1">
        <f t="shared" si="59"/>
        <v>1</v>
      </c>
      <c r="D166" s="1">
        <f t="shared" si="59"/>
        <v>1</v>
      </c>
      <c r="E166" s="1">
        <f t="shared" si="59"/>
        <v>0</v>
      </c>
      <c r="F166" s="1">
        <f t="shared" si="59"/>
        <v>0</v>
      </c>
      <c r="G166" s="1">
        <f t="shared" si="59"/>
        <v>0</v>
      </c>
      <c r="H166" s="1">
        <f t="shared" si="59"/>
        <v>0</v>
      </c>
      <c r="I166" s="1">
        <f t="shared" si="59"/>
        <v>0</v>
      </c>
      <c r="J166" s="1">
        <f t="shared" si="59"/>
        <v>0</v>
      </c>
      <c r="K166" s="1">
        <f t="shared" si="59"/>
        <v>4</v>
      </c>
    </row>
    <row r="167" spans="1:11" x14ac:dyDescent="0.2">
      <c r="A167" t="s">
        <v>28</v>
      </c>
      <c r="B167" s="1">
        <f t="shared" ref="B167:K167" si="60">INDEX($N$8:$N$13,MATCH(B134,$M$8:$M$13,0))</f>
        <v>2</v>
      </c>
      <c r="C167" s="1">
        <f t="shared" si="60"/>
        <v>2</v>
      </c>
      <c r="D167" s="1">
        <f t="shared" si="60"/>
        <v>5</v>
      </c>
      <c r="E167" s="1">
        <f t="shared" si="60"/>
        <v>2</v>
      </c>
      <c r="F167" s="1">
        <f t="shared" si="60"/>
        <v>0</v>
      </c>
      <c r="G167" s="1">
        <f t="shared" si="60"/>
        <v>1</v>
      </c>
      <c r="H167" s="1">
        <f t="shared" si="60"/>
        <v>0</v>
      </c>
      <c r="I167" s="1">
        <f t="shared" si="60"/>
        <v>0</v>
      </c>
      <c r="J167" s="1">
        <f t="shared" si="60"/>
        <v>0</v>
      </c>
      <c r="K167" s="1">
        <f t="shared" si="60"/>
        <v>1</v>
      </c>
    </row>
    <row r="168" spans="1:11" x14ac:dyDescent="0.2">
      <c r="A168" t="s">
        <v>29</v>
      </c>
      <c r="B168" s="1">
        <f t="shared" ref="B168:K168" si="61">INDEX($N$8:$N$13,MATCH(B135,$M$8:$M$13,0))</f>
        <v>2</v>
      </c>
      <c r="C168" s="1">
        <f t="shared" si="61"/>
        <v>2</v>
      </c>
      <c r="D168" s="1">
        <f t="shared" si="61"/>
        <v>1</v>
      </c>
      <c r="E168" s="1">
        <f t="shared" si="61"/>
        <v>1</v>
      </c>
      <c r="F168" s="1">
        <f t="shared" si="61"/>
        <v>2</v>
      </c>
      <c r="G168" s="1">
        <f t="shared" si="61"/>
        <v>1</v>
      </c>
      <c r="H168" s="1">
        <f t="shared" si="61"/>
        <v>0</v>
      </c>
      <c r="I168" s="1">
        <f t="shared" si="61"/>
        <v>0</v>
      </c>
      <c r="J168" s="1">
        <f t="shared" si="61"/>
        <v>0</v>
      </c>
      <c r="K168" s="1">
        <f t="shared" si="61"/>
        <v>0</v>
      </c>
    </row>
    <row r="169" spans="1:11" x14ac:dyDescent="0.2">
      <c r="A169" t="s">
        <v>30</v>
      </c>
      <c r="B169" s="1">
        <f t="shared" ref="B169:K169" si="62">INDEX($N$8:$N$13,MATCH(B136,$M$8:$M$13,0))</f>
        <v>2</v>
      </c>
      <c r="C169" s="1">
        <f t="shared" si="62"/>
        <v>1</v>
      </c>
      <c r="D169" s="1">
        <f t="shared" si="62"/>
        <v>0</v>
      </c>
      <c r="E169" s="1">
        <f t="shared" si="62"/>
        <v>0</v>
      </c>
      <c r="F169" s="1">
        <f t="shared" si="62"/>
        <v>1</v>
      </c>
      <c r="G169" s="1">
        <f t="shared" si="62"/>
        <v>0</v>
      </c>
      <c r="H169" s="1">
        <f t="shared" si="62"/>
        <v>0</v>
      </c>
      <c r="I169" s="1">
        <f t="shared" si="62"/>
        <v>0</v>
      </c>
      <c r="J169" s="1">
        <f t="shared" si="62"/>
        <v>0</v>
      </c>
      <c r="K169" s="1">
        <f t="shared" si="62"/>
        <v>0</v>
      </c>
    </row>
    <row r="170" spans="1:11" x14ac:dyDescent="0.2">
      <c r="B170" s="1"/>
      <c r="C170" s="1"/>
      <c r="D170" s="1"/>
      <c r="E170" s="1"/>
      <c r="F170" s="1"/>
      <c r="G170" s="1"/>
      <c r="H170" s="1"/>
      <c r="I170" s="1"/>
      <c r="J170" s="1"/>
      <c r="K170" s="1"/>
    </row>
    <row r="171" spans="1:11" x14ac:dyDescent="0.2">
      <c r="A171" s="34" t="s">
        <v>103</v>
      </c>
      <c r="B171" s="1"/>
      <c r="C171" s="1"/>
      <c r="D171" s="1"/>
      <c r="E171" s="1"/>
      <c r="F171" s="1"/>
      <c r="G171" s="1"/>
      <c r="H171" s="1"/>
      <c r="I171" s="1"/>
      <c r="J171" s="1"/>
      <c r="K171" s="1"/>
    </row>
    <row r="172" spans="1:11" x14ac:dyDescent="0.2">
      <c r="A172" s="17" t="s">
        <v>0</v>
      </c>
      <c r="B172" s="17" t="s">
        <v>81</v>
      </c>
      <c r="C172" s="17" t="s">
        <v>82</v>
      </c>
      <c r="D172" s="17" t="s">
        <v>83</v>
      </c>
      <c r="E172" s="17" t="s">
        <v>84</v>
      </c>
      <c r="F172" s="17" t="s">
        <v>85</v>
      </c>
      <c r="G172" s="17" t="s">
        <v>86</v>
      </c>
      <c r="H172" s="17" t="s">
        <v>87</v>
      </c>
      <c r="I172" s="17" t="s">
        <v>88</v>
      </c>
      <c r="J172" s="17" t="s">
        <v>89</v>
      </c>
      <c r="K172" s="17" t="s">
        <v>90</v>
      </c>
    </row>
    <row r="173" spans="1:11" x14ac:dyDescent="0.2">
      <c r="A173" t="s">
        <v>1</v>
      </c>
      <c r="B173" s="36">
        <f>IF(ISNUMBER('NBA Valuations'!C5),'NBA Valuations'!C5/'NBA Valuations'!B5-1,"n/a")</f>
        <v>0.35593220338983045</v>
      </c>
      <c r="C173" s="36">
        <f>IF(ISNUMBER('NBA Valuations'!D5),'NBA Valuations'!D5/'NBA Valuations'!C5-1,"n/a")</f>
        <v>8.3333333333333259E-2</v>
      </c>
      <c r="D173" s="36">
        <f>IF(ISNUMBER('NBA Valuations'!E5),'NBA Valuations'!E5/'NBA Valuations'!D5-1,"n/a")</f>
        <v>0.15384615384615374</v>
      </c>
      <c r="E173" s="36">
        <f>IF(ISNUMBER('NBA Valuations'!F5),'NBA Valuations'!F5/'NBA Valuations'!E5-1,"n/a")</f>
        <v>1.3333333333333419E-2</v>
      </c>
      <c r="F173" s="36">
        <f>IF(ISNUMBER('NBA Valuations'!G5),'NBA Valuations'!G5/'NBA Valuations'!F5-1,"n/a")</f>
        <v>0.10526315789473695</v>
      </c>
      <c r="G173" s="36">
        <f>IF(ISNUMBER('NBA Valuations'!H5),'NBA Valuations'!H5/'NBA Valuations'!G5-1,"n/a")</f>
        <v>0.17559523809523814</v>
      </c>
      <c r="H173" s="36">
        <f>IF(ISNUMBER('NBA Valuations'!I5),'NBA Valuations'!I5/'NBA Valuations'!H5-1,"n/a")</f>
        <v>0.68101265822784818</v>
      </c>
      <c r="I173" s="36">
        <f>IF(ISNUMBER('NBA Valuations'!J5),'NBA Valuations'!J5/'NBA Valuations'!I5-1,"n/a")</f>
        <v>0.14457831325301207</v>
      </c>
      <c r="J173" s="36">
        <f>IF(ISNUMBER('NBA Valuations'!K5),'NBA Valuations'!K5/'NBA Valuations'!J5-1,"n/a")</f>
        <v>0.31578947368421062</v>
      </c>
      <c r="K173" s="36" t="s">
        <v>52</v>
      </c>
    </row>
    <row r="174" spans="1:11" x14ac:dyDescent="0.2">
      <c r="A174" t="s">
        <v>2</v>
      </c>
      <c r="B174" s="36">
        <f>IF(ISNUMBER('NBA Valuations'!C6),'NBA Valuations'!C6/'NBA Valuations'!B6-1,"n/a")</f>
        <v>0.13636363636363646</v>
      </c>
      <c r="C174" s="36">
        <f>IF(ISNUMBER('NBA Valuations'!D6),'NBA Valuations'!D6/'NBA Valuations'!C6-1,"n/a")</f>
        <v>0.12000000000000011</v>
      </c>
      <c r="D174" s="36">
        <f>IF(ISNUMBER('NBA Valuations'!E6),'NBA Valuations'!E6/'NBA Valuations'!D6-1,"n/a")</f>
        <v>0.10714285714285721</v>
      </c>
      <c r="E174" s="36">
        <f>IF(ISNUMBER('NBA Valuations'!F6),'NBA Valuations'!F6/'NBA Valuations'!E6-1,"n/a")</f>
        <v>3.2258064516129004E-2</v>
      </c>
      <c r="F174" s="36">
        <f>IF(ISNUMBER('NBA Valuations'!G6),'NBA Valuations'!G6/'NBA Valuations'!F6-1,"n/a")</f>
        <v>0.109375</v>
      </c>
      <c r="G174" s="36">
        <f>IF(ISNUMBER('NBA Valuations'!H6),'NBA Valuations'!H6/'NBA Valuations'!G6-1,"n/a")</f>
        <v>0.12676056338028174</v>
      </c>
      <c r="H174" s="36">
        <f>IF(ISNUMBER('NBA Valuations'!I6),'NBA Valuations'!I6/'NBA Valuations'!H6-1,"n/a")</f>
        <v>0.17500000000000004</v>
      </c>
      <c r="I174" s="36">
        <f>IF(ISNUMBER('NBA Valuations'!J6),'NBA Valuations'!J6/'NBA Valuations'!I6-1,"n/a")</f>
        <v>0.27659574468085113</v>
      </c>
      <c r="J174" s="36">
        <f>IF(ISNUMBER('NBA Valuations'!K6),'NBA Valuations'!K6/'NBA Valuations'!J6-1,"n/a")</f>
        <v>0.1166666666666667</v>
      </c>
      <c r="K174" s="36" t="s">
        <v>52</v>
      </c>
    </row>
    <row r="175" spans="1:11" x14ac:dyDescent="0.2">
      <c r="A175" t="s">
        <v>3</v>
      </c>
      <c r="B175" s="36">
        <f>IF(ISNUMBER('NBA Valuations'!C7),'NBA Valuations'!C7/'NBA Valuations'!B7-1,"n/a")</f>
        <v>0.27777777777777768</v>
      </c>
      <c r="C175" s="36">
        <f>IF(ISNUMBER('NBA Valuations'!D7),'NBA Valuations'!D7/'NBA Valuations'!C7-1,"n/a")</f>
        <v>4.3478260869565188E-2</v>
      </c>
      <c r="D175" s="36">
        <f>IF(ISNUMBER('NBA Valuations'!E7),'NBA Valuations'!E7/'NBA Valuations'!D7-1,"n/a")</f>
        <v>4.1666666666666741E-2</v>
      </c>
      <c r="E175" s="36">
        <f>IF(ISNUMBER('NBA Valuations'!F7),'NBA Valuations'!F7/'NBA Valuations'!E7-1,"n/a")</f>
        <v>6.0000000000000053E-2</v>
      </c>
      <c r="F175" s="36">
        <f>IF(ISNUMBER('NBA Valuations'!G7),'NBA Valuations'!G7/'NBA Valuations'!F7-1,"n/a")</f>
        <v>0.20754716981132071</v>
      </c>
      <c r="G175" s="36">
        <f>IF(ISNUMBER('NBA Valuations'!H7),'NBA Valuations'!H7/'NBA Valuations'!G7-1,"n/a")</f>
        <v>9.375E-2</v>
      </c>
      <c r="H175" s="36">
        <f>IF(ISNUMBER('NBA Valuations'!I7),'NBA Valuations'!I7/'NBA Valuations'!H7-1,"n/a")</f>
        <v>0.10000000000000009</v>
      </c>
      <c r="I175" s="36">
        <f>IF(ISNUMBER('NBA Valuations'!J7),'NBA Valuations'!J7/'NBA Valuations'!I7-1,"n/a")</f>
        <v>0.24675324675324672</v>
      </c>
      <c r="J175" s="36">
        <f>IF(ISNUMBER('NBA Valuations'!K7),'NBA Valuations'!K7/'NBA Valuations'!J7-1,"n/a")</f>
        <v>0.16666666666666674</v>
      </c>
      <c r="K175" s="36" t="s">
        <v>52</v>
      </c>
    </row>
    <row r="176" spans="1:11" x14ac:dyDescent="0.2">
      <c r="A176" t="s">
        <v>4</v>
      </c>
      <c r="B176" s="36">
        <f>IF(ISNUMBER('NBA Valuations'!C8),'NBA Valuations'!C8/'NBA Valuations'!B8-1,"n/a")</f>
        <v>0.41025641025641035</v>
      </c>
      <c r="C176" s="36">
        <f>IF(ISNUMBER('NBA Valuations'!D8),'NBA Valuations'!D8/'NBA Valuations'!C8-1,"n/a")</f>
        <v>0.18181818181818188</v>
      </c>
      <c r="D176" s="36">
        <f>IF(ISNUMBER('NBA Valuations'!E8),'NBA Valuations'!E8/'NBA Valuations'!D8-1,"n/a")</f>
        <v>0.15384615384615374</v>
      </c>
      <c r="E176" s="36">
        <f>IF(ISNUMBER('NBA Valuations'!F8),'NBA Valuations'!F8/'NBA Valuations'!E8-1,"n/a")</f>
        <v>0</v>
      </c>
      <c r="F176" s="36">
        <f>IF(ISNUMBER('NBA Valuations'!G8),'NBA Valuations'!G8/'NBA Valuations'!F8-1,"n/a")</f>
        <v>5.0000000000000044E-2</v>
      </c>
      <c r="G176" s="36">
        <f>IF(ISNUMBER('NBA Valuations'!H8),'NBA Valuations'!H8/'NBA Valuations'!G8-1,"n/a")</f>
        <v>7.9365079365079305E-2</v>
      </c>
      <c r="H176" s="36">
        <f>IF(ISNUMBER('NBA Valuations'!I8),'NBA Valuations'!I8/'NBA Valuations'!H8-1,"n/a")</f>
        <v>0.76470588235294112</v>
      </c>
      <c r="I176" s="36">
        <f>IF(ISNUMBER('NBA Valuations'!J8),'NBA Valuations'!J8/'NBA Valuations'!I8-1,"n/a")</f>
        <v>0.10000000000000009</v>
      </c>
      <c r="J176" s="36">
        <f>IF(ISNUMBER('NBA Valuations'!K8),'NBA Valuations'!K8/'NBA Valuations'!J8-1,"n/a")</f>
        <v>0.1515151515151516</v>
      </c>
      <c r="K176" s="36" t="s">
        <v>52</v>
      </c>
    </row>
    <row r="177" spans="1:11" x14ac:dyDescent="0.2">
      <c r="A177" t="s">
        <v>5</v>
      </c>
      <c r="B177" s="36">
        <f>IF(ISNUMBER('NBA Valuations'!C9),'NBA Valuations'!C9/'NBA Valuations'!B9-1,"n/a")</f>
        <v>4.0000000000000036E-2</v>
      </c>
      <c r="C177" s="36">
        <f>IF(ISNUMBER('NBA Valuations'!D9),'NBA Valuations'!D9/'NBA Valuations'!C9-1,"n/a")</f>
        <v>0.11538461538461542</v>
      </c>
      <c r="D177" s="36">
        <f>IF(ISNUMBER('NBA Valuations'!E9),'NBA Valuations'!E9/'NBA Valuations'!D9-1,"n/a")</f>
        <v>0.10344827586206895</v>
      </c>
      <c r="E177" s="36">
        <f>IF(ISNUMBER('NBA Valuations'!F9),'NBA Valuations'!F9/'NBA Valuations'!E9-1,"n/a")</f>
        <v>3.125E-2</v>
      </c>
      <c r="F177" s="36">
        <f>IF(ISNUMBER('NBA Valuations'!G9),'NBA Valuations'!G9/'NBA Valuations'!F9-1,"n/a")</f>
        <v>0.10606060606060597</v>
      </c>
      <c r="G177" s="36">
        <f>IF(ISNUMBER('NBA Valuations'!H9),'NBA Valuations'!H9/'NBA Valuations'!G9-1,"n/a")</f>
        <v>0.12328767123287676</v>
      </c>
      <c r="H177" s="36">
        <f>IF(ISNUMBER('NBA Valuations'!I9),'NBA Valuations'!I9/'NBA Valuations'!H9-1,"n/a")</f>
        <v>0.12195121951219523</v>
      </c>
      <c r="I177" s="36">
        <f>IF(ISNUMBER('NBA Valuations'!J9),'NBA Valuations'!J9/'NBA Valuations'!I9-1,"n/a")</f>
        <v>8.6956521739130377E-2</v>
      </c>
      <c r="J177" s="36">
        <f>IF(ISNUMBER('NBA Valuations'!K9),'NBA Valuations'!K9/'NBA Valuations'!J9-1,"n/a")</f>
        <v>0.19999999999999996</v>
      </c>
      <c r="K177" s="36" t="s">
        <v>52</v>
      </c>
    </row>
    <row r="178" spans="1:11" x14ac:dyDescent="0.2">
      <c r="A178" t="s">
        <v>6</v>
      </c>
      <c r="B178" s="36">
        <f>IF(ISNUMBER('NBA Valuations'!C10),'NBA Valuations'!C10/'NBA Valuations'!B10-1,"n/a")</f>
        <v>8.3333333333333259E-2</v>
      </c>
      <c r="C178" s="36">
        <f>IF(ISNUMBER('NBA Valuations'!D10),'NBA Valuations'!D10/'NBA Valuations'!C10-1,"n/a")</f>
        <v>0</v>
      </c>
      <c r="D178" s="36">
        <f>IF(ISNUMBER('NBA Valuations'!E10),'NBA Valuations'!E10/'NBA Valuations'!D10-1,"n/a")</f>
        <v>0.15384615384615374</v>
      </c>
      <c r="E178" s="36">
        <f>IF(ISNUMBER('NBA Valuations'!F10),'NBA Valuations'!F10/'NBA Valuations'!E10-1,"n/a")</f>
        <v>4.0000000000000036E-2</v>
      </c>
      <c r="F178" s="36">
        <f>IF(ISNUMBER('NBA Valuations'!G10),'NBA Valuations'!G10/'NBA Valuations'!F10-1,"n/a")</f>
        <v>5.7692307692307709E-2</v>
      </c>
      <c r="G178" s="36">
        <f>IF(ISNUMBER('NBA Valuations'!H10),'NBA Valuations'!H10/'NBA Valuations'!G10-1,"n/a")</f>
        <v>0.24242424242424243</v>
      </c>
      <c r="H178" s="36">
        <f>IF(ISNUMBER('NBA Valuations'!I10),'NBA Valuations'!I10/'NBA Valuations'!H10-1,"n/a")</f>
        <v>0.63414634146341453</v>
      </c>
      <c r="I178" s="36">
        <f>IF(ISNUMBER('NBA Valuations'!J10),'NBA Valuations'!J10/'NBA Valuations'!I10-1,"n/a")</f>
        <v>0.17910447761194037</v>
      </c>
      <c r="J178" s="36">
        <f>IF(ISNUMBER('NBA Valuations'!K10),'NBA Valuations'!K10/'NBA Valuations'!J10-1,"n/a")</f>
        <v>0.21518987341772156</v>
      </c>
      <c r="K178" s="36" t="s">
        <v>52</v>
      </c>
    </row>
    <row r="179" spans="1:11" x14ac:dyDescent="0.2">
      <c r="A179" t="s">
        <v>7</v>
      </c>
      <c r="B179" s="36">
        <f>IF(ISNUMBER('NBA Valuations'!C11),'NBA Valuations'!C11/'NBA Valuations'!B11-1,"n/a")</f>
        <v>0.26666666666666661</v>
      </c>
      <c r="C179" s="36">
        <f>IF(ISNUMBER('NBA Valuations'!D11),'NBA Valuations'!D11/'NBA Valuations'!C11-1,"n/a")</f>
        <v>0.21052631578947367</v>
      </c>
      <c r="D179" s="36">
        <f>IF(ISNUMBER('NBA Valuations'!E11),'NBA Valuations'!E11/'NBA Valuations'!D11-1,"n/a")</f>
        <v>4.3478260869565188E-2</v>
      </c>
      <c r="E179" s="36">
        <f>IF(ISNUMBER('NBA Valuations'!F11),'NBA Valuations'!F11/'NBA Valuations'!E11-1,"n/a")</f>
        <v>2.0833333333333259E-2</v>
      </c>
      <c r="F179" s="36">
        <f>IF(ISNUMBER('NBA Valuations'!G11),'NBA Valuations'!G11/'NBA Valuations'!F11-1,"n/a")</f>
        <v>0.1020408163265305</v>
      </c>
      <c r="G179" s="36">
        <f>IF(ISNUMBER('NBA Valuations'!H11),'NBA Valuations'!H11/'NBA Valuations'!G11-1,"n/a")</f>
        <v>0.22222222222222232</v>
      </c>
      <c r="H179" s="36">
        <f>IF(ISNUMBER('NBA Valuations'!I11),'NBA Valuations'!I11/'NBA Valuations'!H11-1,"n/a")</f>
        <v>0.36363636363636354</v>
      </c>
      <c r="I179" s="36">
        <f>IF(ISNUMBER('NBA Valuations'!J11),'NBA Valuations'!J11/'NBA Valuations'!I11-1,"n/a")</f>
        <v>4.4444444444444509E-2</v>
      </c>
      <c r="J179" s="36">
        <f>IF(ISNUMBER('NBA Valuations'!K11),'NBA Valuations'!K11/'NBA Valuations'!J11-1,"n/a")</f>
        <v>8.5106382978723305E-2</v>
      </c>
      <c r="K179" s="36" t="s">
        <v>52</v>
      </c>
    </row>
    <row r="180" spans="1:11" x14ac:dyDescent="0.2">
      <c r="A180" t="s">
        <v>8</v>
      </c>
      <c r="B180" s="36">
        <f>IF(ISNUMBER('NBA Valuations'!C12),'NBA Valuations'!C12/'NBA Valuations'!B12-1,"n/a")</f>
        <v>0.23595505617977519</v>
      </c>
      <c r="C180" s="36">
        <f>IF(ISNUMBER('NBA Valuations'!D12),'NBA Valuations'!D12/'NBA Valuations'!C12-1,"n/a")</f>
        <v>0.27272727272727271</v>
      </c>
      <c r="D180" s="36">
        <f>IF(ISNUMBER('NBA Valuations'!E12),'NBA Valuations'!E12/'NBA Valuations'!D12-1,"n/a")</f>
        <v>0.14285714285714279</v>
      </c>
      <c r="E180" s="36">
        <f>IF(ISNUMBER('NBA Valuations'!F12),'NBA Valuations'!F12/'NBA Valuations'!E12-1,"n/a")</f>
        <v>3.125E-2</v>
      </c>
      <c r="F180" s="36">
        <f>IF(ISNUMBER('NBA Valuations'!G12),'NBA Valuations'!G12/'NBA Valuations'!F12-1,"n/a")</f>
        <v>4.8484848484848575E-2</v>
      </c>
      <c r="G180" s="36">
        <f>IF(ISNUMBER('NBA Valuations'!H12),'NBA Valuations'!H12/'NBA Valuations'!G12-1,"n/a")</f>
        <v>0.11560693641618491</v>
      </c>
      <c r="H180" s="36">
        <f>IF(ISNUMBER('NBA Valuations'!I12),'NBA Valuations'!I12/'NBA Valuations'!H12-1,"n/a")</f>
        <v>0.74611398963730569</v>
      </c>
      <c r="I180" s="36">
        <f>IF(ISNUMBER('NBA Valuations'!J12),'NBA Valuations'!J12/'NBA Valuations'!I12-1,"n/a")</f>
        <v>0.15727002967359049</v>
      </c>
      <c r="J180" s="36">
        <f>IF(ISNUMBER('NBA Valuations'!K12),'NBA Valuations'!K12/'NBA Valuations'!J12-1,"n/a")</f>
        <v>0.17948717948717952</v>
      </c>
      <c r="K180" s="36" t="s">
        <v>52</v>
      </c>
    </row>
    <row r="181" spans="1:11" x14ac:dyDescent="0.2">
      <c r="A181" t="s">
        <v>9</v>
      </c>
      <c r="B181" s="36">
        <f>IF(ISNUMBER('NBA Valuations'!C13),'NBA Valuations'!C13/'NBA Valuations'!B13-1,"n/a")</f>
        <v>0.22222222222222232</v>
      </c>
      <c r="C181" s="36">
        <f>IF(ISNUMBER('NBA Valuations'!D13),'NBA Valuations'!D13/'NBA Valuations'!C13-1,"n/a")</f>
        <v>0.18181818181818188</v>
      </c>
      <c r="D181" s="36">
        <f>IF(ISNUMBER('NBA Valuations'!E13),'NBA Valuations'!E13/'NBA Valuations'!D13-1,"n/a")</f>
        <v>0.15384615384615374</v>
      </c>
      <c r="E181" s="36">
        <f>IF(ISNUMBER('NBA Valuations'!F13),'NBA Valuations'!F13/'NBA Valuations'!E13-1,"n/a")</f>
        <v>-3.3333333333333326E-2</v>
      </c>
      <c r="F181" s="36">
        <f>IF(ISNUMBER('NBA Valuations'!G13),'NBA Valuations'!G13/'NBA Valuations'!F13-1,"n/a")</f>
        <v>8.9655172413793061E-2</v>
      </c>
      <c r="G181" s="36">
        <f>IF(ISNUMBER('NBA Valuations'!H13),'NBA Valuations'!H13/'NBA Valuations'!G13-1,"n/a")</f>
        <v>0.20253164556962022</v>
      </c>
      <c r="H181" s="36">
        <f>IF(ISNUMBER('NBA Valuations'!I13),'NBA Valuations'!I13/'NBA Valuations'!H13-1,"n/a")</f>
        <v>0.61578947368421044</v>
      </c>
      <c r="I181" s="36">
        <f>IF(ISNUMBER('NBA Valuations'!J13),'NBA Valuations'!J13/'NBA Valuations'!I13-1,"n/a")</f>
        <v>0.10749185667752448</v>
      </c>
      <c r="J181" s="36">
        <f>IF(ISNUMBER('NBA Valuations'!K13),'NBA Valuations'!K13/'NBA Valuations'!J13-1,"n/a")</f>
        <v>7.3529411764705843E-2</v>
      </c>
      <c r="K181" s="36" t="s">
        <v>52</v>
      </c>
    </row>
    <row r="182" spans="1:11" x14ac:dyDescent="0.2">
      <c r="A182" t="s">
        <v>10</v>
      </c>
      <c r="B182" s="36">
        <f>IF(ISNUMBER('NBA Valuations'!C14),'NBA Valuations'!C14/'NBA Valuations'!B14-1,"n/a")</f>
        <v>0.19230769230769229</v>
      </c>
      <c r="C182" s="36">
        <f>IF(ISNUMBER('NBA Valuations'!D14),'NBA Valuations'!D14/'NBA Valuations'!C14-1,"n/a")</f>
        <v>0.12903225806451624</v>
      </c>
      <c r="D182" s="36">
        <f>IF(ISNUMBER('NBA Valuations'!E14),'NBA Valuations'!E14/'NBA Valuations'!D14-1,"n/a")</f>
        <v>0.22857142857142865</v>
      </c>
      <c r="E182" s="36">
        <f>IF(ISNUMBER('NBA Valuations'!F14),'NBA Valuations'!F14/'NBA Valuations'!E14-1,"n/a")</f>
        <v>9.3023255813953432E-2</v>
      </c>
      <c r="F182" s="36">
        <f>IF(ISNUMBER('NBA Valuations'!G14),'NBA Valuations'!G14/'NBA Valuations'!F14-1,"n/a")</f>
        <v>0.1914893617021276</v>
      </c>
      <c r="G182" s="36">
        <f>IF(ISNUMBER('NBA Valuations'!H14),'NBA Valuations'!H14/'NBA Valuations'!G14-1,"n/a")</f>
        <v>0.25</v>
      </c>
      <c r="H182" s="36">
        <f>IF(ISNUMBER('NBA Valuations'!I14),'NBA Valuations'!I14/'NBA Valuations'!H14-1,"n/a")</f>
        <v>0.10000000000000009</v>
      </c>
      <c r="I182" s="36">
        <f>IF(ISNUMBER('NBA Valuations'!J14),'NBA Valuations'!J14/'NBA Valuations'!I14-1,"n/a")</f>
        <v>0.14285714285714279</v>
      </c>
      <c r="J182" s="36">
        <f>IF(ISNUMBER('NBA Valuations'!K14),'NBA Valuations'!K14/'NBA Valuations'!J14-1,"n/a")</f>
        <v>0.25</v>
      </c>
      <c r="K182" s="36" t="s">
        <v>52</v>
      </c>
    </row>
    <row r="183" spans="1:11" x14ac:dyDescent="0.2">
      <c r="A183" t="s">
        <v>11</v>
      </c>
      <c r="B183" s="36">
        <f>IF(ISNUMBER('NBA Valuations'!C15),'NBA Valuations'!C15/'NBA Valuations'!B15-1,"n/a")</f>
        <v>0.29411764705882359</v>
      </c>
      <c r="C183" s="36">
        <f>IF(ISNUMBER('NBA Valuations'!D15),'NBA Valuations'!D15/'NBA Valuations'!C15-1,"n/a")</f>
        <v>4.5454545454545414E-2</v>
      </c>
      <c r="D183" s="36">
        <f>IF(ISNUMBER('NBA Valuations'!E15),'NBA Valuations'!E15/'NBA Valuations'!D15-1,"n/a")</f>
        <v>8.6956521739130377E-2</v>
      </c>
      <c r="E183" s="36">
        <f>IF(ISNUMBER('NBA Valuations'!F15),'NBA Valuations'!F15/'NBA Valuations'!E15-1,"n/a")</f>
        <v>0</v>
      </c>
      <c r="F183" s="36">
        <f>IF(ISNUMBER('NBA Valuations'!G15),'NBA Valuations'!G15/'NBA Valuations'!F15-1,"n/a")</f>
        <v>0.10000000000000009</v>
      </c>
      <c r="G183" s="36">
        <f>IF(ISNUMBER('NBA Valuations'!H15),'NBA Valuations'!H15/'NBA Valuations'!G15-1,"n/a")</f>
        <v>0.16363636363636358</v>
      </c>
      <c r="H183" s="36">
        <f>IF(ISNUMBER('NBA Valuations'!I15),'NBA Valuations'!I15/'NBA Valuations'!H15-1,"n/a")</f>
        <v>0.375</v>
      </c>
      <c r="I183" s="36">
        <f>IF(ISNUMBER('NBA Valuations'!J15),'NBA Valuations'!J15/'NBA Valuations'!I15-1,"n/a")</f>
        <v>0.11363636363636354</v>
      </c>
      <c r="J183" s="36">
        <f>IF(ISNUMBER('NBA Valuations'!K15),'NBA Valuations'!K15/'NBA Valuations'!J15-1,"n/a")</f>
        <v>0.20408163265306123</v>
      </c>
      <c r="K183" s="36" t="s">
        <v>52</v>
      </c>
    </row>
    <row r="184" spans="1:11" x14ac:dyDescent="0.2">
      <c r="A184" t="s">
        <v>12</v>
      </c>
      <c r="B184" s="36">
        <f>IF(ISNUMBER('NBA Valuations'!C16),'NBA Valuations'!C16/'NBA Valuations'!B16-1,"n/a")</f>
        <v>0.36363636363636354</v>
      </c>
      <c r="C184" s="36">
        <f>IF(ISNUMBER('NBA Valuations'!D16),'NBA Valuations'!D16/'NBA Valuations'!C16-1,"n/a")</f>
        <v>0.16666666666666674</v>
      </c>
      <c r="D184" s="36">
        <f>IF(ISNUMBER('NBA Valuations'!E16),'NBA Valuations'!E16/'NBA Valuations'!D16-1,"n/a")</f>
        <v>7.1428571428571397E-2</v>
      </c>
      <c r="E184" s="36">
        <f>IF(ISNUMBER('NBA Valuations'!F16),'NBA Valuations'!F16/'NBA Valuations'!E16-1,"n/a")</f>
        <v>3.3333333333333437E-2</v>
      </c>
      <c r="F184" s="36">
        <f>IF(ISNUMBER('NBA Valuations'!G16),'NBA Valuations'!G16/'NBA Valuations'!F16-1,"n/a")</f>
        <v>7.7419354838709653E-2</v>
      </c>
      <c r="G184" s="36">
        <f>IF(ISNUMBER('NBA Valuations'!H16),'NBA Valuations'!H16/'NBA Valuations'!G16-1,"n/a")</f>
        <v>7.7844311377245567E-2</v>
      </c>
      <c r="H184" s="36">
        <f>IF(ISNUMBER('NBA Valuations'!I16),'NBA Valuations'!I16/'NBA Valuations'!H16-1,"n/a")</f>
        <v>0.61111111111111116</v>
      </c>
      <c r="I184" s="36">
        <f>IF(ISNUMBER('NBA Valuations'!J16),'NBA Valuations'!J16/'NBA Valuations'!I16-1,"n/a")</f>
        <v>0.24137931034482762</v>
      </c>
      <c r="J184" s="36">
        <f>IF(ISNUMBER('NBA Valuations'!K16),'NBA Valuations'!K16/'NBA Valuations'!J16-1,"n/a")</f>
        <v>0.16666666666666674</v>
      </c>
      <c r="K184" s="36" t="s">
        <v>52</v>
      </c>
    </row>
    <row r="185" spans="1:11" x14ac:dyDescent="0.2">
      <c r="A185" t="s">
        <v>13</v>
      </c>
      <c r="B185" s="36">
        <f>IF(ISNUMBER('NBA Valuations'!C17),'NBA Valuations'!C17/'NBA Valuations'!B17-1,"n/a")</f>
        <v>0.10000000000000009</v>
      </c>
      <c r="C185" s="36">
        <f>IF(ISNUMBER('NBA Valuations'!D17),'NBA Valuations'!D17/'NBA Valuations'!C17-1,"n/a")</f>
        <v>0</v>
      </c>
      <c r="D185" s="36">
        <f>IF(ISNUMBER('NBA Valuations'!E17),'NBA Valuations'!E17/'NBA Valuations'!D17-1,"n/a")</f>
        <v>0.18181818181818188</v>
      </c>
      <c r="E185" s="36">
        <f>IF(ISNUMBER('NBA Valuations'!F17),'NBA Valuations'!F17/'NBA Valuations'!E17-1,"n/a")</f>
        <v>5.7692307692307709E-2</v>
      </c>
      <c r="F185" s="36">
        <f>IF(ISNUMBER('NBA Valuations'!G17),'NBA Valuations'!G17/'NBA Valuations'!F17-1,"n/a")</f>
        <v>0.19999999999999996</v>
      </c>
      <c r="G185" s="36">
        <f>IF(ISNUMBER('NBA Valuations'!H17),'NBA Valuations'!H17/'NBA Valuations'!G17-1,"n/a")</f>
        <v>0.18181818181818188</v>
      </c>
      <c r="H185" s="36">
        <f>IF(ISNUMBER('NBA Valuations'!I17),'NBA Valuations'!I17/'NBA Valuations'!H17-1,"n/a")</f>
        <v>0.19230769230769229</v>
      </c>
      <c r="I185" s="36">
        <f>IF(ISNUMBER('NBA Valuations'!J17),'NBA Valuations'!J17/'NBA Valuations'!I17-1,"n/a")</f>
        <v>0.18279569892473124</v>
      </c>
      <c r="J185" s="36">
        <f>IF(ISNUMBER('NBA Valuations'!K17),'NBA Valuations'!K17/'NBA Valuations'!J17-1,"n/a")</f>
        <v>0.36363636363636354</v>
      </c>
      <c r="K185" s="36" t="s">
        <v>52</v>
      </c>
    </row>
    <row r="186" spans="1:11" x14ac:dyDescent="0.2">
      <c r="A186" t="s">
        <v>14</v>
      </c>
      <c r="B186" s="36">
        <f>IF(ISNUMBER('NBA Valuations'!C18),'NBA Valuations'!C18/'NBA Valuations'!B18-1,"n/a")</f>
        <v>0.10000000000000009</v>
      </c>
      <c r="C186" s="36">
        <f>IF(ISNUMBER('NBA Valuations'!D18),'NBA Valuations'!D18/'NBA Valuations'!C18-1,"n/a")</f>
        <v>0.1212121212121211</v>
      </c>
      <c r="D186" s="36">
        <f>IF(ISNUMBER('NBA Valuations'!E18),'NBA Valuations'!E18/'NBA Valuations'!D18-1,"n/a")</f>
        <v>0.18918918918918926</v>
      </c>
      <c r="E186" s="36">
        <f>IF(ISNUMBER('NBA Valuations'!F18),'NBA Valuations'!F18/'NBA Valuations'!E18-1,"n/a")</f>
        <v>4.5454545454545414E-2</v>
      </c>
      <c r="F186" s="36">
        <f>IF(ISNUMBER('NBA Valuations'!G18),'NBA Valuations'!G18/'NBA Valuations'!F18-1,"n/a")</f>
        <v>0.19565217391304346</v>
      </c>
      <c r="G186" s="36">
        <f>IF(ISNUMBER('NBA Valuations'!H18),'NBA Valuations'!H18/'NBA Valuations'!G18-1,"n/a")</f>
        <v>7.2727272727272751E-2</v>
      </c>
      <c r="H186" s="36">
        <f>IF(ISNUMBER('NBA Valuations'!I18),'NBA Valuations'!I18/'NBA Valuations'!H18-1,"n/a")</f>
        <v>8.4745762711864403E-2</v>
      </c>
      <c r="I186" s="36">
        <f>IF(ISNUMBER('NBA Valuations'!J18),'NBA Valuations'!J18/'NBA Valuations'!I18-1,"n/a")</f>
        <v>0.109375</v>
      </c>
      <c r="J186" s="36">
        <f>IF(ISNUMBER('NBA Valuations'!K18),'NBA Valuations'!K18/'NBA Valuations'!J18-1,"n/a")</f>
        <v>0.40845070422535201</v>
      </c>
      <c r="K186" s="36" t="s">
        <v>52</v>
      </c>
    </row>
    <row r="187" spans="1:11" x14ac:dyDescent="0.2">
      <c r="A187" t="s">
        <v>15</v>
      </c>
      <c r="B187" s="36">
        <f>IF(ISNUMBER('NBA Valuations'!C19),'NBA Valuations'!C19/'NBA Valuations'!B19-1,"n/a")</f>
        <v>0.26582278481012667</v>
      </c>
      <c r="C187" s="36">
        <f>IF(ISNUMBER('NBA Valuations'!D19),'NBA Valuations'!D19/'NBA Valuations'!C19-1,"n/a")</f>
        <v>0.19999999999999996</v>
      </c>
      <c r="D187" s="36">
        <f>IF(ISNUMBER('NBA Valuations'!E19),'NBA Valuations'!E19/'NBA Valuations'!D19-1,"n/a")</f>
        <v>8.3333333333333259E-2</v>
      </c>
      <c r="E187" s="36">
        <f>IF(ISNUMBER('NBA Valuations'!F19),'NBA Valuations'!F19/'NBA Valuations'!E19-1,"n/a")</f>
        <v>0</v>
      </c>
      <c r="F187" s="36">
        <f>IF(ISNUMBER('NBA Valuations'!G19),'NBA Valuations'!G19/'NBA Valuations'!F19-1,"n/a")</f>
        <v>0.15384615384615374</v>
      </c>
      <c r="G187" s="36">
        <f>IF(ISNUMBER('NBA Valuations'!H19),'NBA Valuations'!H19/'NBA Valuations'!G19-1,"n/a")</f>
        <v>0.10000000000000009</v>
      </c>
      <c r="H187" s="36">
        <f>IF(ISNUMBER('NBA Valuations'!I19),'NBA Valuations'!I19/'NBA Valuations'!H19-1,"n/a")</f>
        <v>0.45454545454545459</v>
      </c>
      <c r="I187" s="36">
        <f>IF(ISNUMBER('NBA Valuations'!J19),'NBA Valuations'!J19/'NBA Valuations'!I19-1,"n/a")</f>
        <v>0.25</v>
      </c>
      <c r="J187" s="36">
        <f>IF(ISNUMBER('NBA Valuations'!K19),'NBA Valuations'!K19/'NBA Valuations'!J19-1,"n/a")</f>
        <v>0.16666666666666674</v>
      </c>
      <c r="K187" s="36" t="s">
        <v>52</v>
      </c>
    </row>
    <row r="188" spans="1:11" x14ac:dyDescent="0.2">
      <c r="A188" t="s">
        <v>16</v>
      </c>
      <c r="B188" s="36">
        <f>IF(ISNUMBER('NBA Valuations'!C20),'NBA Valuations'!C20/'NBA Valuations'!B20-1,"n/a")</f>
        <v>0.21428571428571419</v>
      </c>
      <c r="C188" s="36">
        <f>IF(ISNUMBER('NBA Valuations'!D20),'NBA Valuations'!D20/'NBA Valuations'!C20-1,"n/a")</f>
        <v>5.8823529411764719E-2</v>
      </c>
      <c r="D188" s="36">
        <f>IF(ISNUMBER('NBA Valuations'!E20),'NBA Valuations'!E20/'NBA Valuations'!D20-1,"n/a")</f>
        <v>0.11111111111111116</v>
      </c>
      <c r="E188" s="36">
        <f>IF(ISNUMBER('NBA Valuations'!F20),'NBA Valuations'!F20/'NBA Valuations'!E20-1,"n/a")</f>
        <v>0</v>
      </c>
      <c r="F188" s="36">
        <f>IF(ISNUMBER('NBA Valuations'!G20),'NBA Valuations'!G20/'NBA Valuations'!F20-1,"n/a")</f>
        <v>0.14999999999999991</v>
      </c>
      <c r="G188" s="36">
        <f>IF(ISNUMBER('NBA Valuations'!H20),'NBA Valuations'!H20/'NBA Valuations'!G20-1,"n/a")</f>
        <v>0.30434782608695654</v>
      </c>
      <c r="H188" s="36">
        <f>IF(ISNUMBER('NBA Valuations'!I20),'NBA Valuations'!I20/'NBA Valuations'!H20-1,"n/a")</f>
        <v>0.30000000000000004</v>
      </c>
      <c r="I188" s="36">
        <f>IF(ISNUMBER('NBA Valuations'!J20),'NBA Valuations'!J20/'NBA Valuations'!I20-1,"n/a")</f>
        <v>8.9743589743589647E-2</v>
      </c>
      <c r="J188" s="36">
        <f>IF(ISNUMBER('NBA Valuations'!K20),'NBA Valuations'!K20/'NBA Valuations'!J20-1,"n/a")</f>
        <v>0.34117647058823519</v>
      </c>
      <c r="K188" s="36" t="s">
        <v>52</v>
      </c>
    </row>
    <row r="189" spans="1:11" x14ac:dyDescent="0.2">
      <c r="A189" t="s">
        <v>17</v>
      </c>
      <c r="B189" s="36">
        <f>IF(ISNUMBER('NBA Valuations'!C21),'NBA Valuations'!C21/'NBA Valuations'!B21-1,"n/a")</f>
        <v>0.40127388535031838</v>
      </c>
      <c r="C189" s="36">
        <f>IF(ISNUMBER('NBA Valuations'!D21),'NBA Valuations'!D21/'NBA Valuations'!C21-1,"n/a")</f>
        <v>0.27272727272727271</v>
      </c>
      <c r="D189" s="36">
        <f>IF(ISNUMBER('NBA Valuations'!E21),'NBA Valuations'!E21/'NBA Valuations'!D21-1,"n/a")</f>
        <v>0.14285714285714279</v>
      </c>
      <c r="E189" s="36">
        <f>IF(ISNUMBER('NBA Valuations'!F21),'NBA Valuations'!F21/'NBA Valuations'!E21-1,"n/a")</f>
        <v>1.5625E-2</v>
      </c>
      <c r="F189" s="36">
        <f>IF(ISNUMBER('NBA Valuations'!G21),'NBA Valuations'!G21/'NBA Valuations'!F21-1,"n/a")</f>
        <v>0.1692307692307693</v>
      </c>
      <c r="G189" s="36">
        <f>IF(ISNUMBER('NBA Valuations'!H21),'NBA Valuations'!H21/'NBA Valuations'!G21-1,"n/a")</f>
        <v>0.21052631578947367</v>
      </c>
      <c r="H189" s="36">
        <f>IF(ISNUMBER('NBA Valuations'!I21),'NBA Valuations'!I21/'NBA Valuations'!H21-1,"n/a")</f>
        <v>0.39130434782608692</v>
      </c>
      <c r="I189" s="36">
        <f>IF(ISNUMBER('NBA Valuations'!J21),'NBA Valuations'!J21/'NBA Valuations'!I21-1,"n/a")</f>
        <v>0.25</v>
      </c>
      <c r="J189" s="36">
        <f>IF(ISNUMBER('NBA Valuations'!K21),'NBA Valuations'!K21/'NBA Valuations'!J21-1,"n/a")</f>
        <v>7.4999999999999956E-2</v>
      </c>
      <c r="K189" s="36" t="s">
        <v>52</v>
      </c>
    </row>
    <row r="190" spans="1:11" x14ac:dyDescent="0.2">
      <c r="A190" t="s">
        <v>18</v>
      </c>
      <c r="B190" s="36">
        <f>IF(ISNUMBER('NBA Valuations'!C22),'NBA Valuations'!C22/'NBA Valuations'!B22-1,"n/a")</f>
        <v>0.4285714285714286</v>
      </c>
      <c r="C190" s="36">
        <f>IF(ISNUMBER('NBA Valuations'!D22),'NBA Valuations'!D22/'NBA Valuations'!C22-1,"n/a")</f>
        <v>0.18181818181818188</v>
      </c>
      <c r="D190" s="36">
        <f>IF(ISNUMBER('NBA Valuations'!E22),'NBA Valuations'!E22/'NBA Valuations'!D22-1,"n/a")</f>
        <v>7.6923076923076872E-2</v>
      </c>
      <c r="E190" s="36">
        <f>IF(ISNUMBER('NBA Valuations'!F22),'NBA Valuations'!F22/'NBA Valuations'!E22-1,"n/a")</f>
        <v>0</v>
      </c>
      <c r="F190" s="36">
        <f>IF(ISNUMBER('NBA Valuations'!G22),'NBA Valuations'!G22/'NBA Valuations'!F22-1,"n/a")</f>
        <v>0.10714285714285721</v>
      </c>
      <c r="G190" s="36">
        <f>IF(ISNUMBER('NBA Valuations'!H22),'NBA Valuations'!H22/'NBA Valuations'!G22-1,"n/a")</f>
        <v>7.7419354838709653E-2</v>
      </c>
      <c r="H190" s="36">
        <f>IF(ISNUMBER('NBA Valuations'!I22),'NBA Valuations'!I22/'NBA Valuations'!H22-1,"n/a")</f>
        <v>0.49700598802395213</v>
      </c>
      <c r="I190" s="36">
        <f>IF(ISNUMBER('NBA Valuations'!J22),'NBA Valuations'!J22/'NBA Valuations'!I22-1,"n/a")</f>
        <v>0.24</v>
      </c>
      <c r="J190" s="36">
        <f>IF(ISNUMBER('NBA Valuations'!K22),'NBA Valuations'!K22/'NBA Valuations'!J22-1,"n/a")</f>
        <v>0.16129032258064524</v>
      </c>
      <c r="K190" s="36" t="s">
        <v>52</v>
      </c>
    </row>
    <row r="191" spans="1:11" x14ac:dyDescent="0.2">
      <c r="A191" t="s">
        <v>19</v>
      </c>
      <c r="B191" s="36">
        <f>IF(ISNUMBER('NBA Valuations'!C23),'NBA Valuations'!C23/'NBA Valuations'!B23-1,"n/a")</f>
        <v>0.33333333333333326</v>
      </c>
      <c r="C191" s="36">
        <f>IF(ISNUMBER('NBA Valuations'!D23),'NBA Valuations'!D23/'NBA Valuations'!C23-1,"n/a")</f>
        <v>0.19999999999999996</v>
      </c>
      <c r="D191" s="36">
        <f>IF(ISNUMBER('NBA Valuations'!E23),'NBA Valuations'!E23/'NBA Valuations'!D23-1,"n/a")</f>
        <v>0.16666666666666674</v>
      </c>
      <c r="E191" s="36">
        <f>IF(ISNUMBER('NBA Valuations'!F23),'NBA Valuations'!F23/'NBA Valuations'!E23-1,"n/a")</f>
        <v>-3.5714285714285698E-2</v>
      </c>
      <c r="F191" s="36">
        <f>IF(ISNUMBER('NBA Valuations'!G23),'NBA Valuations'!G23/'NBA Valuations'!F23-1,"n/a")</f>
        <v>0.1333333333333333</v>
      </c>
      <c r="G191" s="36">
        <f>IF(ISNUMBER('NBA Valuations'!H23),'NBA Valuations'!H23/'NBA Valuations'!G23-1,"n/a")</f>
        <v>4.5751633986928164E-2</v>
      </c>
      <c r="H191" s="36">
        <f>IF(ISNUMBER('NBA Valuations'!I23),'NBA Valuations'!I23/'NBA Valuations'!H23-1,"n/a")</f>
        <v>0.59375</v>
      </c>
      <c r="I191" s="36">
        <f>IF(ISNUMBER('NBA Valuations'!J23),'NBA Valuations'!J23/'NBA Valuations'!I23-1,"n/a")</f>
        <v>0.19607843137254899</v>
      </c>
      <c r="J191" s="36">
        <f>IF(ISNUMBER('NBA Valuations'!K23),'NBA Valuations'!K23/'NBA Valuations'!J23-1,"n/a")</f>
        <v>0.16393442622950816</v>
      </c>
      <c r="K191" s="36" t="s">
        <v>52</v>
      </c>
    </row>
    <row r="192" spans="1:11" x14ac:dyDescent="0.2">
      <c r="A192" t="s">
        <v>20</v>
      </c>
      <c r="B192" s="36">
        <f>IF(ISNUMBER('NBA Valuations'!C24),'NBA Valuations'!C24/'NBA Valuations'!B24-1,"n/a")</f>
        <v>9.0909090909090828E-2</v>
      </c>
      <c r="C192" s="36">
        <f>IF(ISNUMBER('NBA Valuations'!D24),'NBA Valuations'!D24/'NBA Valuations'!C24-1,"n/a")</f>
        <v>0.11111111111111116</v>
      </c>
      <c r="D192" s="36">
        <f>IF(ISNUMBER('NBA Valuations'!E24),'NBA Valuations'!E24/'NBA Valuations'!D24-1,"n/a")</f>
        <v>0.14999999999999991</v>
      </c>
      <c r="E192" s="36">
        <f>IF(ISNUMBER('NBA Valuations'!F24),'NBA Valuations'!F24/'NBA Valuations'!E24-1,"n/a")</f>
        <v>8.6956521739130377E-2</v>
      </c>
      <c r="F192" s="36">
        <f>IF(ISNUMBER('NBA Valuations'!G24),'NBA Valuations'!G24/'NBA Valuations'!F24-1,"n/a")</f>
        <v>0.15999999999999992</v>
      </c>
      <c r="G192" s="36">
        <f>IF(ISNUMBER('NBA Valuations'!H24),'NBA Valuations'!H24/'NBA Valuations'!G24-1,"n/a")</f>
        <v>5.1724137931034475E-2</v>
      </c>
      <c r="H192" s="36">
        <f>IF(ISNUMBER('NBA Valuations'!I24),'NBA Valuations'!I24/'NBA Valuations'!H24-1,"n/a")</f>
        <v>8.1967213114754189E-2</v>
      </c>
      <c r="I192" s="36">
        <f>IF(ISNUMBER('NBA Valuations'!J24),'NBA Valuations'!J24/'NBA Valuations'!I24-1,"n/a")</f>
        <v>0.13636363636363646</v>
      </c>
      <c r="J192" s="36">
        <f>IF(ISNUMBER('NBA Valuations'!K24),'NBA Valuations'!K24/'NBA Valuations'!J24-1,"n/a")</f>
        <v>0.30000000000000004</v>
      </c>
      <c r="K192" s="36" t="s">
        <v>52</v>
      </c>
    </row>
    <row r="193" spans="1:11" x14ac:dyDescent="0.2">
      <c r="A193" t="s">
        <v>21</v>
      </c>
      <c r="B193" s="36">
        <f>IF(ISNUMBER('NBA Valuations'!C25),'NBA Valuations'!C25/'NBA Valuations'!B25-1,"n/a")</f>
        <v>0.30000000000000004</v>
      </c>
      <c r="C193" s="36">
        <f>IF(ISNUMBER('NBA Valuations'!D25),'NBA Valuations'!D25/'NBA Valuations'!C25-1,"n/a")</f>
        <v>0.15384615384615374</v>
      </c>
      <c r="D193" s="36">
        <f>IF(ISNUMBER('NBA Valuations'!E25),'NBA Valuations'!E25/'NBA Valuations'!D25-1,"n/a")</f>
        <v>6.6666666666666652E-2</v>
      </c>
      <c r="E193" s="36">
        <f>IF(ISNUMBER('NBA Valuations'!F25),'NBA Valuations'!F25/'NBA Valuations'!E25-1,"n/a")</f>
        <v>-1.5625E-2</v>
      </c>
      <c r="F193" s="36">
        <f>IF(ISNUMBER('NBA Valuations'!G25),'NBA Valuations'!G25/'NBA Valuations'!F25-1,"n/a")</f>
        <v>3.4920634920635019E-2</v>
      </c>
      <c r="G193" s="36">
        <f>IF(ISNUMBER('NBA Valuations'!H25),'NBA Valuations'!H25/'NBA Valuations'!G25-1,"n/a")</f>
        <v>0.15030674846625769</v>
      </c>
      <c r="H193" s="36">
        <f>IF(ISNUMBER('NBA Valuations'!I25),'NBA Valuations'!I25/'NBA Valuations'!H25-1,"n/a")</f>
        <v>0.62666666666666671</v>
      </c>
      <c r="I193" s="36">
        <f>IF(ISNUMBER('NBA Valuations'!J25),'NBA Valuations'!J25/'NBA Valuations'!I25-1,"n/a")</f>
        <v>0.19672131147540983</v>
      </c>
      <c r="J193" s="36">
        <f>IF(ISNUMBER('NBA Valuations'!K25),'NBA Valuations'!K25/'NBA Valuations'!J25-1,"n/a")</f>
        <v>0.19178082191780832</v>
      </c>
      <c r="K193" s="36" t="s">
        <v>52</v>
      </c>
    </row>
    <row r="194" spans="1:11" x14ac:dyDescent="0.2">
      <c r="A194" t="s">
        <v>22</v>
      </c>
      <c r="B194" s="36">
        <f>IF(ISNUMBER('NBA Valuations'!C26),'NBA Valuations'!C26/'NBA Valuations'!B26-1,"n/a")</f>
        <v>0.30434782608695654</v>
      </c>
      <c r="C194" s="36">
        <f>IF(ISNUMBER('NBA Valuations'!D26),'NBA Valuations'!D26/'NBA Valuations'!C26-1,"n/a")</f>
        <v>8.3333333333333259E-2</v>
      </c>
      <c r="D194" s="36">
        <f>IF(ISNUMBER('NBA Valuations'!E26),'NBA Valuations'!E26/'NBA Valuations'!D26-1,"n/a")</f>
        <v>7.6923076923076872E-2</v>
      </c>
      <c r="E194" s="36">
        <f>IF(ISNUMBER('NBA Valuations'!F26),'NBA Valuations'!F26/'NBA Valuations'!E26-1,"n/a")</f>
        <v>4.2857142857142927E-2</v>
      </c>
      <c r="F194" s="36">
        <f>IF(ISNUMBER('NBA Valuations'!G26),'NBA Valuations'!G26/'NBA Valuations'!F26-1,"n/a")</f>
        <v>0.12328767123287676</v>
      </c>
      <c r="G194" s="36">
        <f>IF(ISNUMBER('NBA Valuations'!H26),'NBA Valuations'!H26/'NBA Valuations'!G26-1,"n/a")</f>
        <v>0.12804878048780477</v>
      </c>
      <c r="H194" s="36">
        <f>IF(ISNUMBER('NBA Valuations'!I26),'NBA Valuations'!I26/'NBA Valuations'!H26-1,"n/a")</f>
        <v>0.59459459459459452</v>
      </c>
      <c r="I194" s="36">
        <f>IF(ISNUMBER('NBA Valuations'!J26),'NBA Valuations'!J26/'NBA Valuations'!I26-1,"n/a")</f>
        <v>8.4745762711864403E-2</v>
      </c>
      <c r="J194" s="36">
        <f>IF(ISNUMBER('NBA Valuations'!K26),'NBA Valuations'!K26/'NBA Valuations'!J26-1,"n/a")</f>
        <v>0.21875</v>
      </c>
      <c r="K194" s="36" t="s">
        <v>52</v>
      </c>
    </row>
    <row r="195" spans="1:11" x14ac:dyDescent="0.2">
      <c r="A195" t="s">
        <v>23</v>
      </c>
      <c r="B195" s="36">
        <f>IF(ISNUMBER('NBA Valuations'!C27),'NBA Valuations'!C27/'NBA Valuations'!B27-1,"n/a")</f>
        <v>0.5</v>
      </c>
      <c r="C195" s="36">
        <f>IF(ISNUMBER('NBA Valuations'!D27),'NBA Valuations'!D27/'NBA Valuations'!C27-1,"n/a")</f>
        <v>0.41666666666666674</v>
      </c>
      <c r="D195" s="36">
        <f>IF(ISNUMBER('NBA Valuations'!E27),'NBA Valuations'!E27/'NBA Valuations'!D27-1,"n/a")</f>
        <v>0.17647058823529416</v>
      </c>
      <c r="E195" s="36">
        <f>IF(ISNUMBER('NBA Valuations'!F27),'NBA Valuations'!F27/'NBA Valuations'!E27-1,"n/a")</f>
        <v>3.7500000000000089E-2</v>
      </c>
      <c r="F195" s="36">
        <f>IF(ISNUMBER('NBA Valuations'!G27),'NBA Valuations'!G27/'NBA Valuations'!F27-1,"n/a")</f>
        <v>0.18072289156626509</v>
      </c>
      <c r="G195" s="36">
        <f>IF(ISNUMBER('NBA Valuations'!H27),'NBA Valuations'!H27/'NBA Valuations'!G27-1,"n/a")</f>
        <v>0.28571428571428581</v>
      </c>
      <c r="H195" s="36">
        <f>IF(ISNUMBER('NBA Valuations'!I27),'NBA Valuations'!I27/'NBA Valuations'!H27-1,"n/a")</f>
        <v>0.36507936507936511</v>
      </c>
      <c r="I195" s="36">
        <f>IF(ISNUMBER('NBA Valuations'!J27),'NBA Valuations'!J27/'NBA Valuations'!I27-1,"n/a")</f>
        <v>6.9767441860465018E-2</v>
      </c>
      <c r="J195" s="36">
        <f>IF(ISNUMBER('NBA Valuations'!K27),'NBA Valuations'!K27/'NBA Valuations'!J27-1,"n/a")</f>
        <v>0.18478260869565211</v>
      </c>
      <c r="K195" s="36" t="s">
        <v>52</v>
      </c>
    </row>
    <row r="196" spans="1:11" x14ac:dyDescent="0.2">
      <c r="A196" t="s">
        <v>24</v>
      </c>
      <c r="B196" s="36">
        <f>IF(ISNUMBER('NBA Valuations'!C28),'NBA Valuations'!C28/'NBA Valuations'!B28-1,"n/a")</f>
        <v>0.18181818181818188</v>
      </c>
      <c r="C196" s="36">
        <f>IF(ISNUMBER('NBA Valuations'!D28),'NBA Valuations'!D28/'NBA Valuations'!C28-1,"n/a")</f>
        <v>0.15384615384615374</v>
      </c>
      <c r="D196" s="36">
        <f>IF(ISNUMBER('NBA Valuations'!E28),'NBA Valuations'!E28/'NBA Valuations'!D28-1,"n/a")</f>
        <v>6.6666666666666652E-2</v>
      </c>
      <c r="E196" s="36">
        <f>IF(ISNUMBER('NBA Valuations'!F28),'NBA Valuations'!F28/'NBA Valuations'!E28-1,"n/a")</f>
        <v>6.25E-2</v>
      </c>
      <c r="F196" s="36">
        <f>IF(ISNUMBER('NBA Valuations'!G28),'NBA Valuations'!G28/'NBA Valuations'!F28-1,"n/a")</f>
        <v>5.8823529411764719E-2</v>
      </c>
      <c r="G196" s="36">
        <f>IF(ISNUMBER('NBA Valuations'!H28),'NBA Valuations'!H28/'NBA Valuations'!G28-1,"n/a")</f>
        <v>0.5</v>
      </c>
      <c r="H196" s="36">
        <f>IF(ISNUMBER('NBA Valuations'!I28),'NBA Valuations'!I28/'NBA Valuations'!H28-1,"n/a")</f>
        <v>0.4814814814814814</v>
      </c>
      <c r="I196" s="36">
        <f>IF(ISNUMBER('NBA Valuations'!J28),'NBA Valuations'!J28/'NBA Valuations'!I28-1,"n/a")</f>
        <v>7.4999999999999956E-2</v>
      </c>
      <c r="J196" s="36">
        <f>IF(ISNUMBER('NBA Valuations'!K28),'NBA Valuations'!K28/'NBA Valuations'!J28-1,"n/a")</f>
        <v>0.26162790697674421</v>
      </c>
      <c r="K196" s="36" t="s">
        <v>52</v>
      </c>
    </row>
    <row r="197" spans="1:11" x14ac:dyDescent="0.2">
      <c r="A197" t="s">
        <v>25</v>
      </c>
      <c r="B197" s="36">
        <f>IF(ISNUMBER('NBA Valuations'!C29),'NBA Valuations'!C29/'NBA Valuations'!B29-1,"n/a")</f>
        <v>0.18181818181818188</v>
      </c>
      <c r="C197" s="36">
        <f>IF(ISNUMBER('NBA Valuations'!D29),'NBA Valuations'!D29/'NBA Valuations'!C29-1,"n/a")</f>
        <v>0.23076923076923084</v>
      </c>
      <c r="D197" s="36">
        <f>IF(ISNUMBER('NBA Valuations'!E29),'NBA Valuations'!E29/'NBA Valuations'!D29-1,"n/a")</f>
        <v>0.1875</v>
      </c>
      <c r="E197" s="36">
        <f>IF(ISNUMBER('NBA Valuations'!F29),'NBA Valuations'!F29/'NBA Valuations'!E29-1,"n/a")</f>
        <v>0</v>
      </c>
      <c r="F197" s="36">
        <f>IF(ISNUMBER('NBA Valuations'!G29),'NBA Valuations'!G29/'NBA Valuations'!F29-1,"n/a")</f>
        <v>7.8947368421052655E-2</v>
      </c>
      <c r="G197" s="36">
        <f>IF(ISNUMBER('NBA Valuations'!H29),'NBA Valuations'!H29/'NBA Valuations'!G29-1,"n/a")</f>
        <v>2.4390243902439046E-2</v>
      </c>
      <c r="H197" s="36">
        <f>IF(ISNUMBER('NBA Valuations'!I29),'NBA Valuations'!I29/'NBA Valuations'!H29-1,"n/a")</f>
        <v>0.46666666666666656</v>
      </c>
      <c r="I197" s="36">
        <f>IF(ISNUMBER('NBA Valuations'!J29),'NBA Valuations'!J29/'NBA Valuations'!I29-1,"n/a")</f>
        <v>0.13636363636363646</v>
      </c>
      <c r="J197" s="36">
        <f>IF(ISNUMBER('NBA Valuations'!K29),'NBA Valuations'!K29/'NBA Valuations'!J29-1,"n/a")</f>
        <v>0.21428571428571419</v>
      </c>
      <c r="K197" s="36" t="s">
        <v>52</v>
      </c>
    </row>
    <row r="198" spans="1:11" x14ac:dyDescent="0.2">
      <c r="A198" t="s">
        <v>26</v>
      </c>
      <c r="B198" s="36">
        <f>IF(ISNUMBER('NBA Valuations'!C30),'NBA Valuations'!C30/'NBA Valuations'!B30-1,"n/a")</f>
        <v>0.27272727272727271</v>
      </c>
      <c r="C198" s="36">
        <f>IF(ISNUMBER('NBA Valuations'!D30),'NBA Valuations'!D30/'NBA Valuations'!C30-1,"n/a")</f>
        <v>0.14285714285714279</v>
      </c>
      <c r="D198" s="36">
        <f>IF(ISNUMBER('NBA Valuations'!E30),'NBA Valuations'!E30/'NBA Valuations'!D30-1,"n/a")</f>
        <v>0.125</v>
      </c>
      <c r="E198" s="36">
        <f>IF(ISNUMBER('NBA Valuations'!F30),'NBA Valuations'!F30/'NBA Valuations'!E30-1,"n/a")</f>
        <v>1.388888888888884E-2</v>
      </c>
      <c r="F198" s="36">
        <f>IF(ISNUMBER('NBA Valuations'!G30),'NBA Valuations'!G30/'NBA Valuations'!F30-1,"n/a")</f>
        <v>9.5890410958904049E-2</v>
      </c>
      <c r="G198" s="36">
        <f>IF(ISNUMBER('NBA Valuations'!H30),'NBA Valuations'!H30/'NBA Valuations'!G30-1,"n/a")</f>
        <v>1.4999999999999902E-2</v>
      </c>
      <c r="H198" s="36">
        <f>IF(ISNUMBER('NBA Valuations'!I30),'NBA Valuations'!I30/'NBA Valuations'!H30-1,"n/a")</f>
        <v>0.64039408866995085</v>
      </c>
      <c r="I198" s="36">
        <f>IF(ISNUMBER('NBA Valuations'!J30),'NBA Valuations'!J30/'NBA Valuations'!I30-1,"n/a")</f>
        <v>0.11111111111111116</v>
      </c>
      <c r="J198" s="36">
        <f>IF(ISNUMBER('NBA Valuations'!K30),'NBA Valuations'!K30/'NBA Valuations'!J30-1,"n/a")</f>
        <v>0.20270270270270263</v>
      </c>
      <c r="K198" s="36" t="s">
        <v>52</v>
      </c>
    </row>
    <row r="199" spans="1:11" x14ac:dyDescent="0.2">
      <c r="A199" t="s">
        <v>27</v>
      </c>
      <c r="B199" s="36">
        <f>IF(ISNUMBER('NBA Valuations'!C31),'NBA Valuations'!C31/'NBA Valuations'!B31-1,"n/a")</f>
        <v>0.33333333333333326</v>
      </c>
      <c r="C199" s="36">
        <f>IF(ISNUMBER('NBA Valuations'!D31),'NBA Valuations'!D31/'NBA Valuations'!C31-1,"n/a")</f>
        <v>0</v>
      </c>
      <c r="D199" s="36">
        <f>IF(ISNUMBER('NBA Valuations'!E31),'NBA Valuations'!E31/'NBA Valuations'!D31-1,"n/a")</f>
        <v>0.125</v>
      </c>
      <c r="E199" s="36">
        <f>IF(ISNUMBER('NBA Valuations'!F31),'NBA Valuations'!F31/'NBA Valuations'!E31-1,"n/a")</f>
        <v>2.7777777777777679E-2</v>
      </c>
      <c r="F199" s="36">
        <f>IF(ISNUMBER('NBA Valuations'!G31),'NBA Valuations'!G31/'NBA Valuations'!F31-1,"n/a")</f>
        <v>7.0270270270270219E-2</v>
      </c>
      <c r="G199" s="36">
        <f>IF(ISNUMBER('NBA Valuations'!H31),'NBA Valuations'!H31/'NBA Valuations'!G31-1,"n/a")</f>
        <v>1.0101010101010166E-2</v>
      </c>
      <c r="H199" s="36">
        <f>IF(ISNUMBER('NBA Valuations'!I31),'NBA Valuations'!I31/'NBA Valuations'!H31-1,"n/a")</f>
        <v>0.625</v>
      </c>
      <c r="I199" s="36">
        <f>IF(ISNUMBER('NBA Valuations'!J31),'NBA Valuations'!J31/'NBA Valuations'!I31-1,"n/a")</f>
        <v>0.18461538461538463</v>
      </c>
      <c r="J199" s="36">
        <f>IF(ISNUMBER('NBA Valuations'!K31),'NBA Valuations'!K31/'NBA Valuations'!J31-1,"n/a")</f>
        <v>0.14285714285714279</v>
      </c>
      <c r="K199" s="36" t="s">
        <v>52</v>
      </c>
    </row>
    <row r="200" spans="1:11" x14ac:dyDescent="0.2">
      <c r="A200" t="s">
        <v>28</v>
      </c>
      <c r="B200" s="36">
        <f>IF(ISNUMBER('NBA Valuations'!C32),'NBA Valuations'!C32/'NBA Valuations'!B32-1,"n/a")</f>
        <v>0.27272727272727271</v>
      </c>
      <c r="C200" s="36">
        <f>IF(ISNUMBER('NBA Valuations'!D32),'NBA Valuations'!D32/'NBA Valuations'!C32-1,"n/a")</f>
        <v>0.21428571428571419</v>
      </c>
      <c r="D200" s="36">
        <f>IF(ISNUMBER('NBA Valuations'!E32),'NBA Valuations'!E32/'NBA Valuations'!D32-1,"n/a")</f>
        <v>0.23529411764705888</v>
      </c>
      <c r="E200" s="36">
        <f>IF(ISNUMBER('NBA Valuations'!F32),'NBA Valuations'!F32/'NBA Valuations'!E32-1,"n/a")</f>
        <v>2.3809523809523725E-2</v>
      </c>
      <c r="F200" s="36">
        <f>IF(ISNUMBER('NBA Valuations'!G32),'NBA Valuations'!G32/'NBA Valuations'!F32-1,"n/a")</f>
        <v>0.15348837209302335</v>
      </c>
      <c r="G200" s="36">
        <f>IF(ISNUMBER('NBA Valuations'!H32),'NBA Valuations'!H32/'NBA Valuations'!G32-1,"n/a")</f>
        <v>0.25</v>
      </c>
      <c r="H200" s="36">
        <f>IF(ISNUMBER('NBA Valuations'!I32),'NBA Valuations'!I32/'NBA Valuations'!H32-1,"n/a")</f>
        <v>0.32258064516129026</v>
      </c>
      <c r="I200" s="36">
        <f>IF(ISNUMBER('NBA Valuations'!J32),'NBA Valuations'!J32/'NBA Valuations'!I32-1,"n/a")</f>
        <v>7.3170731707317138E-2</v>
      </c>
      <c r="J200" s="36">
        <f>IF(ISNUMBER('NBA Valuations'!K32),'NBA Valuations'!K32/'NBA Valuations'!J32-1,"n/a")</f>
        <v>0.22727272727272729</v>
      </c>
      <c r="K200" s="36" t="s">
        <v>52</v>
      </c>
    </row>
    <row r="201" spans="1:11" x14ac:dyDescent="0.2">
      <c r="A201" t="s">
        <v>29</v>
      </c>
      <c r="B201" s="36">
        <f>IF(ISNUMBER('NBA Valuations'!C33),'NBA Valuations'!C33/'NBA Valuations'!B33-1,"n/a")</f>
        <v>0.31868131868131866</v>
      </c>
      <c r="C201" s="36">
        <f>IF(ISNUMBER('NBA Valuations'!D33),'NBA Valuations'!D33/'NBA Valuations'!C33-1,"n/a")</f>
        <v>0.16666666666666674</v>
      </c>
      <c r="D201" s="36">
        <f>IF(ISNUMBER('NBA Valuations'!E33),'NBA Valuations'!E33/'NBA Valuations'!D33-1,"n/a")</f>
        <v>0.14285714285714279</v>
      </c>
      <c r="E201" s="36">
        <f>IF(ISNUMBER('NBA Valuations'!F33),'NBA Valuations'!F33/'NBA Valuations'!E33-1,"n/a")</f>
        <v>3.7500000000000089E-2</v>
      </c>
      <c r="F201" s="36">
        <f>IF(ISNUMBER('NBA Valuations'!G33),'NBA Valuations'!G33/'NBA Valuations'!F33-1,"n/a")</f>
        <v>5.4216867469879526E-2</v>
      </c>
      <c r="G201" s="36">
        <f>IF(ISNUMBER('NBA Valuations'!H33),'NBA Valuations'!H33/'NBA Valuations'!G33-1,"n/a")</f>
        <v>0.15714285714285725</v>
      </c>
      <c r="H201" s="36">
        <f>IF(ISNUMBER('NBA Valuations'!I33),'NBA Valuations'!I33/'NBA Valuations'!H33-1,"n/a")</f>
        <v>0.52592592592592591</v>
      </c>
      <c r="I201" s="36">
        <f>IF(ISNUMBER('NBA Valuations'!J33),'NBA Valuations'!J33/'NBA Valuations'!I33-1,"n/a")</f>
        <v>0.14886731391585761</v>
      </c>
      <c r="J201" s="36">
        <f>IF(ISNUMBER('NBA Valuations'!K33),'NBA Valuations'!K33/'NBA Valuations'!J33-1,"n/a")</f>
        <v>0.15492957746478875</v>
      </c>
      <c r="K201" s="36" t="s">
        <v>52</v>
      </c>
    </row>
    <row r="202" spans="1:11" x14ac:dyDescent="0.2">
      <c r="A202" t="s">
        <v>30</v>
      </c>
      <c r="B202" s="36">
        <f>IF(ISNUMBER('NBA Valuations'!C34),'NBA Valuations'!C34/'NBA Valuations'!B34-1,"n/a")</f>
        <v>0.39999999999999991</v>
      </c>
      <c r="C202" s="36">
        <f>IF(ISNUMBER('NBA Valuations'!D34),'NBA Valuations'!D34/'NBA Valuations'!C34-1,"n/a")</f>
        <v>0.14285714285714279</v>
      </c>
      <c r="D202" s="36">
        <f>IF(ISNUMBER('NBA Valuations'!E34),'NBA Valuations'!E34/'NBA Valuations'!D34-1,"n/a")</f>
        <v>0.125</v>
      </c>
      <c r="E202" s="36">
        <f>IF(ISNUMBER('NBA Valuations'!F34),'NBA Valuations'!F34/'NBA Valuations'!E34-1,"n/a")</f>
        <v>0</v>
      </c>
      <c r="F202" s="36">
        <f>IF(ISNUMBER('NBA Valuations'!G34),'NBA Valuations'!G34/'NBA Valuations'!F34-1,"n/a")</f>
        <v>7.2222222222222188E-2</v>
      </c>
      <c r="G202" s="36">
        <f>IF(ISNUMBER('NBA Valuations'!H34),'NBA Valuations'!H34/'NBA Valuations'!G34-1,"n/a")</f>
        <v>0.29533678756476678</v>
      </c>
      <c r="H202" s="36">
        <f>IF(ISNUMBER('NBA Valuations'!I34),'NBA Valuations'!I34/'NBA Valuations'!H34-1,"n/a")</f>
        <v>0.39999999999999991</v>
      </c>
      <c r="I202" s="36">
        <f>IF(ISNUMBER('NBA Valuations'!J34),'NBA Valuations'!J34/'NBA Valuations'!I34-1,"n/a")</f>
        <v>0.17142857142857149</v>
      </c>
      <c r="J202" s="36">
        <f>IF(ISNUMBER('NBA Valuations'!K34),'NBA Valuations'!K34/'NBA Valuations'!J34-1,"n/a")</f>
        <v>0.14634146341463405</v>
      </c>
      <c r="K202" s="36" t="s">
        <v>52</v>
      </c>
    </row>
    <row r="203" spans="1:11" x14ac:dyDescent="0.2">
      <c r="A203" s="2" t="s">
        <v>104</v>
      </c>
      <c r="B203" s="36">
        <f>IF(ISNUMBER('NBA Valuations'!C$5),SUM('NBA Valuations'!C$5:C$34)/SUM('NBA Valuations'!B$5:B$34)-1,"n/a")</f>
        <v>0.2212432697014195</v>
      </c>
      <c r="C203" s="36">
        <f>IF(ISNUMBER('NBA Valuations'!D$5),SUM('NBA Valuations'!D$5:D$34)/SUM('NBA Valuations'!C$5:C$34)-1,"n/a")</f>
        <v>0.13226452905811614</v>
      </c>
      <c r="D203" s="36">
        <f>IF(ISNUMBER('NBA Valuations'!E$5),SUM('NBA Valuations'!E$5:E$34)/SUM('NBA Valuations'!D$5:D$34)-1,"n/a")</f>
        <v>0.13274336283185839</v>
      </c>
      <c r="E203" s="36">
        <f>IF(ISNUMBER('NBA Valuations'!F$5),SUM('NBA Valuations'!F$5:F$34)/SUM('NBA Valuations'!E$5:E$34)-1,"n/a")</f>
        <v>3.2031249999999956E-2</v>
      </c>
      <c r="F203" s="36">
        <f>IF(ISNUMBER('NBA Valuations'!G$5),SUM('NBA Valuations'!G$5:G$34)/SUM('NBA Valuations'!F$5:F$34)-1,"n/a")</f>
        <v>0.12679788039364115</v>
      </c>
      <c r="G203" s="36">
        <f>IF(ISNUMBER('NBA Valuations'!H$5),SUM('NBA Valuations'!H$5:H$34)/SUM('NBA Valuations'!G$5:G$34)-1,"n/a")</f>
        <v>0.15424924420557606</v>
      </c>
      <c r="H203" s="36">
        <f>IF(ISNUMBER('NBA Valuations'!I$5),SUM('NBA Valuations'!I$5:I$34)/SUM('NBA Valuations'!H$5:H$34)-1,"n/a")</f>
        <v>0.34578895291310174</v>
      </c>
      <c r="I203" s="36">
        <f>IF(ISNUMBER('NBA Valuations'!J$5),SUM('NBA Valuations'!J$5:J$34)/SUM('NBA Valuations'!I$5:I$34)-1,"n/a")</f>
        <v>0.146094628492345</v>
      </c>
      <c r="J203" s="36">
        <f>IF(ISNUMBER('NBA Valuations'!K$5),SUM('NBA Valuations'!K$5:K$34)/SUM('NBA Valuations'!J$5:J$34)-1,"n/a")</f>
        <v>0.21264150943396221</v>
      </c>
      <c r="K203" s="36" t="s">
        <v>52</v>
      </c>
    </row>
    <row r="204" spans="1:11" x14ac:dyDescent="0.2">
      <c r="B204" s="1"/>
      <c r="C204" s="1"/>
      <c r="D204" s="1"/>
      <c r="E204" s="1"/>
      <c r="F204" s="1"/>
      <c r="G204" s="1"/>
      <c r="H204" s="1"/>
      <c r="I204" s="1"/>
      <c r="J204" s="1"/>
      <c r="K204" s="1"/>
    </row>
    <row r="205" spans="1:11" x14ac:dyDescent="0.2">
      <c r="A205" s="34" t="s">
        <v>105</v>
      </c>
      <c r="B205" s="1"/>
      <c r="C205" s="1"/>
      <c r="D205" s="1"/>
      <c r="E205" s="1"/>
      <c r="F205" s="1"/>
      <c r="G205" s="1"/>
      <c r="H205" s="1"/>
      <c r="I205" s="1"/>
      <c r="J205" s="1"/>
      <c r="K205" s="1"/>
    </row>
    <row r="206" spans="1:11" x14ac:dyDescent="0.2">
      <c r="A206" s="17" t="s">
        <v>0</v>
      </c>
      <c r="B206" s="17" t="s">
        <v>81</v>
      </c>
      <c r="C206" s="17" t="s">
        <v>82</v>
      </c>
      <c r="D206" s="17" t="s">
        <v>83</v>
      </c>
      <c r="E206" s="17" t="s">
        <v>84</v>
      </c>
      <c r="F206" s="17" t="s">
        <v>85</v>
      </c>
      <c r="G206" s="17" t="s">
        <v>86</v>
      </c>
      <c r="H206" s="17" t="s">
        <v>87</v>
      </c>
      <c r="I206" s="17" t="s">
        <v>88</v>
      </c>
      <c r="J206" s="17" t="s">
        <v>89</v>
      </c>
      <c r="K206" s="17" t="s">
        <v>90</v>
      </c>
    </row>
    <row r="207" spans="1:11" x14ac:dyDescent="0.2">
      <c r="A207" t="s">
        <v>1</v>
      </c>
      <c r="B207" s="37">
        <f>IF(ISNUMBER(B173),B173-B$203,"n/a")</f>
        <v>0.13468893368841095</v>
      </c>
      <c r="C207" s="37">
        <f t="shared" ref="C207:K207" si="63">IF(ISNUMBER(C173),C173-C$203,"n/a")</f>
        <v>-4.8931195724782883E-2</v>
      </c>
      <c r="D207" s="37">
        <f t="shared" si="63"/>
        <v>2.1102791014295352E-2</v>
      </c>
      <c r="E207" s="37">
        <f t="shared" si="63"/>
        <v>-1.8697916666666536E-2</v>
      </c>
      <c r="F207" s="37">
        <f t="shared" si="63"/>
        <v>-2.1534722498904202E-2</v>
      </c>
      <c r="G207" s="37">
        <f t="shared" si="63"/>
        <v>2.1345993889662074E-2</v>
      </c>
      <c r="H207" s="37">
        <f t="shared" si="63"/>
        <v>0.33522370531474643</v>
      </c>
      <c r="I207" s="37">
        <f t="shared" si="63"/>
        <v>-1.5163152393329327E-3</v>
      </c>
      <c r="J207" s="37">
        <f t="shared" si="63"/>
        <v>0.10314796425024841</v>
      </c>
      <c r="K207" s="37" t="str">
        <f t="shared" si="63"/>
        <v>n/a</v>
      </c>
    </row>
    <row r="208" spans="1:11" x14ac:dyDescent="0.2">
      <c r="A208" t="s">
        <v>2</v>
      </c>
      <c r="B208" s="37">
        <f t="shared" ref="B208:K208" si="64">IF(ISNUMBER(B174),B174-B$203,"n/a")</f>
        <v>-8.4879633337783034E-2</v>
      </c>
      <c r="C208" s="37">
        <f t="shared" si="64"/>
        <v>-1.2264529058116036E-2</v>
      </c>
      <c r="D208" s="37">
        <f t="shared" si="64"/>
        <v>-2.5600505689001185E-2</v>
      </c>
      <c r="E208" s="37">
        <f t="shared" si="64"/>
        <v>2.2681451612904802E-4</v>
      </c>
      <c r="F208" s="37">
        <f t="shared" si="64"/>
        <v>-1.7422880393641149E-2</v>
      </c>
      <c r="G208" s="37">
        <f t="shared" si="64"/>
        <v>-2.748868082529432E-2</v>
      </c>
      <c r="H208" s="37">
        <f t="shared" si="64"/>
        <v>-0.1707889529131017</v>
      </c>
      <c r="I208" s="37">
        <f t="shared" si="64"/>
        <v>0.13050111618850613</v>
      </c>
      <c r="J208" s="37">
        <f t="shared" si="64"/>
        <v>-9.597484276729551E-2</v>
      </c>
      <c r="K208" s="37" t="str">
        <f t="shared" si="64"/>
        <v>n/a</v>
      </c>
    </row>
    <row r="209" spans="1:11" x14ac:dyDescent="0.2">
      <c r="A209" t="s">
        <v>3</v>
      </c>
      <c r="B209" s="37">
        <f t="shared" ref="B209:K209" si="65">IF(ISNUMBER(B175),B175-B$203,"n/a")</f>
        <v>5.6534508076358181E-2</v>
      </c>
      <c r="C209" s="37">
        <f t="shared" si="65"/>
        <v>-8.8786268188550954E-2</v>
      </c>
      <c r="D209" s="37">
        <f t="shared" si="65"/>
        <v>-9.1076696165191651E-2</v>
      </c>
      <c r="E209" s="37">
        <f t="shared" si="65"/>
        <v>2.7968750000000098E-2</v>
      </c>
      <c r="F209" s="37">
        <f t="shared" si="65"/>
        <v>8.0749289417679559E-2</v>
      </c>
      <c r="G209" s="37">
        <f t="shared" si="65"/>
        <v>-6.0499244205576064E-2</v>
      </c>
      <c r="H209" s="37">
        <f t="shared" si="65"/>
        <v>-0.24578895291310165</v>
      </c>
      <c r="I209" s="37">
        <f t="shared" si="65"/>
        <v>0.10065861826090172</v>
      </c>
      <c r="J209" s="37">
        <f t="shared" si="65"/>
        <v>-4.5974842767295465E-2</v>
      </c>
      <c r="K209" s="37" t="str">
        <f t="shared" si="65"/>
        <v>n/a</v>
      </c>
    </row>
    <row r="210" spans="1:11" x14ac:dyDescent="0.2">
      <c r="A210" t="s">
        <v>4</v>
      </c>
      <c r="B210" s="37">
        <f t="shared" ref="B210:K210" si="66">IF(ISNUMBER(B176),B176-B$203,"n/a")</f>
        <v>0.18901314055499085</v>
      </c>
      <c r="C210" s="37">
        <f t="shared" si="66"/>
        <v>4.9553652760065736E-2</v>
      </c>
      <c r="D210" s="37">
        <f t="shared" si="66"/>
        <v>2.1102791014295352E-2</v>
      </c>
      <c r="E210" s="37">
        <f t="shared" si="66"/>
        <v>-3.2031249999999956E-2</v>
      </c>
      <c r="F210" s="37">
        <f t="shared" si="66"/>
        <v>-7.6797880393641105E-2</v>
      </c>
      <c r="G210" s="37">
        <f t="shared" si="66"/>
        <v>-7.4884164840496759E-2</v>
      </c>
      <c r="H210" s="37">
        <f t="shared" si="66"/>
        <v>0.41891692943983938</v>
      </c>
      <c r="I210" s="37">
        <f t="shared" si="66"/>
        <v>-4.6094628492344913E-2</v>
      </c>
      <c r="J210" s="37">
        <f t="shared" si="66"/>
        <v>-6.1126357918810603E-2</v>
      </c>
      <c r="K210" s="37" t="str">
        <f t="shared" si="66"/>
        <v>n/a</v>
      </c>
    </row>
    <row r="211" spans="1:11" x14ac:dyDescent="0.2">
      <c r="A211" t="s">
        <v>5</v>
      </c>
      <c r="B211" s="37">
        <f t="shared" ref="B211:K211" si="67">IF(ISNUMBER(B177),B177-B$203,"n/a")</f>
        <v>-0.18124326970141946</v>
      </c>
      <c r="C211" s="37">
        <f t="shared" si="67"/>
        <v>-1.6879913673500724E-2</v>
      </c>
      <c r="D211" s="37">
        <f t="shared" si="67"/>
        <v>-2.9295086969789441E-2</v>
      </c>
      <c r="E211" s="37">
        <f t="shared" si="67"/>
        <v>-7.8124999999995559E-4</v>
      </c>
      <c r="F211" s="37">
        <f t="shared" si="67"/>
        <v>-2.0737274333035183E-2</v>
      </c>
      <c r="G211" s="37">
        <f t="shared" si="67"/>
        <v>-3.0961572972699303E-2</v>
      </c>
      <c r="H211" s="37">
        <f t="shared" si="67"/>
        <v>-0.22383773340090651</v>
      </c>
      <c r="I211" s="37">
        <f t="shared" si="67"/>
        <v>-5.9138106753214625E-2</v>
      </c>
      <c r="J211" s="37">
        <f t="shared" si="67"/>
        <v>-1.264150943396225E-2</v>
      </c>
      <c r="K211" s="37" t="str">
        <f t="shared" si="67"/>
        <v>n/a</v>
      </c>
    </row>
    <row r="212" spans="1:11" x14ac:dyDescent="0.2">
      <c r="A212" t="s">
        <v>6</v>
      </c>
      <c r="B212" s="37">
        <f t="shared" ref="B212:K212" si="68">IF(ISNUMBER(B178),B178-B$203,"n/a")</f>
        <v>-0.13790993636808624</v>
      </c>
      <c r="C212" s="37">
        <f t="shared" si="68"/>
        <v>-0.13226452905811614</v>
      </c>
      <c r="D212" s="37">
        <f t="shared" si="68"/>
        <v>2.1102791014295352E-2</v>
      </c>
      <c r="E212" s="37">
        <f t="shared" si="68"/>
        <v>7.9687500000000799E-3</v>
      </c>
      <c r="F212" s="37">
        <f t="shared" si="68"/>
        <v>-6.910557270133344E-2</v>
      </c>
      <c r="G212" s="37">
        <f t="shared" si="68"/>
        <v>8.8174998218666367E-2</v>
      </c>
      <c r="H212" s="37">
        <f t="shared" si="68"/>
        <v>0.28835738855031279</v>
      </c>
      <c r="I212" s="37">
        <f t="shared" si="68"/>
        <v>3.3009849119595369E-2</v>
      </c>
      <c r="J212" s="37">
        <f t="shared" si="68"/>
        <v>2.5483639837593497E-3</v>
      </c>
      <c r="K212" s="37" t="str">
        <f t="shared" si="68"/>
        <v>n/a</v>
      </c>
    </row>
    <row r="213" spans="1:11" x14ac:dyDescent="0.2">
      <c r="A213" t="s">
        <v>7</v>
      </c>
      <c r="B213" s="37">
        <f t="shared" ref="B213:K213" si="69">IF(ISNUMBER(B179),B179-B$203,"n/a")</f>
        <v>4.5423396965247109E-2</v>
      </c>
      <c r="C213" s="37">
        <f t="shared" si="69"/>
        <v>7.826178673135753E-2</v>
      </c>
      <c r="D213" s="37">
        <f t="shared" si="69"/>
        <v>-8.9265101962293203E-2</v>
      </c>
      <c r="E213" s="37">
        <f t="shared" si="69"/>
        <v>-1.1197916666666696E-2</v>
      </c>
      <c r="F213" s="37">
        <f t="shared" si="69"/>
        <v>-2.4757064067110646E-2</v>
      </c>
      <c r="G213" s="37">
        <f t="shared" si="69"/>
        <v>6.7972978016646257E-2</v>
      </c>
      <c r="H213" s="37">
        <f t="shared" si="69"/>
        <v>1.7847410723261792E-2</v>
      </c>
      <c r="I213" s="37">
        <f t="shared" si="69"/>
        <v>-0.10165018404790049</v>
      </c>
      <c r="J213" s="37">
        <f t="shared" si="69"/>
        <v>-0.1275351264552389</v>
      </c>
      <c r="K213" s="37" t="str">
        <f t="shared" si="69"/>
        <v>n/a</v>
      </c>
    </row>
    <row r="214" spans="1:11" x14ac:dyDescent="0.2">
      <c r="A214" t="s">
        <v>8</v>
      </c>
      <c r="B214" s="37">
        <f t="shared" ref="B214:K214" si="70">IF(ISNUMBER(B180),B180-B$203,"n/a")</f>
        <v>1.4711786478355693E-2</v>
      </c>
      <c r="C214" s="37">
        <f t="shared" si="70"/>
        <v>0.14046274366915656</v>
      </c>
      <c r="D214" s="37">
        <f t="shared" si="70"/>
        <v>1.0113780025284402E-2</v>
      </c>
      <c r="E214" s="37">
        <f t="shared" si="70"/>
        <v>-7.8124999999995559E-4</v>
      </c>
      <c r="F214" s="37">
        <f t="shared" si="70"/>
        <v>-7.8313031908792574E-2</v>
      </c>
      <c r="G214" s="37">
        <f t="shared" si="70"/>
        <v>-3.864230778939115E-2</v>
      </c>
      <c r="H214" s="37">
        <f t="shared" si="70"/>
        <v>0.40032503672420394</v>
      </c>
      <c r="I214" s="37">
        <f t="shared" si="70"/>
        <v>1.1175401181245492E-2</v>
      </c>
      <c r="J214" s="37">
        <f t="shared" si="70"/>
        <v>-3.315432994678269E-2</v>
      </c>
      <c r="K214" s="37" t="str">
        <f t="shared" si="70"/>
        <v>n/a</v>
      </c>
    </row>
    <row r="215" spans="1:11" x14ac:dyDescent="0.2">
      <c r="A215" t="s">
        <v>9</v>
      </c>
      <c r="B215" s="37">
        <f t="shared" ref="B215:K215" si="71">IF(ISNUMBER(B181),B181-B$203,"n/a")</f>
        <v>9.7895252080282269E-4</v>
      </c>
      <c r="C215" s="37">
        <f t="shared" si="71"/>
        <v>4.9553652760065736E-2</v>
      </c>
      <c r="D215" s="37">
        <f t="shared" si="71"/>
        <v>2.1102791014295352E-2</v>
      </c>
      <c r="E215" s="37">
        <f t="shared" si="71"/>
        <v>-6.5364583333333282E-2</v>
      </c>
      <c r="F215" s="37">
        <f t="shared" si="71"/>
        <v>-3.7142707979848089E-2</v>
      </c>
      <c r="G215" s="37">
        <f t="shared" si="71"/>
        <v>4.8282401364044158E-2</v>
      </c>
      <c r="H215" s="37">
        <f t="shared" si="71"/>
        <v>0.2700005207711087</v>
      </c>
      <c r="I215" s="37">
        <f t="shared" si="71"/>
        <v>-3.8602771814820525E-2</v>
      </c>
      <c r="J215" s="37">
        <f t="shared" si="71"/>
        <v>-0.13911209766925636</v>
      </c>
      <c r="K215" s="37" t="str">
        <f t="shared" si="71"/>
        <v>n/a</v>
      </c>
    </row>
    <row r="216" spans="1:11" x14ac:dyDescent="0.2">
      <c r="A216" t="s">
        <v>10</v>
      </c>
      <c r="B216" s="37">
        <f t="shared" ref="B216:K216" si="72">IF(ISNUMBER(B182),B182-B$203,"n/a")</f>
        <v>-2.8935577393727208E-2</v>
      </c>
      <c r="C216" s="37">
        <f t="shared" si="72"/>
        <v>-3.2322709935999061E-3</v>
      </c>
      <c r="D216" s="37">
        <f t="shared" si="72"/>
        <v>9.5828065739570256E-2</v>
      </c>
      <c r="E216" s="37">
        <f t="shared" si="72"/>
        <v>6.0992005813953476E-2</v>
      </c>
      <c r="F216" s="37">
        <f t="shared" si="72"/>
        <v>6.4691481308486454E-2</v>
      </c>
      <c r="G216" s="37">
        <f t="shared" si="72"/>
        <v>9.5750755794423936E-2</v>
      </c>
      <c r="H216" s="37">
        <f t="shared" si="72"/>
        <v>-0.24578895291310165</v>
      </c>
      <c r="I216" s="37">
        <f t="shared" si="72"/>
        <v>-3.2374856352022086E-3</v>
      </c>
      <c r="J216" s="37">
        <f t="shared" si="72"/>
        <v>3.7358490566037794E-2</v>
      </c>
      <c r="K216" s="37" t="str">
        <f t="shared" si="72"/>
        <v>n/a</v>
      </c>
    </row>
    <row r="217" spans="1:11" x14ac:dyDescent="0.2">
      <c r="A217" t="s">
        <v>11</v>
      </c>
      <c r="B217" s="37">
        <f t="shared" ref="B217:K217" si="73">IF(ISNUMBER(B183),B183-B$203,"n/a")</f>
        <v>7.2874377357404097E-2</v>
      </c>
      <c r="C217" s="37">
        <f t="shared" si="73"/>
        <v>-8.6809983603570728E-2</v>
      </c>
      <c r="D217" s="37">
        <f t="shared" si="73"/>
        <v>-4.5786841092728015E-2</v>
      </c>
      <c r="E217" s="37">
        <f t="shared" si="73"/>
        <v>-3.2031249999999956E-2</v>
      </c>
      <c r="F217" s="37">
        <f t="shared" si="73"/>
        <v>-2.679788039364106E-2</v>
      </c>
      <c r="G217" s="37">
        <f t="shared" si="73"/>
        <v>9.3871194307875161E-3</v>
      </c>
      <c r="H217" s="37">
        <f t="shared" si="73"/>
        <v>2.9211047086898256E-2</v>
      </c>
      <c r="I217" s="37">
        <f t="shared" si="73"/>
        <v>-3.2458264855981467E-2</v>
      </c>
      <c r="J217" s="37">
        <f t="shared" si="73"/>
        <v>-8.5598767809009768E-3</v>
      </c>
      <c r="K217" s="37" t="str">
        <f t="shared" si="73"/>
        <v>n/a</v>
      </c>
    </row>
    <row r="218" spans="1:11" x14ac:dyDescent="0.2">
      <c r="A218" t="s">
        <v>12</v>
      </c>
      <c r="B218" s="37">
        <f t="shared" ref="B218:K218" si="74">IF(ISNUMBER(B184),B184-B$203,"n/a")</f>
        <v>0.14239309393494404</v>
      </c>
      <c r="C218" s="37">
        <f t="shared" si="74"/>
        <v>3.4402137608550598E-2</v>
      </c>
      <c r="D218" s="37">
        <f t="shared" si="74"/>
        <v>-6.1314791403286995E-2</v>
      </c>
      <c r="E218" s="37">
        <f t="shared" si="74"/>
        <v>1.3020833333334814E-3</v>
      </c>
      <c r="F218" s="37">
        <f t="shared" si="74"/>
        <v>-4.9378525554931496E-2</v>
      </c>
      <c r="G218" s="37">
        <f t="shared" si="74"/>
        <v>-7.6404932828330496E-2</v>
      </c>
      <c r="H218" s="37">
        <f t="shared" si="74"/>
        <v>0.26532215819800942</v>
      </c>
      <c r="I218" s="37">
        <f t="shared" si="74"/>
        <v>9.5284681852482622E-2</v>
      </c>
      <c r="J218" s="37">
        <f t="shared" si="74"/>
        <v>-4.5974842767295465E-2</v>
      </c>
      <c r="K218" s="37" t="str">
        <f t="shared" si="74"/>
        <v>n/a</v>
      </c>
    </row>
    <row r="219" spans="1:11" x14ac:dyDescent="0.2">
      <c r="A219" t="s">
        <v>13</v>
      </c>
      <c r="B219" s="37">
        <f t="shared" ref="B219:K219" si="75">IF(ISNUMBER(B185),B185-B$203,"n/a")</f>
        <v>-0.12124326970141941</v>
      </c>
      <c r="C219" s="37">
        <f t="shared" si="75"/>
        <v>-0.13226452905811614</v>
      </c>
      <c r="D219" s="37">
        <f t="shared" si="75"/>
        <v>4.9074818986323487E-2</v>
      </c>
      <c r="E219" s="37">
        <f t="shared" si="75"/>
        <v>2.5661057692307754E-2</v>
      </c>
      <c r="F219" s="37">
        <f t="shared" si="75"/>
        <v>7.3202119606358806E-2</v>
      </c>
      <c r="G219" s="37">
        <f t="shared" si="75"/>
        <v>2.7568937612605815E-2</v>
      </c>
      <c r="H219" s="37">
        <f t="shared" si="75"/>
        <v>-0.15348126060540945</v>
      </c>
      <c r="I219" s="37">
        <f t="shared" si="75"/>
        <v>3.670107043238624E-2</v>
      </c>
      <c r="J219" s="37">
        <f t="shared" si="75"/>
        <v>0.15099485420240133</v>
      </c>
      <c r="K219" s="37" t="str">
        <f t="shared" si="75"/>
        <v>n/a</v>
      </c>
    </row>
    <row r="220" spans="1:11" x14ac:dyDescent="0.2">
      <c r="A220" t="s">
        <v>14</v>
      </c>
      <c r="B220" s="37">
        <f t="shared" ref="B220:K220" si="76">IF(ISNUMBER(B186),B186-B$203,"n/a")</f>
        <v>-0.12124326970141941</v>
      </c>
      <c r="C220" s="37">
        <f t="shared" si="76"/>
        <v>-1.1052407845995038E-2</v>
      </c>
      <c r="D220" s="37">
        <f t="shared" si="76"/>
        <v>5.6445826357330864E-2</v>
      </c>
      <c r="E220" s="37">
        <f t="shared" si="76"/>
        <v>1.3423295454545459E-2</v>
      </c>
      <c r="F220" s="37">
        <f t="shared" si="76"/>
        <v>6.885429351940231E-2</v>
      </c>
      <c r="G220" s="37">
        <f t="shared" si="76"/>
        <v>-8.1521971478303312E-2</v>
      </c>
      <c r="H220" s="37">
        <f t="shared" si="76"/>
        <v>-0.26104319020123734</v>
      </c>
      <c r="I220" s="37">
        <f t="shared" si="76"/>
        <v>-3.6719628492345002E-2</v>
      </c>
      <c r="J220" s="37">
        <f t="shared" si="76"/>
        <v>0.19580919479138981</v>
      </c>
      <c r="K220" s="37" t="str">
        <f t="shared" si="76"/>
        <v>n/a</v>
      </c>
    </row>
    <row r="221" spans="1:11" x14ac:dyDescent="0.2">
      <c r="A221" t="s">
        <v>15</v>
      </c>
      <c r="B221" s="37">
        <f t="shared" ref="B221:K221" si="77">IF(ISNUMBER(B187),B187-B$203,"n/a")</f>
        <v>4.4579515108707168E-2</v>
      </c>
      <c r="C221" s="37">
        <f t="shared" si="77"/>
        <v>6.7735470941883813E-2</v>
      </c>
      <c r="D221" s="37">
        <f t="shared" si="77"/>
        <v>-4.9410029498525132E-2</v>
      </c>
      <c r="E221" s="37">
        <f t="shared" si="77"/>
        <v>-3.2031249999999956E-2</v>
      </c>
      <c r="F221" s="37">
        <f t="shared" si="77"/>
        <v>2.7048273452512595E-2</v>
      </c>
      <c r="G221" s="37">
        <f t="shared" si="77"/>
        <v>-5.4249244205575975E-2</v>
      </c>
      <c r="H221" s="37">
        <f t="shared" si="77"/>
        <v>0.10875650163235284</v>
      </c>
      <c r="I221" s="37">
        <f t="shared" si="77"/>
        <v>0.103905371507655</v>
      </c>
      <c r="J221" s="37">
        <f t="shared" si="77"/>
        <v>-4.5974842767295465E-2</v>
      </c>
      <c r="K221" s="37" t="str">
        <f t="shared" si="77"/>
        <v>n/a</v>
      </c>
    </row>
    <row r="222" spans="1:11" x14ac:dyDescent="0.2">
      <c r="A222" t="s">
        <v>16</v>
      </c>
      <c r="B222" s="37">
        <f t="shared" ref="B222:K222" si="78">IF(ISNUMBER(B188),B188-B$203,"n/a")</f>
        <v>-6.9575554157053077E-3</v>
      </c>
      <c r="C222" s="37">
        <f t="shared" si="78"/>
        <v>-7.3440999646351424E-2</v>
      </c>
      <c r="D222" s="37">
        <f t="shared" si="78"/>
        <v>-2.1632251720747231E-2</v>
      </c>
      <c r="E222" s="37">
        <f t="shared" si="78"/>
        <v>-3.2031249999999956E-2</v>
      </c>
      <c r="F222" s="37">
        <f t="shared" si="78"/>
        <v>2.3202119606358762E-2</v>
      </c>
      <c r="G222" s="37">
        <f t="shared" si="78"/>
        <v>0.15009858188138048</v>
      </c>
      <c r="H222" s="37">
        <f t="shared" si="78"/>
        <v>-4.5788952913101699E-2</v>
      </c>
      <c r="I222" s="37">
        <f t="shared" si="78"/>
        <v>-5.6351038748755355E-2</v>
      </c>
      <c r="J222" s="37">
        <f t="shared" si="78"/>
        <v>0.12853496115427299</v>
      </c>
      <c r="K222" s="37" t="str">
        <f t="shared" si="78"/>
        <v>n/a</v>
      </c>
    </row>
    <row r="223" spans="1:11" x14ac:dyDescent="0.2">
      <c r="A223" t="s">
        <v>17</v>
      </c>
      <c r="B223" s="37">
        <f t="shared" ref="B223:K223" si="79">IF(ISNUMBER(B189),B189-B$203,"n/a")</f>
        <v>0.18003061564889888</v>
      </c>
      <c r="C223" s="37">
        <f t="shared" si="79"/>
        <v>0.14046274366915656</v>
      </c>
      <c r="D223" s="37">
        <f t="shared" si="79"/>
        <v>1.0113780025284402E-2</v>
      </c>
      <c r="E223" s="37">
        <f t="shared" si="79"/>
        <v>-1.6406249999999956E-2</v>
      </c>
      <c r="F223" s="37">
        <f t="shared" si="79"/>
        <v>4.2432888837128147E-2</v>
      </c>
      <c r="G223" s="37">
        <f t="shared" si="79"/>
        <v>5.6277071583897609E-2</v>
      </c>
      <c r="H223" s="37">
        <f t="shared" si="79"/>
        <v>4.5515394912985174E-2</v>
      </c>
      <c r="I223" s="37">
        <f t="shared" si="79"/>
        <v>0.103905371507655</v>
      </c>
      <c r="J223" s="37">
        <f t="shared" si="79"/>
        <v>-0.13764150943396225</v>
      </c>
      <c r="K223" s="37" t="str">
        <f t="shared" si="79"/>
        <v>n/a</v>
      </c>
    </row>
    <row r="224" spans="1:11" x14ac:dyDescent="0.2">
      <c r="A224" t="s">
        <v>18</v>
      </c>
      <c r="B224" s="37">
        <f t="shared" ref="B224:K224" si="80">IF(ISNUMBER(B190),B190-B$203,"n/a")</f>
        <v>0.2073281588700091</v>
      </c>
      <c r="C224" s="37">
        <f t="shared" si="80"/>
        <v>4.9553652760065736E-2</v>
      </c>
      <c r="D224" s="37">
        <f t="shared" si="80"/>
        <v>-5.582028590878152E-2</v>
      </c>
      <c r="E224" s="37">
        <f t="shared" si="80"/>
        <v>-3.2031249999999956E-2</v>
      </c>
      <c r="F224" s="37">
        <f t="shared" si="80"/>
        <v>-1.9655023250783943E-2</v>
      </c>
      <c r="G224" s="37">
        <f t="shared" si="80"/>
        <v>-7.6829889366866411E-2</v>
      </c>
      <c r="H224" s="37">
        <f t="shared" si="80"/>
        <v>0.15121703511085038</v>
      </c>
      <c r="I224" s="37">
        <f t="shared" si="80"/>
        <v>9.3905371507654989E-2</v>
      </c>
      <c r="J224" s="37">
        <f t="shared" si="80"/>
        <v>-5.1351186853316966E-2</v>
      </c>
      <c r="K224" s="37" t="str">
        <f t="shared" si="80"/>
        <v>n/a</v>
      </c>
    </row>
    <row r="225" spans="1:11" x14ac:dyDescent="0.2">
      <c r="A225" t="s">
        <v>19</v>
      </c>
      <c r="B225" s="37">
        <f t="shared" ref="B225:K225" si="81">IF(ISNUMBER(B191),B191-B$203,"n/a")</f>
        <v>0.11209006363191376</v>
      </c>
      <c r="C225" s="37">
        <f t="shared" si="81"/>
        <v>6.7735470941883813E-2</v>
      </c>
      <c r="D225" s="37">
        <f t="shared" si="81"/>
        <v>3.3923303834808349E-2</v>
      </c>
      <c r="E225" s="37">
        <f t="shared" si="81"/>
        <v>-6.7745535714285654E-2</v>
      </c>
      <c r="F225" s="37">
        <f t="shared" si="81"/>
        <v>6.5354529396921546E-3</v>
      </c>
      <c r="G225" s="37">
        <f t="shared" si="81"/>
        <v>-0.1084976102186479</v>
      </c>
      <c r="H225" s="37">
        <f t="shared" si="81"/>
        <v>0.24796104708689826</v>
      </c>
      <c r="I225" s="37">
        <f t="shared" si="81"/>
        <v>4.9983802880203987E-2</v>
      </c>
      <c r="J225" s="37">
        <f t="shared" si="81"/>
        <v>-4.8707083204454049E-2</v>
      </c>
      <c r="K225" s="37" t="str">
        <f t="shared" si="81"/>
        <v>n/a</v>
      </c>
    </row>
    <row r="226" spans="1:11" x14ac:dyDescent="0.2">
      <c r="A226" t="s">
        <v>20</v>
      </c>
      <c r="B226" s="37">
        <f t="shared" ref="B226:K226" si="82">IF(ISNUMBER(B192),B192-B$203,"n/a")</f>
        <v>-0.13033417879232867</v>
      </c>
      <c r="C226" s="37">
        <f t="shared" si="82"/>
        <v>-2.1153417947004982E-2</v>
      </c>
      <c r="D226" s="37">
        <f t="shared" si="82"/>
        <v>1.725663716814152E-2</v>
      </c>
      <c r="E226" s="37">
        <f t="shared" si="82"/>
        <v>5.4925271739130421E-2</v>
      </c>
      <c r="F226" s="37">
        <f t="shared" si="82"/>
        <v>3.3202119606358771E-2</v>
      </c>
      <c r="G226" s="37">
        <f t="shared" si="82"/>
        <v>-0.10252510627454159</v>
      </c>
      <c r="H226" s="37">
        <f t="shared" si="82"/>
        <v>-0.26382173979834755</v>
      </c>
      <c r="I226" s="37">
        <f t="shared" si="82"/>
        <v>-9.7309921287085377E-3</v>
      </c>
      <c r="J226" s="37">
        <f t="shared" si="82"/>
        <v>8.7358490566037839E-2</v>
      </c>
      <c r="K226" s="37" t="str">
        <f t="shared" si="82"/>
        <v>n/a</v>
      </c>
    </row>
    <row r="227" spans="1:11" x14ac:dyDescent="0.2">
      <c r="A227" t="s">
        <v>21</v>
      </c>
      <c r="B227" s="37">
        <f t="shared" ref="B227:K227" si="83">IF(ISNUMBER(B193),B193-B$203,"n/a")</f>
        <v>7.8756730298580546E-2</v>
      </c>
      <c r="C227" s="37">
        <f t="shared" si="83"/>
        <v>2.1581624788037601E-2</v>
      </c>
      <c r="D227" s="37">
        <f t="shared" si="83"/>
        <v>-6.6076696165191739E-2</v>
      </c>
      <c r="E227" s="37">
        <f t="shared" si="83"/>
        <v>-4.7656249999999956E-2</v>
      </c>
      <c r="F227" s="37">
        <f t="shared" si="83"/>
        <v>-9.1877245473006131E-2</v>
      </c>
      <c r="G227" s="37">
        <f t="shared" si="83"/>
        <v>-3.9424957393183746E-3</v>
      </c>
      <c r="H227" s="37">
        <f t="shared" si="83"/>
        <v>0.28087771375356496</v>
      </c>
      <c r="I227" s="37">
        <f t="shared" si="83"/>
        <v>5.062668298306483E-2</v>
      </c>
      <c r="J227" s="37">
        <f t="shared" si="83"/>
        <v>-2.0860687516153886E-2</v>
      </c>
      <c r="K227" s="37" t="str">
        <f t="shared" si="83"/>
        <v>n/a</v>
      </c>
    </row>
    <row r="228" spans="1:11" x14ac:dyDescent="0.2">
      <c r="A228" t="s">
        <v>22</v>
      </c>
      <c r="B228" s="37">
        <f t="shared" ref="B228:K228" si="84">IF(ISNUMBER(B194),B194-B$203,"n/a")</f>
        <v>8.3104556385537043E-2</v>
      </c>
      <c r="C228" s="37">
        <f t="shared" si="84"/>
        <v>-4.8931195724782883E-2</v>
      </c>
      <c r="D228" s="37">
        <f t="shared" si="84"/>
        <v>-5.582028590878152E-2</v>
      </c>
      <c r="E228" s="37">
        <f t="shared" si="84"/>
        <v>1.0825892857142971E-2</v>
      </c>
      <c r="F228" s="37">
        <f t="shared" si="84"/>
        <v>-3.5102091607643882E-3</v>
      </c>
      <c r="G228" s="37">
        <f t="shared" si="84"/>
        <v>-2.6200463717771294E-2</v>
      </c>
      <c r="H228" s="37">
        <f t="shared" si="84"/>
        <v>0.24880564168149277</v>
      </c>
      <c r="I228" s="37">
        <f t="shared" si="84"/>
        <v>-6.1348865780480599E-2</v>
      </c>
      <c r="J228" s="37">
        <f t="shared" si="84"/>
        <v>6.1084905660377942E-3</v>
      </c>
      <c r="K228" s="37" t="str">
        <f t="shared" si="84"/>
        <v>n/a</v>
      </c>
    </row>
    <row r="229" spans="1:11" x14ac:dyDescent="0.2">
      <c r="A229" t="s">
        <v>23</v>
      </c>
      <c r="B229" s="37">
        <f t="shared" ref="B229:K229" si="85">IF(ISNUMBER(B195),B195-B$203,"n/a")</f>
        <v>0.2787567302985805</v>
      </c>
      <c r="C229" s="37">
        <f t="shared" si="85"/>
        <v>0.2844021376085506</v>
      </c>
      <c r="D229" s="37">
        <f t="shared" si="85"/>
        <v>4.3727225403435765E-2</v>
      </c>
      <c r="E229" s="37">
        <f t="shared" si="85"/>
        <v>5.4687500000001332E-3</v>
      </c>
      <c r="F229" s="37">
        <f t="shared" si="85"/>
        <v>5.3925011172623938E-2</v>
      </c>
      <c r="G229" s="37">
        <f t="shared" si="85"/>
        <v>0.13146504150870975</v>
      </c>
      <c r="H229" s="37">
        <f t="shared" si="85"/>
        <v>1.9290412166263371E-2</v>
      </c>
      <c r="I229" s="37">
        <f t="shared" si="85"/>
        <v>-7.6327186631879984E-2</v>
      </c>
      <c r="J229" s="37">
        <f t="shared" si="85"/>
        <v>-2.7858900738310099E-2</v>
      </c>
      <c r="K229" s="37" t="str">
        <f t="shared" si="85"/>
        <v>n/a</v>
      </c>
    </row>
    <row r="230" spans="1:11" x14ac:dyDescent="0.2">
      <c r="A230" t="s">
        <v>24</v>
      </c>
      <c r="B230" s="37">
        <f t="shared" ref="B230:K230" si="86">IF(ISNUMBER(B196),B196-B$203,"n/a")</f>
        <v>-3.9425087883237619E-2</v>
      </c>
      <c r="C230" s="37">
        <f t="shared" si="86"/>
        <v>2.1581624788037601E-2</v>
      </c>
      <c r="D230" s="37">
        <f t="shared" si="86"/>
        <v>-6.6076696165191739E-2</v>
      </c>
      <c r="E230" s="37">
        <f t="shared" si="86"/>
        <v>3.0468750000000044E-2</v>
      </c>
      <c r="F230" s="37">
        <f t="shared" si="86"/>
        <v>-6.797435098187643E-2</v>
      </c>
      <c r="G230" s="37">
        <f t="shared" si="86"/>
        <v>0.34575075579442394</v>
      </c>
      <c r="H230" s="37">
        <f t="shared" si="86"/>
        <v>0.13569252856837966</v>
      </c>
      <c r="I230" s="37">
        <f t="shared" si="86"/>
        <v>-7.1094628492345047E-2</v>
      </c>
      <c r="J230" s="37">
        <f t="shared" si="86"/>
        <v>4.8986397542782001E-2</v>
      </c>
      <c r="K230" s="37" t="str">
        <f t="shared" si="86"/>
        <v>n/a</v>
      </c>
    </row>
    <row r="231" spans="1:11" x14ac:dyDescent="0.2">
      <c r="A231" t="s">
        <v>25</v>
      </c>
      <c r="B231" s="37">
        <f t="shared" ref="B231:K231" si="87">IF(ISNUMBER(B197),B197-B$203,"n/a")</f>
        <v>-3.9425087883237619E-2</v>
      </c>
      <c r="C231" s="37">
        <f t="shared" si="87"/>
        <v>9.8504701711114695E-2</v>
      </c>
      <c r="D231" s="37">
        <f t="shared" si="87"/>
        <v>5.4756637168141609E-2</v>
      </c>
      <c r="E231" s="37">
        <f t="shared" si="87"/>
        <v>-3.2031249999999956E-2</v>
      </c>
      <c r="F231" s="37">
        <f t="shared" si="87"/>
        <v>-4.7850511972588494E-2</v>
      </c>
      <c r="G231" s="37">
        <f t="shared" si="87"/>
        <v>-0.12985900030313702</v>
      </c>
      <c r="H231" s="37">
        <f t="shared" si="87"/>
        <v>0.12087771375356482</v>
      </c>
      <c r="I231" s="37">
        <f t="shared" si="87"/>
        <v>-9.7309921287085377E-3</v>
      </c>
      <c r="J231" s="37">
        <f t="shared" si="87"/>
        <v>1.6442048517519847E-3</v>
      </c>
      <c r="K231" s="37" t="str">
        <f t="shared" si="87"/>
        <v>n/a</v>
      </c>
    </row>
    <row r="232" spans="1:11" x14ac:dyDescent="0.2">
      <c r="A232" t="s">
        <v>26</v>
      </c>
      <c r="B232" s="37">
        <f t="shared" ref="B232:K232" si="88">IF(ISNUMBER(B198),B198-B$203,"n/a")</f>
        <v>5.1484003025853209E-2</v>
      </c>
      <c r="C232" s="37">
        <f t="shared" si="88"/>
        <v>1.0592613799026651E-2</v>
      </c>
      <c r="D232" s="37">
        <f t="shared" si="88"/>
        <v>-7.7433628318583914E-3</v>
      </c>
      <c r="E232" s="37">
        <f t="shared" si="88"/>
        <v>-1.8142361111111116E-2</v>
      </c>
      <c r="F232" s="37">
        <f t="shared" si="88"/>
        <v>-3.09074694347371E-2</v>
      </c>
      <c r="G232" s="37">
        <f t="shared" si="88"/>
        <v>-0.13924924420557616</v>
      </c>
      <c r="H232" s="37">
        <f t="shared" si="88"/>
        <v>0.2946051357568491</v>
      </c>
      <c r="I232" s="37">
        <f t="shared" si="88"/>
        <v>-3.4983517381233842E-2</v>
      </c>
      <c r="J232" s="37">
        <f t="shared" si="88"/>
        <v>-9.9388067312595751E-3</v>
      </c>
      <c r="K232" s="37" t="str">
        <f t="shared" si="88"/>
        <v>n/a</v>
      </c>
    </row>
    <row r="233" spans="1:11" x14ac:dyDescent="0.2">
      <c r="A233" t="s">
        <v>27</v>
      </c>
      <c r="B233" s="37">
        <f t="shared" ref="B233:K233" si="89">IF(ISNUMBER(B199),B199-B$203,"n/a")</f>
        <v>0.11209006363191376</v>
      </c>
      <c r="C233" s="37">
        <f t="shared" si="89"/>
        <v>-0.13226452905811614</v>
      </c>
      <c r="D233" s="37">
        <f t="shared" si="89"/>
        <v>-7.7433628318583914E-3</v>
      </c>
      <c r="E233" s="37">
        <f t="shared" si="89"/>
        <v>-4.2534722222222765E-3</v>
      </c>
      <c r="F233" s="37">
        <f t="shared" si="89"/>
        <v>-5.652761012337093E-2</v>
      </c>
      <c r="G233" s="37">
        <f t="shared" si="89"/>
        <v>-0.1441482341045659</v>
      </c>
      <c r="H233" s="37">
        <f t="shared" si="89"/>
        <v>0.27921104708689826</v>
      </c>
      <c r="I233" s="37">
        <f t="shared" si="89"/>
        <v>3.8520756123039623E-2</v>
      </c>
      <c r="J233" s="37">
        <f t="shared" si="89"/>
        <v>-6.9784366576819412E-2</v>
      </c>
      <c r="K233" s="37" t="str">
        <f t="shared" si="89"/>
        <v>n/a</v>
      </c>
    </row>
    <row r="234" spans="1:11" x14ac:dyDescent="0.2">
      <c r="A234" t="s">
        <v>28</v>
      </c>
      <c r="B234" s="37">
        <f t="shared" ref="B234:K234" si="90">IF(ISNUMBER(B200),B200-B$203,"n/a")</f>
        <v>5.1484003025853209E-2</v>
      </c>
      <c r="C234" s="37">
        <f t="shared" si="90"/>
        <v>8.2021185227598048E-2</v>
      </c>
      <c r="D234" s="37">
        <f t="shared" si="90"/>
        <v>0.10255075481520048</v>
      </c>
      <c r="E234" s="37">
        <f t="shared" si="90"/>
        <v>-8.2217261904762307E-3</v>
      </c>
      <c r="F234" s="37">
        <f t="shared" si="90"/>
        <v>2.6690491699382202E-2</v>
      </c>
      <c r="G234" s="37">
        <f t="shared" si="90"/>
        <v>9.5750755794423936E-2</v>
      </c>
      <c r="H234" s="37">
        <f t="shared" si="90"/>
        <v>-2.3208307751811486E-2</v>
      </c>
      <c r="I234" s="37">
        <f t="shared" si="90"/>
        <v>-7.2923896785027864E-2</v>
      </c>
      <c r="J234" s="37">
        <f t="shared" si="90"/>
        <v>1.4631217838765087E-2</v>
      </c>
      <c r="K234" s="37" t="str">
        <f t="shared" si="90"/>
        <v>n/a</v>
      </c>
    </row>
    <row r="235" spans="1:11" x14ac:dyDescent="0.2">
      <c r="A235" t="s">
        <v>29</v>
      </c>
      <c r="B235" s="37">
        <f t="shared" ref="B235:K235" si="91">IF(ISNUMBER(B201),B201-B$203,"n/a")</f>
        <v>9.7438048979899161E-2</v>
      </c>
      <c r="C235" s="37">
        <f t="shared" si="91"/>
        <v>3.4402137608550598E-2</v>
      </c>
      <c r="D235" s="37">
        <f t="shared" si="91"/>
        <v>1.0113780025284402E-2</v>
      </c>
      <c r="E235" s="37">
        <f t="shared" si="91"/>
        <v>5.4687500000001332E-3</v>
      </c>
      <c r="F235" s="37">
        <f t="shared" si="91"/>
        <v>-7.2581012923761623E-2</v>
      </c>
      <c r="G235" s="37">
        <f t="shared" si="91"/>
        <v>2.893612937281187E-3</v>
      </c>
      <c r="H235" s="37">
        <f t="shared" si="91"/>
        <v>0.18013697301282416</v>
      </c>
      <c r="I235" s="37">
        <f t="shared" si="91"/>
        <v>2.7726854235126108E-3</v>
      </c>
      <c r="J235" s="37">
        <f t="shared" si="91"/>
        <v>-5.7711931969173458E-2</v>
      </c>
      <c r="K235" s="37" t="str">
        <f t="shared" si="91"/>
        <v>n/a</v>
      </c>
    </row>
    <row r="236" spans="1:11" x14ac:dyDescent="0.2">
      <c r="A236" t="s">
        <v>30</v>
      </c>
      <c r="B236" s="37">
        <f t="shared" ref="B236:K236" si="92">IF(ISNUMBER(B202),B202-B$203,"n/a")</f>
        <v>0.17875673029858041</v>
      </c>
      <c r="C236" s="37">
        <f t="shared" si="92"/>
        <v>1.0592613799026651E-2</v>
      </c>
      <c r="D236" s="37">
        <f t="shared" si="92"/>
        <v>-7.7433628318583914E-3</v>
      </c>
      <c r="E236" s="37">
        <f t="shared" si="92"/>
        <v>-3.2031249999999956E-2</v>
      </c>
      <c r="F236" s="37">
        <f t="shared" si="92"/>
        <v>-5.4575658171418961E-2</v>
      </c>
      <c r="G236" s="37">
        <f t="shared" si="92"/>
        <v>0.14108754335919071</v>
      </c>
      <c r="H236" s="37">
        <f t="shared" si="92"/>
        <v>5.4211047086898168E-2</v>
      </c>
      <c r="I236" s="37">
        <f t="shared" si="92"/>
        <v>2.5333942936226483E-2</v>
      </c>
      <c r="J236" s="37">
        <f t="shared" si="92"/>
        <v>-6.6300046019328152E-2</v>
      </c>
      <c r="K236" s="37" t="str">
        <f t="shared" si="92"/>
        <v>n/a</v>
      </c>
    </row>
    <row r="239" spans="1:11" x14ac:dyDescent="0.2">
      <c r="A239" s="34" t="s">
        <v>315</v>
      </c>
      <c r="B239" s="1"/>
      <c r="C239" s="1"/>
      <c r="D239" s="1"/>
      <c r="E239" s="1"/>
    </row>
    <row r="240" spans="1:11" ht="37" customHeight="1" x14ac:dyDescent="0.2">
      <c r="A240" s="17" t="s">
        <v>0</v>
      </c>
      <c r="B240" s="17" t="s">
        <v>320</v>
      </c>
      <c r="C240" s="17" t="s">
        <v>321</v>
      </c>
      <c r="D240" s="40" t="s">
        <v>322</v>
      </c>
      <c r="E240" s="17" t="s">
        <v>323</v>
      </c>
    </row>
    <row r="241" spans="1:5" ht="16" customHeight="1" x14ac:dyDescent="0.2">
      <c r="A241" t="str">
        <f>A6</f>
        <v>Atlanta Hawks</v>
      </c>
      <c r="B241" s="123">
        <v>48</v>
      </c>
      <c r="C241" s="123">
        <v>34</v>
      </c>
      <c r="D241" s="124" t="s">
        <v>99</v>
      </c>
      <c r="E241" s="125">
        <f>INDEX($N$8:$N$13,MATCH(D241,$M$8:$M$13,0))</f>
        <v>2</v>
      </c>
    </row>
    <row r="242" spans="1:5" ht="16" customHeight="1" x14ac:dyDescent="0.2">
      <c r="A242" t="str">
        <f>A7</f>
        <v>Boston Celtics</v>
      </c>
      <c r="B242" s="123">
        <v>48</v>
      </c>
      <c r="C242" s="123">
        <v>34</v>
      </c>
      <c r="D242" s="124" t="s">
        <v>96</v>
      </c>
      <c r="E242" s="125">
        <f>INDEX($N$8:$N$13,MATCH(D242,$M$8:$M$13,0))</f>
        <v>1</v>
      </c>
    </row>
    <row r="243" spans="1:5" ht="16" customHeight="1" x14ac:dyDescent="0.2">
      <c r="A243" t="str">
        <f>A8</f>
        <v>Brooklyn Nets</v>
      </c>
      <c r="B243" s="123">
        <v>21</v>
      </c>
      <c r="C243" s="123">
        <v>61</v>
      </c>
      <c r="D243" s="124" t="s">
        <v>97</v>
      </c>
      <c r="E243" s="125">
        <f>INDEX($N$8:$N$13,MATCH(D243,$M$8:$M$13,0))</f>
        <v>0</v>
      </c>
    </row>
    <row r="244" spans="1:5" ht="16" customHeight="1" x14ac:dyDescent="0.2">
      <c r="A244" t="str">
        <f>A9</f>
        <v>Charlotte Hornets</v>
      </c>
      <c r="B244" s="123">
        <v>48</v>
      </c>
      <c r="C244" s="123">
        <v>34</v>
      </c>
      <c r="D244" s="124" t="s">
        <v>96</v>
      </c>
      <c r="E244" s="125">
        <f>INDEX($N$8:$N$13,MATCH(D244,$M$8:$M$13,0))</f>
        <v>1</v>
      </c>
    </row>
    <row r="245" spans="1:5" ht="16" customHeight="1" x14ac:dyDescent="0.2">
      <c r="A245" t="str">
        <f>A10</f>
        <v>Chicago Bulls</v>
      </c>
      <c r="B245" s="123">
        <v>42</v>
      </c>
      <c r="C245" s="123">
        <v>40</v>
      </c>
      <c r="D245" s="124" t="s">
        <v>97</v>
      </c>
      <c r="E245" s="125">
        <f>INDEX($N$8:$N$13,MATCH(D245,$M$8:$M$13,0))</f>
        <v>0</v>
      </c>
    </row>
    <row r="246" spans="1:5" ht="16" customHeight="1" x14ac:dyDescent="0.2">
      <c r="A246" t="str">
        <f>A11</f>
        <v>Cleveland Cavaliers</v>
      </c>
      <c r="B246" s="123">
        <v>57</v>
      </c>
      <c r="C246" s="123">
        <v>25</v>
      </c>
      <c r="D246" s="124" t="s">
        <v>101</v>
      </c>
      <c r="E246" s="125">
        <f>INDEX($N$8:$N$13,MATCH(D246,$M$8:$M$13,0))</f>
        <v>5</v>
      </c>
    </row>
    <row r="247" spans="1:5" ht="16" customHeight="1" x14ac:dyDescent="0.2">
      <c r="A247" t="str">
        <f>A12</f>
        <v>Dallas Mavericks</v>
      </c>
      <c r="B247" s="123">
        <v>42</v>
      </c>
      <c r="C247" s="123">
        <v>40</v>
      </c>
      <c r="D247" s="124" t="s">
        <v>96</v>
      </c>
      <c r="E247" s="125">
        <f>INDEX($N$8:$N$13,MATCH(D247,$M$8:$M$13,0))</f>
        <v>1</v>
      </c>
    </row>
    <row r="248" spans="1:5" ht="16" customHeight="1" x14ac:dyDescent="0.2">
      <c r="A248" t="str">
        <f>A13</f>
        <v>Denver Nuggets</v>
      </c>
      <c r="B248" s="123">
        <v>33</v>
      </c>
      <c r="C248" s="123">
        <v>49</v>
      </c>
      <c r="D248" s="124" t="s">
        <v>97</v>
      </c>
      <c r="E248" s="125">
        <f>INDEX($N$8:$N$13,MATCH(D248,$M$8:$M$13,0))</f>
        <v>0</v>
      </c>
    </row>
    <row r="249" spans="1:5" ht="16" customHeight="1" x14ac:dyDescent="0.2">
      <c r="A249" t="str">
        <f>A14</f>
        <v>Detroit Pistons</v>
      </c>
      <c r="B249" s="123">
        <v>44</v>
      </c>
      <c r="C249" s="123">
        <v>38</v>
      </c>
      <c r="D249" s="124" t="s">
        <v>96</v>
      </c>
      <c r="E249" s="125">
        <f>INDEX($N$8:$N$13,MATCH(D249,$M$8:$M$13,0))</f>
        <v>1</v>
      </c>
    </row>
    <row r="250" spans="1:5" ht="16" customHeight="1" x14ac:dyDescent="0.2">
      <c r="A250" t="str">
        <f>A15</f>
        <v>Golden State Warriors</v>
      </c>
      <c r="B250" s="123">
        <v>73</v>
      </c>
      <c r="C250" s="123">
        <v>9</v>
      </c>
      <c r="D250" s="124" t="s">
        <v>100</v>
      </c>
      <c r="E250" s="125">
        <f>INDEX($N$8:$N$13,MATCH(D250,$M$8:$M$13,0))</f>
        <v>4</v>
      </c>
    </row>
    <row r="251" spans="1:5" ht="16" customHeight="1" x14ac:dyDescent="0.2">
      <c r="A251" t="str">
        <f>A16</f>
        <v>Houston Rockets</v>
      </c>
      <c r="B251" s="123">
        <v>41</v>
      </c>
      <c r="C251" s="123">
        <v>41</v>
      </c>
      <c r="D251" s="124" t="s">
        <v>96</v>
      </c>
      <c r="E251" s="125">
        <f>INDEX($N$8:$N$13,MATCH(D251,$M$8:$M$13,0))</f>
        <v>1</v>
      </c>
    </row>
    <row r="252" spans="1:5" ht="16" customHeight="1" x14ac:dyDescent="0.2">
      <c r="A252" t="str">
        <f>A17</f>
        <v>Indiana Pacers</v>
      </c>
      <c r="B252" s="123">
        <v>45</v>
      </c>
      <c r="C252" s="123">
        <v>37</v>
      </c>
      <c r="D252" s="124" t="s">
        <v>96</v>
      </c>
      <c r="E252" s="125">
        <f>INDEX($N$8:$N$13,MATCH(D252,$M$8:$M$13,0))</f>
        <v>1</v>
      </c>
    </row>
    <row r="253" spans="1:5" ht="16" customHeight="1" x14ac:dyDescent="0.2">
      <c r="A253" t="str">
        <f>A18</f>
        <v>LA Clippers</v>
      </c>
      <c r="B253" s="123">
        <v>53</v>
      </c>
      <c r="C253" s="123">
        <v>29</v>
      </c>
      <c r="D253" s="124" t="s">
        <v>96</v>
      </c>
      <c r="E253" s="125">
        <f>INDEX($N$8:$N$13,MATCH(D253,$M$8:$M$13,0))</f>
        <v>1</v>
      </c>
    </row>
    <row r="254" spans="1:5" ht="16" customHeight="1" x14ac:dyDescent="0.2">
      <c r="A254" t="str">
        <f>A19</f>
        <v>Los Angeles Lakers</v>
      </c>
      <c r="B254" s="123">
        <v>17</v>
      </c>
      <c r="C254" s="123">
        <v>65</v>
      </c>
      <c r="D254" s="124" t="s">
        <v>97</v>
      </c>
      <c r="E254" s="125">
        <f>INDEX($N$8:$N$13,MATCH(D254,$M$8:$M$13,0))</f>
        <v>0</v>
      </c>
    </row>
    <row r="255" spans="1:5" ht="16" customHeight="1" x14ac:dyDescent="0.2">
      <c r="A255" t="str">
        <f>A20</f>
        <v>Memphis Grizzlies</v>
      </c>
      <c r="B255" s="123">
        <v>42</v>
      </c>
      <c r="C255" s="123">
        <v>40</v>
      </c>
      <c r="D255" s="124" t="s">
        <v>96</v>
      </c>
      <c r="E255" s="125">
        <f>INDEX($N$8:$N$13,MATCH(D255,$M$8:$M$13,0))</f>
        <v>1</v>
      </c>
    </row>
    <row r="256" spans="1:5" ht="16" customHeight="1" x14ac:dyDescent="0.2">
      <c r="A256" t="str">
        <f>A21</f>
        <v>Miami Heat</v>
      </c>
      <c r="B256" s="123">
        <v>48</v>
      </c>
      <c r="C256" s="123">
        <v>34</v>
      </c>
      <c r="D256" s="124" t="s">
        <v>99</v>
      </c>
      <c r="E256" s="125">
        <f>INDEX($N$8:$N$13,MATCH(D256,$M$8:$M$13,0))</f>
        <v>2</v>
      </c>
    </row>
    <row r="257" spans="1:5" ht="16" customHeight="1" x14ac:dyDescent="0.2">
      <c r="A257" t="str">
        <f>A22</f>
        <v>Milwaukee Bucks</v>
      </c>
      <c r="B257" s="123">
        <v>33</v>
      </c>
      <c r="C257" s="123">
        <v>49</v>
      </c>
      <c r="D257" s="124" t="s">
        <v>97</v>
      </c>
      <c r="E257" s="125">
        <f>INDEX($N$8:$N$13,MATCH(D257,$M$8:$M$13,0))</f>
        <v>0</v>
      </c>
    </row>
    <row r="258" spans="1:5" ht="16" customHeight="1" x14ac:dyDescent="0.2">
      <c r="A258" t="str">
        <f>A23</f>
        <v>Minnesota Timberwolves</v>
      </c>
      <c r="B258" s="123">
        <v>29</v>
      </c>
      <c r="C258" s="123">
        <v>53</v>
      </c>
      <c r="D258" s="124" t="s">
        <v>97</v>
      </c>
      <c r="E258" s="125">
        <f>INDEX($N$8:$N$13,MATCH(D258,$M$8:$M$13,0))</f>
        <v>0</v>
      </c>
    </row>
    <row r="259" spans="1:5" ht="16" customHeight="1" x14ac:dyDescent="0.2">
      <c r="A259" t="str">
        <f>A24</f>
        <v>New Orleans Pelicans</v>
      </c>
      <c r="B259" s="123">
        <v>30</v>
      </c>
      <c r="C259" s="123">
        <v>52</v>
      </c>
      <c r="D259" s="124" t="s">
        <v>97</v>
      </c>
      <c r="E259" s="125">
        <f>INDEX($N$8:$N$13,MATCH(D259,$M$8:$M$13,0))</f>
        <v>0</v>
      </c>
    </row>
    <row r="260" spans="1:5" ht="16" customHeight="1" x14ac:dyDescent="0.2">
      <c r="A260" t="str">
        <f>A25</f>
        <v>New York Knicks</v>
      </c>
      <c r="B260" s="123">
        <v>32</v>
      </c>
      <c r="C260" s="123">
        <v>50</v>
      </c>
      <c r="D260" s="124" t="s">
        <v>97</v>
      </c>
      <c r="E260" s="125">
        <f>INDEX($N$8:$N$13,MATCH(D260,$M$8:$M$13,0))</f>
        <v>0</v>
      </c>
    </row>
    <row r="261" spans="1:5" ht="16" customHeight="1" x14ac:dyDescent="0.2">
      <c r="A261" t="str">
        <f>A26</f>
        <v>Oklahoma City Thunder</v>
      </c>
      <c r="B261" s="123">
        <v>55</v>
      </c>
      <c r="C261" s="123">
        <v>27</v>
      </c>
      <c r="D261" s="124" t="s">
        <v>98</v>
      </c>
      <c r="E261" s="125">
        <f>INDEX($N$8:$N$13,MATCH(D261,$M$8:$M$13,0))</f>
        <v>3</v>
      </c>
    </row>
    <row r="262" spans="1:5" ht="16" customHeight="1" x14ac:dyDescent="0.2">
      <c r="A262" t="str">
        <f>A27</f>
        <v>Orlando Magic</v>
      </c>
      <c r="B262" s="123">
        <v>35</v>
      </c>
      <c r="C262" s="123">
        <v>47</v>
      </c>
      <c r="D262" s="124" t="s">
        <v>97</v>
      </c>
      <c r="E262" s="125">
        <f>INDEX($N$8:$N$13,MATCH(D262,$M$8:$M$13,0))</f>
        <v>0</v>
      </c>
    </row>
    <row r="263" spans="1:5" ht="16" customHeight="1" x14ac:dyDescent="0.2">
      <c r="A263" t="str">
        <f>A28</f>
        <v>Philadelphia 76ers</v>
      </c>
      <c r="B263" s="123">
        <v>10</v>
      </c>
      <c r="C263" s="123">
        <v>72</v>
      </c>
      <c r="D263" s="124" t="s">
        <v>97</v>
      </c>
      <c r="E263" s="125">
        <f>INDEX($N$8:$N$13,MATCH(D263,$M$8:$M$13,0))</f>
        <v>0</v>
      </c>
    </row>
    <row r="264" spans="1:5" ht="16" customHeight="1" x14ac:dyDescent="0.2">
      <c r="A264" t="str">
        <f>A29</f>
        <v>Phoenix Suns</v>
      </c>
      <c r="B264" s="123">
        <v>23</v>
      </c>
      <c r="C264" s="123">
        <v>59</v>
      </c>
      <c r="D264" s="124" t="s">
        <v>97</v>
      </c>
      <c r="E264" s="125">
        <f>INDEX($N$8:$N$13,MATCH(D264,$M$8:$M$13,0))</f>
        <v>0</v>
      </c>
    </row>
    <row r="265" spans="1:5" ht="16" customHeight="1" x14ac:dyDescent="0.2">
      <c r="A265" t="str">
        <f>A30</f>
        <v>Portland Trail Blazers</v>
      </c>
      <c r="B265" s="123">
        <v>44</v>
      </c>
      <c r="C265" s="123">
        <v>38</v>
      </c>
      <c r="D265" s="124" t="s">
        <v>99</v>
      </c>
      <c r="E265" s="125">
        <f>INDEX($N$8:$N$13,MATCH(D265,$M$8:$M$13,0))</f>
        <v>2</v>
      </c>
    </row>
    <row r="266" spans="1:5" ht="16" customHeight="1" x14ac:dyDescent="0.2">
      <c r="A266" t="str">
        <f>A31</f>
        <v>Sacramento Kings</v>
      </c>
      <c r="B266" s="123">
        <v>33</v>
      </c>
      <c r="C266" s="123">
        <v>49</v>
      </c>
      <c r="D266" s="124" t="s">
        <v>97</v>
      </c>
      <c r="E266" s="125">
        <f>INDEX($N$8:$N$13,MATCH(D266,$M$8:$M$13,0))</f>
        <v>0</v>
      </c>
    </row>
    <row r="267" spans="1:5" ht="16" customHeight="1" x14ac:dyDescent="0.2">
      <c r="A267" t="str">
        <f>A32</f>
        <v>San Antonio Spurs</v>
      </c>
      <c r="B267" s="123">
        <v>67</v>
      </c>
      <c r="C267" s="123">
        <v>15</v>
      </c>
      <c r="D267" s="124" t="s">
        <v>99</v>
      </c>
      <c r="E267" s="125">
        <f>INDEX($N$8:$N$13,MATCH(D267,$M$8:$M$13,0))</f>
        <v>2</v>
      </c>
    </row>
    <row r="268" spans="1:5" ht="16" customHeight="1" x14ac:dyDescent="0.2">
      <c r="A268" t="str">
        <f>A33</f>
        <v>Toronto Raptors</v>
      </c>
      <c r="B268" s="123">
        <v>56</v>
      </c>
      <c r="C268" s="123">
        <v>26</v>
      </c>
      <c r="D268" s="124" t="s">
        <v>98</v>
      </c>
      <c r="E268" s="125">
        <f>INDEX($N$8:$N$13,MATCH(D268,$M$8:$M$13,0))</f>
        <v>3</v>
      </c>
    </row>
    <row r="269" spans="1:5" ht="16" customHeight="1" x14ac:dyDescent="0.2">
      <c r="A269" t="str">
        <f>A34</f>
        <v>Utah Jazz</v>
      </c>
      <c r="B269" s="123">
        <v>40</v>
      </c>
      <c r="C269" s="123">
        <v>42</v>
      </c>
      <c r="D269" s="124" t="s">
        <v>97</v>
      </c>
      <c r="E269" s="125">
        <f>INDEX($N$8:$N$13,MATCH(D269,$M$8:$M$13,0))</f>
        <v>0</v>
      </c>
    </row>
    <row r="270" spans="1:5" ht="16" customHeight="1" x14ac:dyDescent="0.2">
      <c r="A270" t="str">
        <f>A35</f>
        <v>Washington Wizards</v>
      </c>
      <c r="B270" s="123">
        <v>41</v>
      </c>
      <c r="C270" s="123">
        <v>41</v>
      </c>
      <c r="D270" s="124" t="s">
        <v>97</v>
      </c>
      <c r="E270" s="125">
        <f>INDEX($N$8:$N$13,MATCH(D270,$M$8:$M$13,0))</f>
        <v>0</v>
      </c>
    </row>
  </sheetData>
  <mergeCells count="6">
    <mergeCell ref="M59:Q64"/>
    <mergeCell ref="A1:K1"/>
    <mergeCell ref="M35:Q40"/>
    <mergeCell ref="M41:Q46"/>
    <mergeCell ref="M47:Q52"/>
    <mergeCell ref="M53:Q58"/>
  </mergeCells>
  <conditionalFormatting sqref="B6:K35">
    <cfRule type="expression" dxfId="6" priority="7">
      <formula>B107="Won Finals"</formula>
    </cfRule>
  </conditionalFormatting>
  <conditionalFormatting sqref="B72:K101">
    <cfRule type="expression" dxfId="5" priority="5">
      <formula>B107="Won Finals"</formula>
    </cfRule>
    <cfRule type="expression" dxfId="4" priority="6">
      <formula>B72&lt;=B$102</formula>
    </cfRule>
  </conditionalFormatting>
  <conditionalFormatting sqref="B107:K136">
    <cfRule type="expression" dxfId="3" priority="3">
      <formula>B107="Won Finals"</formula>
    </cfRule>
    <cfRule type="expression" dxfId="2" priority="4">
      <formula>B107="Missed Playoffs"</formula>
    </cfRule>
  </conditionalFormatting>
  <conditionalFormatting sqref="B241:E270">
    <cfRule type="expression" dxfId="1" priority="1">
      <formula>B241="Won Finals"</formula>
    </cfRule>
    <cfRule type="expression" dxfId="0" priority="2">
      <formula>B241="Missed Playoffs"</formula>
    </cfRule>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E9FE3-F041-564A-83C7-20C203373CBB}">
  <dimension ref="A1:Q304"/>
  <sheetViews>
    <sheetView workbookViewId="0">
      <pane ySplit="4" topLeftCell="A5" activePane="bottomLeft" state="frozen"/>
      <selection pane="bottomLeft" activeCell="E22" sqref="E22"/>
    </sheetView>
  </sheetViews>
  <sheetFormatPr baseColWidth="10" defaultRowHeight="16" x14ac:dyDescent="0.2"/>
  <cols>
    <col min="1" max="1" width="28.33203125" customWidth="1"/>
    <col min="2" max="7" width="14.6640625" customWidth="1"/>
    <col min="8" max="8" width="18.33203125" customWidth="1"/>
    <col min="9" max="10" width="15.83203125" customWidth="1"/>
    <col min="11" max="13" width="14.6640625" customWidth="1"/>
    <col min="14" max="14" width="16.6640625" customWidth="1"/>
    <col min="15" max="16" width="14.6640625" customWidth="1"/>
    <col min="17" max="17" width="18.33203125" customWidth="1"/>
  </cols>
  <sheetData>
    <row r="1" spans="1:17" ht="27" x14ac:dyDescent="0.35">
      <c r="A1" s="103" t="s">
        <v>299</v>
      </c>
      <c r="B1" s="103"/>
      <c r="C1" s="103"/>
      <c r="D1" s="103"/>
      <c r="E1" s="103"/>
      <c r="F1" s="103"/>
      <c r="G1" s="103"/>
      <c r="H1" s="103"/>
      <c r="I1" s="103"/>
      <c r="J1" s="103"/>
      <c r="K1" s="103"/>
      <c r="L1" s="103"/>
      <c r="M1" s="103"/>
      <c r="N1" s="103"/>
      <c r="O1" s="103"/>
      <c r="P1" s="103"/>
      <c r="Q1" s="103"/>
    </row>
    <row r="2" spans="1:17" ht="66" customHeight="1" x14ac:dyDescent="0.2">
      <c r="A2" s="104" t="s">
        <v>344</v>
      </c>
      <c r="B2" s="104"/>
      <c r="C2" s="104"/>
      <c r="D2" s="104"/>
      <c r="E2" s="104"/>
      <c r="F2" s="104"/>
      <c r="G2" s="104"/>
      <c r="H2" s="104"/>
      <c r="I2" s="104"/>
      <c r="J2" s="104"/>
      <c r="K2" s="104"/>
      <c r="L2" s="104"/>
      <c r="M2" s="104"/>
      <c r="N2" s="104"/>
      <c r="O2" s="104"/>
      <c r="P2" s="104"/>
      <c r="Q2" s="104"/>
    </row>
    <row r="3" spans="1:17" x14ac:dyDescent="0.2">
      <c r="A3" s="65"/>
      <c r="B3" s="65"/>
      <c r="C3" s="65"/>
      <c r="D3" s="65"/>
      <c r="E3" s="65"/>
      <c r="F3" s="65"/>
      <c r="G3" s="65"/>
      <c r="H3" s="65"/>
      <c r="I3" s="65"/>
      <c r="J3" s="65"/>
      <c r="K3" s="65"/>
      <c r="L3" s="65"/>
      <c r="M3" s="65"/>
      <c r="N3" s="65"/>
      <c r="O3" s="65"/>
      <c r="P3" s="65"/>
    </row>
    <row r="4" spans="1:17" x14ac:dyDescent="0.2">
      <c r="A4" s="112" t="s">
        <v>300</v>
      </c>
      <c r="B4" s="111" t="s">
        <v>301</v>
      </c>
      <c r="C4" s="111" t="s">
        <v>302</v>
      </c>
      <c r="D4" s="111" t="s">
        <v>303</v>
      </c>
      <c r="E4" s="111" t="s">
        <v>304</v>
      </c>
      <c r="F4" s="111" t="s">
        <v>305</v>
      </c>
      <c r="G4" s="111" t="s">
        <v>306</v>
      </c>
      <c r="H4" s="111" t="s">
        <v>307</v>
      </c>
      <c r="I4" s="111" t="s">
        <v>341</v>
      </c>
      <c r="J4" s="111" t="s">
        <v>342</v>
      </c>
      <c r="K4" s="111" t="s">
        <v>308</v>
      </c>
      <c r="L4" s="111" t="s">
        <v>309</v>
      </c>
      <c r="M4" s="111" t="s">
        <v>310</v>
      </c>
      <c r="N4" s="111" t="s">
        <v>311</v>
      </c>
      <c r="O4" s="111" t="s">
        <v>312</v>
      </c>
      <c r="P4" s="114" t="s">
        <v>313</v>
      </c>
      <c r="Q4" s="114" t="s">
        <v>343</v>
      </c>
    </row>
    <row r="5" spans="1:17" x14ac:dyDescent="0.2">
      <c r="A5" s="113" t="str" cm="1">
        <f t="array" ref="A5">INDEX('NBA Valuations'!$A$5:$A$34,INT((ROW()-5)/10)+1)</f>
        <v>Atlanta Hawks</v>
      </c>
      <c r="B5" s="105">
        <f>2017+MOD(ROW()-5,10)</f>
        <v>2017</v>
      </c>
      <c r="C5" s="106">
        <f>IFERROR(INDEX('NBA Valuations'!$B$5:$K$34,MATCH($A5,'NBA Valuations'!$A$5:$A$34,0),MATCH(""&amp;$B5,'NBA Valuations'!$B$3:$K$3,0)),"n/a")</f>
        <v>885</v>
      </c>
      <c r="D5" s="106">
        <f>IFERROR(INDEX(Revenue!$B$5:$K$34,MATCH($A5,Revenue!$A$5:$A$34,0),MATCH(""&amp;$B5,Revenue!$B$3:$K$3,0)),"n/a")</f>
        <v>169</v>
      </c>
      <c r="E5" s="106">
        <f>IFERROR(INDEX('Operating Income'!$B$5:$K$34,MATCH($A5,'Operating Income'!$A$5:$A$34,0),MATCH(""&amp;$B5,'Operating Income'!$B$3:$K$3,0)),"n/a")</f>
        <v>19.8</v>
      </c>
      <c r="F5" s="107">
        <f>IFERROR(INDEX('Market Size'!$L$5:$L$34,MATCH($A5,'Market Size'!$A$5:$A$34,0)),"n/a")</f>
        <v>6120770</v>
      </c>
      <c r="G5" s="108" t="str">
        <f>IFERROR(INDEX('Market Size'!$B$38:$K$67,MATCH($A5,'Market Size'!$A$38:$A$67,0),MATCH(""&amp;($B5-1),'Market Size'!$B$36:$K$36,0)),"n/a")</f>
        <v>n/a</v>
      </c>
      <c r="H5" s="108">
        <f>IFERROR(INDEX(Arena!$B$38:$K$67,MATCH($A5,Arena!$A$38:$A$67,0),MATCH(""&amp;$B5,Arena!$B$36:$K$36,0)),"n/a")</f>
        <v>1999</v>
      </c>
      <c r="I5" s="136" t="str">
        <f>IFERROR(INDEX(Arena!$B$71:$K$100,MATCH($A5,Arena!$A$71:$A$100,0),MATCH(""&amp;$B5,Arena!$B$69:$K$69,0)),"n/a")</f>
        <v>N</v>
      </c>
      <c r="J5" s="137">
        <f>IF(ISNUMBER($H5),($B5-1)-$H5,"n/a")</f>
        <v>17</v>
      </c>
      <c r="K5" s="108">
        <f>IF($B5=2017,IFERROR(INDEX('Team Performance'!$B$241:$B$270,MATCH($A5,'Team Performance'!$A$241:$A$270,0)),"n/a"),IFERROR(INDEX('Team Performance'!$B$6:$K$35,MATCH($A5,'Team Performance'!$A$6:$A$35,0),MATCH(($B5-2)&amp;"-"&amp;RIGHT($B5-1,2),'Team Performance'!$B$5:$K$5,0)),"n/a"))</f>
        <v>48</v>
      </c>
      <c r="L5" s="108">
        <f>IF($B5=2017,IFERROR(INDEX('Team Performance'!$C$241:$C$270,MATCH($A5,'Team Performance'!$A$241:$A$270,0)),"n/a"),IFERROR(INDEX('Team Performance'!$B$39:$K$68,MATCH($A5,'Team Performance'!$A$39:$A$68,0),MATCH(($B5-2)&amp;"-"&amp;RIGHT($B5-1,2),'Team Performance'!$B$38:$K$38,0)),"n/a"))</f>
        <v>34</v>
      </c>
      <c r="M5" s="109">
        <f>IF(AND(ISNUMBER($K5),ISNUMBER($L5)),$K5/($K5+$L5),"n/a")</f>
        <v>0.58536585365853655</v>
      </c>
      <c r="N5" s="108">
        <f>IF($B5=2017,IFERROR(INDEX('Team Performance'!$E$241:$E$270,MATCH($A5,'Team Performance'!$A$241:$A$270,0)),"n/a"),IFERROR(INDEX('Team Performance'!$B$140:$K$169,MATCH($A5,'Team Performance'!$A$140:$A$169,0),MATCH(($B5-2)&amp;"-"&amp;RIGHT($B5-1,2),'Team Performance'!$B$139:$K$139,0)),"n/a"))</f>
        <v>2</v>
      </c>
      <c r="O5" s="110">
        <f>IF($B5=2017,IFERROR(INDEX('Salary Cap'!$B$143:$B$172,MATCH($A5,'Salary Cap'!$A$143:$A$172,0)),"n/a"),IFERROR(INDEX('Salary Cap'!$B$10:$K$39,MATCH($A5,'Salary Cap'!$A$10:$A$39,0),MATCH(""&amp;($B5-1),'Salary Cap'!$B$9:$K$9,0)),"n/a"))</f>
        <v>71407945</v>
      </c>
      <c r="P5" s="115">
        <f>IF($B5=2017,IFERROR(INDEX('Salary Cap'!$C$143:$C$172,MATCH($A5,'Salary Cap'!$A$143:$A$172,0)),"n/a"),IFERROR(INDEX('Salary Cap'!$B$109:$K$138,MATCH($A5,'Salary Cap'!$A$109:$A$138,0),MATCH(""&amp;($B5-1),'Salary Cap'!$B$108:$K$108,0)),"n/a"))</f>
        <v>0</v>
      </c>
      <c r="Q5" s="138">
        <f>IF(OR($B5=2021,$B5=2022),1,0)</f>
        <v>0</v>
      </c>
    </row>
    <row r="6" spans="1:17" x14ac:dyDescent="0.2">
      <c r="A6" s="113" t="str" cm="1">
        <f t="array" ref="A6">INDEX('NBA Valuations'!$A$5:$A$34,INT((ROW()-5)/10)+1)</f>
        <v>Atlanta Hawks</v>
      </c>
      <c r="B6" s="105">
        <f t="shared" ref="B6:B69" si="0">2017+MOD(ROW()-5,10)</f>
        <v>2018</v>
      </c>
      <c r="C6" s="106">
        <f>IFERROR(INDEX('NBA Valuations'!$B$5:$K$34,MATCH($A6,'NBA Valuations'!$A$5:$A$34,0),MATCH(""&amp;$B6,'NBA Valuations'!$B$3:$K$3,0)),"n/a")</f>
        <v>1200</v>
      </c>
      <c r="D6" s="106">
        <f>IFERROR(INDEX(Revenue!$B$5:$K$34,MATCH($A6,Revenue!$A$5:$A$34,0),MATCH(""&amp;$B6,Revenue!$B$3:$K$3,0)),"n/a")</f>
        <v>209</v>
      </c>
      <c r="E6" s="106">
        <f>IFERROR(INDEX('Operating Income'!$B$5:$K$34,MATCH($A6,'Operating Income'!$A$5:$A$34,0),MATCH(""&amp;$B6,'Operating Income'!$B$3:$K$3,0)),"n/a")</f>
        <v>22</v>
      </c>
      <c r="F6" s="107">
        <f>IFERROR(INDEX('Market Size'!$L$5:$L$34,MATCH($A6,'Market Size'!$A$5:$A$34,0)),"n/a")</f>
        <v>6120770</v>
      </c>
      <c r="G6" s="108" t="str">
        <f>IFERROR(INDEX('Market Size'!$B$38:$K$67,MATCH($A6,'Market Size'!$A$38:$A$67,0),MATCH(""&amp;($B6-1),'Market Size'!$B$36:$K$36,0)),"n/a")</f>
        <v>n/a</v>
      </c>
      <c r="H6" s="108">
        <f>IFERROR(INDEX(Arena!$B$38:$K$67,MATCH($A6,Arena!$A$38:$A$67,0),MATCH(""&amp;$B6,Arena!$B$36:$K$36,0)),"n/a")</f>
        <v>1999</v>
      </c>
      <c r="I6" s="136" t="str">
        <f>IFERROR(INDEX(Arena!$B$71:$K$100,MATCH($A6,Arena!$A$71:$A$100,0),MATCH(""&amp;$B6,Arena!$B$69:$K$69,0)),"n/a")</f>
        <v>N</v>
      </c>
      <c r="J6" s="137">
        <f>IF(ISNUMBER($H6),($B6-1)-$H6,"n/a")</f>
        <v>18</v>
      </c>
      <c r="K6" s="108">
        <f>IF($B6=2017,IFERROR(INDEX('Team Performance'!$B$241:$B$270,MATCH($A6,'Team Performance'!$A$241:$A$270,0)),"n/a"),IFERROR(INDEX('Team Performance'!$B$6:$K$35,MATCH($A6,'Team Performance'!$A$6:$A$35,0),MATCH(($B6-2)&amp;"-"&amp;RIGHT($B6-1,2),'Team Performance'!$B$5:$K$5,0)),"n/a"))</f>
        <v>43</v>
      </c>
      <c r="L6" s="108">
        <f>IF($B6=2017,IFERROR(INDEX('Team Performance'!$C$241:$C$270,MATCH($A6,'Team Performance'!$A$241:$A$270,0)),"n/a"),IFERROR(INDEX('Team Performance'!$B$39:$K$68,MATCH($A6,'Team Performance'!$A$39:$A$68,0),MATCH(($B6-2)&amp;"-"&amp;RIGHT($B6-1,2),'Team Performance'!$B$38:$K$38,0)),"n/a"))</f>
        <v>39</v>
      </c>
      <c r="M6" s="109">
        <f t="shared" ref="M6:M69" si="1">IF(AND(ISNUMBER($K6),ISNUMBER($L6)),$K6/($K6+$L6),"n/a")</f>
        <v>0.52439024390243905</v>
      </c>
      <c r="N6" s="108">
        <f>IF($B6=2017,IFERROR(INDEX('Team Performance'!$E$241:$E$270,MATCH($A6,'Team Performance'!$A$241:$A$270,0)),"n/a"),IFERROR(INDEX('Team Performance'!$B$140:$K$169,MATCH($A6,'Team Performance'!$A$140:$A$169,0),MATCH(($B6-2)&amp;"-"&amp;RIGHT($B6-1,2),'Team Performance'!$B$139:$K$139,0)),"n/a"))</f>
        <v>1</v>
      </c>
      <c r="O6" s="110">
        <f>IF($B6=2017,IFERROR(INDEX('Salary Cap'!$B$143:$B$172,MATCH($A6,'Salary Cap'!$A$143:$A$172,0)),"n/a"),IFERROR(INDEX('Salary Cap'!$B$10:$K$39,MATCH($A6,'Salary Cap'!$A$10:$A$39,0),MATCH(""&amp;($B6-1),'Salary Cap'!$B$9:$K$9,0)),"n/a"))</f>
        <v>95576245</v>
      </c>
      <c r="P6" s="115">
        <f>IF($B6=2017,IFERROR(INDEX('Salary Cap'!$C$143:$C$172,MATCH($A6,'Salary Cap'!$A$143:$A$172,0)),"n/a"),IFERROR(INDEX('Salary Cap'!$B$109:$K$138,MATCH($A6,'Salary Cap'!$A$109:$A$138,0),MATCH(""&amp;($B6-1),'Salary Cap'!$B$108:$K$108,0)),"n/a"))</f>
        <v>0</v>
      </c>
      <c r="Q6" s="138">
        <f>IF(OR($B6=2021,$B6=2022),1,0)</f>
        <v>0</v>
      </c>
    </row>
    <row r="7" spans="1:17" x14ac:dyDescent="0.2">
      <c r="A7" s="113" t="str" cm="1">
        <f t="array" ref="A7">INDEX('NBA Valuations'!$A$5:$A$34,INT((ROW()-5)/10)+1)</f>
        <v>Atlanta Hawks</v>
      </c>
      <c r="B7" s="105">
        <f t="shared" si="0"/>
        <v>2019</v>
      </c>
      <c r="C7" s="106">
        <f>IFERROR(INDEX('NBA Valuations'!$B$5:$K$34,MATCH($A7,'NBA Valuations'!$A$5:$A$34,0),MATCH(""&amp;$B7,'NBA Valuations'!$B$3:$K$3,0)),"n/a")</f>
        <v>1300</v>
      </c>
      <c r="D7" s="106">
        <f>IFERROR(INDEX(Revenue!$B$5:$K$34,MATCH($A7,Revenue!$A$5:$A$34,0),MATCH(""&amp;$B7,Revenue!$B$3:$K$3,0)),"n/a")</f>
        <v>215</v>
      </c>
      <c r="E7" s="106">
        <f>IFERROR(INDEX('Operating Income'!$B$5:$K$34,MATCH($A7,'Operating Income'!$A$5:$A$34,0),MATCH(""&amp;$B7,'Operating Income'!$B$3:$K$3,0)),"n/a")</f>
        <v>42</v>
      </c>
      <c r="F7" s="107">
        <f>IFERROR(INDEX('Market Size'!$L$5:$L$34,MATCH($A7,'Market Size'!$A$5:$A$34,0)),"n/a")</f>
        <v>6120770</v>
      </c>
      <c r="G7" s="108" t="str">
        <f>IFERROR(INDEX('Market Size'!$B$38:$K$67,MATCH($A7,'Market Size'!$A$38:$A$67,0),MATCH(""&amp;($B7-1),'Market Size'!$B$36:$K$36,0)),"n/a")</f>
        <v>n/a</v>
      </c>
      <c r="H7" s="108">
        <f>IFERROR(INDEX(Arena!$B$38:$K$67,MATCH($A7,Arena!$A$38:$A$67,0),MATCH(""&amp;$B7,Arena!$B$36:$K$36,0)),"n/a")</f>
        <v>1999</v>
      </c>
      <c r="I7" s="136" t="str">
        <f>IFERROR(INDEX(Arena!$B$71:$K$100,MATCH($A7,Arena!$A$71:$A$100,0),MATCH(""&amp;$B7,Arena!$B$69:$K$69,0)),"n/a")</f>
        <v>N</v>
      </c>
      <c r="J7" s="137">
        <f>IF(ISNUMBER($H7),($B7-1)-$H7,"n/a")</f>
        <v>19</v>
      </c>
      <c r="K7" s="108">
        <f>IF($B7=2017,IFERROR(INDEX('Team Performance'!$B$241:$B$270,MATCH($A7,'Team Performance'!$A$241:$A$270,0)),"n/a"),IFERROR(INDEX('Team Performance'!$B$6:$K$35,MATCH($A7,'Team Performance'!$A$6:$A$35,0),MATCH(($B7-2)&amp;"-"&amp;RIGHT($B7-1,2),'Team Performance'!$B$5:$K$5,0)),"n/a"))</f>
        <v>24</v>
      </c>
      <c r="L7" s="108">
        <f>IF($B7=2017,IFERROR(INDEX('Team Performance'!$C$241:$C$270,MATCH($A7,'Team Performance'!$A$241:$A$270,0)),"n/a"),IFERROR(INDEX('Team Performance'!$B$39:$K$68,MATCH($A7,'Team Performance'!$A$39:$A$68,0),MATCH(($B7-2)&amp;"-"&amp;RIGHT($B7-1,2),'Team Performance'!$B$38:$K$38,0)),"n/a"))</f>
        <v>58</v>
      </c>
      <c r="M7" s="109">
        <f t="shared" si="1"/>
        <v>0.29268292682926828</v>
      </c>
      <c r="N7" s="108">
        <f>IF($B7=2017,IFERROR(INDEX('Team Performance'!$E$241:$E$270,MATCH($A7,'Team Performance'!$A$241:$A$270,0)),"n/a"),IFERROR(INDEX('Team Performance'!$B$140:$K$169,MATCH($A7,'Team Performance'!$A$140:$A$169,0),MATCH(($B7-2)&amp;"-"&amp;RIGHT($B7-1,2),'Team Performance'!$B$139:$K$139,0)),"n/a"))</f>
        <v>0</v>
      </c>
      <c r="O7" s="110">
        <f>IF($B7=2017,IFERROR(INDEX('Salary Cap'!$B$143:$B$172,MATCH($A7,'Salary Cap'!$A$143:$A$172,0)),"n/a"),IFERROR(INDEX('Salary Cap'!$B$10:$K$39,MATCH($A7,'Salary Cap'!$A$10:$A$39,0),MATCH(""&amp;($B7-1),'Salary Cap'!$B$9:$K$9,0)),"n/a"))</f>
        <v>100108457</v>
      </c>
      <c r="P7" s="115">
        <f>IF($B7=2017,IFERROR(INDEX('Salary Cap'!$C$143:$C$172,MATCH($A7,'Salary Cap'!$A$143:$A$172,0)),"n/a"),IFERROR(INDEX('Salary Cap'!$B$109:$K$138,MATCH($A7,'Salary Cap'!$A$109:$A$138,0),MATCH(""&amp;($B7-1),'Salary Cap'!$B$108:$K$108,0)),"n/a"))</f>
        <v>0</v>
      </c>
      <c r="Q7" s="138">
        <f>IF(OR($B7=2021,$B7=2022),1,0)</f>
        <v>0</v>
      </c>
    </row>
    <row r="8" spans="1:17" x14ac:dyDescent="0.2">
      <c r="A8" s="113" t="str" cm="1">
        <f t="array" ref="A8">INDEX('NBA Valuations'!$A$5:$A$34,INT((ROW()-5)/10)+1)</f>
        <v>Atlanta Hawks</v>
      </c>
      <c r="B8" s="105">
        <f t="shared" si="0"/>
        <v>2020</v>
      </c>
      <c r="C8" s="106">
        <f>IFERROR(INDEX('NBA Valuations'!$B$5:$K$34,MATCH($A8,'NBA Valuations'!$A$5:$A$34,0),MATCH(""&amp;$B8,'NBA Valuations'!$B$3:$K$3,0)),"n/a")</f>
        <v>1500</v>
      </c>
      <c r="D8" s="106">
        <f>IFERROR(INDEX(Revenue!$B$5:$K$34,MATCH($A8,Revenue!$A$5:$A$34,0),MATCH(""&amp;$B8,Revenue!$B$3:$K$3,0)),"n/a")</f>
        <v>251</v>
      </c>
      <c r="E8" s="106">
        <f>IFERROR(INDEX('Operating Income'!$B$5:$K$34,MATCH($A8,'Operating Income'!$A$5:$A$34,0),MATCH(""&amp;$B8,'Operating Income'!$B$3:$K$3,0)),"n/a")</f>
        <v>78</v>
      </c>
      <c r="F8" s="107">
        <f>IFERROR(INDEX('Market Size'!$L$5:$L$34,MATCH($A8,'Market Size'!$A$5:$A$34,0)),"n/a")</f>
        <v>6120770</v>
      </c>
      <c r="G8" s="108" t="str">
        <f>IFERROR(INDEX('Market Size'!$B$38:$K$67,MATCH($A8,'Market Size'!$A$38:$A$67,0),MATCH(""&amp;($B8-1),'Market Size'!$B$36:$K$36,0)),"n/a")</f>
        <v>n/a</v>
      </c>
      <c r="H8" s="108">
        <f>IFERROR(INDEX(Arena!$B$38:$K$67,MATCH($A8,Arena!$A$38:$A$67,0),MATCH(""&amp;$B8,Arena!$B$36:$K$36,0)),"n/a")</f>
        <v>1999</v>
      </c>
      <c r="I8" s="136" t="str">
        <f>IFERROR(INDEX(Arena!$B$71:$K$100,MATCH($A8,Arena!$A$71:$A$100,0),MATCH(""&amp;$B8,Arena!$B$69:$K$69,0)),"n/a")</f>
        <v>N</v>
      </c>
      <c r="J8" s="137">
        <f>IF(ISNUMBER($H8),($B8-1)-$H8,"n/a")</f>
        <v>20</v>
      </c>
      <c r="K8" s="108">
        <f>IF($B8=2017,IFERROR(INDEX('Team Performance'!$B$241:$B$270,MATCH($A8,'Team Performance'!$A$241:$A$270,0)),"n/a"),IFERROR(INDEX('Team Performance'!$B$6:$K$35,MATCH($A8,'Team Performance'!$A$6:$A$35,0),MATCH(($B8-2)&amp;"-"&amp;RIGHT($B8-1,2),'Team Performance'!$B$5:$K$5,0)),"n/a"))</f>
        <v>29</v>
      </c>
      <c r="L8" s="108">
        <f>IF($B8=2017,IFERROR(INDEX('Team Performance'!$C$241:$C$270,MATCH($A8,'Team Performance'!$A$241:$A$270,0)),"n/a"),IFERROR(INDEX('Team Performance'!$B$39:$K$68,MATCH($A8,'Team Performance'!$A$39:$A$68,0),MATCH(($B8-2)&amp;"-"&amp;RIGHT($B8-1,2),'Team Performance'!$B$38:$K$38,0)),"n/a"))</f>
        <v>53</v>
      </c>
      <c r="M8" s="109">
        <f t="shared" si="1"/>
        <v>0.35365853658536583</v>
      </c>
      <c r="N8" s="108">
        <f>IF($B8=2017,IFERROR(INDEX('Team Performance'!$E$241:$E$270,MATCH($A8,'Team Performance'!$A$241:$A$270,0)),"n/a"),IFERROR(INDEX('Team Performance'!$B$140:$K$169,MATCH($A8,'Team Performance'!$A$140:$A$169,0),MATCH(($B8-2)&amp;"-"&amp;RIGHT($B8-1,2),'Team Performance'!$B$139:$K$139,0)),"n/a"))</f>
        <v>0</v>
      </c>
      <c r="O8" s="110">
        <f>IF($B8=2017,IFERROR(INDEX('Salary Cap'!$B$143:$B$172,MATCH($A8,'Salary Cap'!$A$143:$A$172,0)),"n/a"),IFERROR(INDEX('Salary Cap'!$B$10:$K$39,MATCH($A8,'Salary Cap'!$A$10:$A$39,0),MATCH(""&amp;($B8-1),'Salary Cap'!$B$9:$K$9,0)),"n/a"))</f>
        <v>103686836</v>
      </c>
      <c r="P8" s="115">
        <f>IF($B8=2017,IFERROR(INDEX('Salary Cap'!$C$143:$C$172,MATCH($A8,'Salary Cap'!$A$143:$A$172,0)),"n/a"),IFERROR(INDEX('Salary Cap'!$B$109:$K$138,MATCH($A8,'Salary Cap'!$A$109:$A$138,0),MATCH(""&amp;($B8-1),'Salary Cap'!$B$108:$K$108,0)),"n/a"))</f>
        <v>0</v>
      </c>
      <c r="Q8" s="138">
        <f>IF(OR($B8=2021,$B8=2022),1,0)</f>
        <v>0</v>
      </c>
    </row>
    <row r="9" spans="1:17" x14ac:dyDescent="0.2">
      <c r="A9" s="113" t="str" cm="1">
        <f t="array" ref="A9">INDEX('NBA Valuations'!$A$5:$A$34,INT((ROW()-5)/10)+1)</f>
        <v>Atlanta Hawks</v>
      </c>
      <c r="B9" s="105">
        <f t="shared" si="0"/>
        <v>2021</v>
      </c>
      <c r="C9" s="106">
        <f>IFERROR(INDEX('NBA Valuations'!$B$5:$K$34,MATCH($A9,'NBA Valuations'!$A$5:$A$34,0),MATCH(""&amp;$B9,'NBA Valuations'!$B$3:$K$3,0)),"n/a")</f>
        <v>1520</v>
      </c>
      <c r="D9" s="106">
        <f>IFERROR(INDEX(Revenue!$B$5:$K$34,MATCH($A9,Revenue!$A$5:$A$34,0),MATCH(""&amp;$B9,Revenue!$B$3:$K$3,0)),"n/a")</f>
        <v>222</v>
      </c>
      <c r="E9" s="106">
        <f>IFERROR(INDEX('Operating Income'!$B$5:$K$34,MATCH($A9,'Operating Income'!$A$5:$A$34,0),MATCH(""&amp;$B9,'Operating Income'!$B$3:$K$3,0)),"n/a")</f>
        <v>36</v>
      </c>
      <c r="F9" s="107">
        <f>IFERROR(INDEX('Market Size'!$L$5:$L$34,MATCH($A9,'Market Size'!$A$5:$A$34,0)),"n/a")</f>
        <v>6120770</v>
      </c>
      <c r="G9" s="108" t="str">
        <f>IFERROR(INDEX('Market Size'!$B$38:$K$67,MATCH($A9,'Market Size'!$A$38:$A$67,0),MATCH(""&amp;($B9-1),'Market Size'!$B$36:$K$36,0)),"n/a")</f>
        <v>n/a</v>
      </c>
      <c r="H9" s="108">
        <f>IFERROR(INDEX(Arena!$B$38:$K$67,MATCH($A9,Arena!$A$38:$A$67,0),MATCH(""&amp;$B9,Arena!$B$36:$K$36,0)),"n/a")</f>
        <v>1999</v>
      </c>
      <c r="I9" s="136" t="str">
        <f>IFERROR(INDEX(Arena!$B$71:$K$100,MATCH($A9,Arena!$A$71:$A$100,0),MATCH(""&amp;$B9,Arena!$B$69:$K$69,0)),"n/a")</f>
        <v>N</v>
      </c>
      <c r="J9" s="137">
        <f>IF(ISNUMBER($H9),($B9-1)-$H9,"n/a")</f>
        <v>21</v>
      </c>
      <c r="K9" s="108">
        <f>IF($B9=2017,IFERROR(INDEX('Team Performance'!$B$241:$B$270,MATCH($A9,'Team Performance'!$A$241:$A$270,0)),"n/a"),IFERROR(INDEX('Team Performance'!$B$6:$K$35,MATCH($A9,'Team Performance'!$A$6:$A$35,0),MATCH(($B9-2)&amp;"-"&amp;RIGHT($B9-1,2),'Team Performance'!$B$5:$K$5,0)),"n/a"))</f>
        <v>20</v>
      </c>
      <c r="L9" s="108">
        <f>IF($B9=2017,IFERROR(INDEX('Team Performance'!$C$241:$C$270,MATCH($A9,'Team Performance'!$A$241:$A$270,0)),"n/a"),IFERROR(INDEX('Team Performance'!$B$39:$K$68,MATCH($A9,'Team Performance'!$A$39:$A$68,0),MATCH(($B9-2)&amp;"-"&amp;RIGHT($B9-1,2),'Team Performance'!$B$38:$K$38,0)),"n/a"))</f>
        <v>47</v>
      </c>
      <c r="M9" s="109">
        <f t="shared" si="1"/>
        <v>0.29850746268656714</v>
      </c>
      <c r="N9" s="108">
        <f>IF($B9=2017,IFERROR(INDEX('Team Performance'!$E$241:$E$270,MATCH($A9,'Team Performance'!$A$241:$A$270,0)),"n/a"),IFERROR(INDEX('Team Performance'!$B$140:$K$169,MATCH($A9,'Team Performance'!$A$140:$A$169,0),MATCH(($B9-2)&amp;"-"&amp;RIGHT($B9-1,2),'Team Performance'!$B$139:$K$139,0)),"n/a"))</f>
        <v>0</v>
      </c>
      <c r="O9" s="110">
        <f>IF($B9=2017,IFERROR(INDEX('Salary Cap'!$B$143:$B$172,MATCH($A9,'Salary Cap'!$A$143:$A$172,0)),"n/a"),IFERROR(INDEX('Salary Cap'!$B$10:$K$39,MATCH($A9,'Salary Cap'!$A$10:$A$39,0),MATCH(""&amp;($B9-1),'Salary Cap'!$B$9:$K$9,0)),"n/a"))</f>
        <v>112298633</v>
      </c>
      <c r="P9" s="115">
        <f>IF($B9=2017,IFERROR(INDEX('Salary Cap'!$C$143:$C$172,MATCH($A9,'Salary Cap'!$A$143:$A$172,0)),"n/a"),IFERROR(INDEX('Salary Cap'!$B$109:$K$138,MATCH($A9,'Salary Cap'!$A$109:$A$138,0),MATCH(""&amp;($B9-1),'Salary Cap'!$B$108:$K$108,0)),"n/a"))</f>
        <v>0</v>
      </c>
      <c r="Q9" s="138">
        <f>IF(OR($B9=2021,$B9=2022),1,0)</f>
        <v>1</v>
      </c>
    </row>
    <row r="10" spans="1:17" x14ac:dyDescent="0.2">
      <c r="A10" s="113" t="str" cm="1">
        <f t="array" ref="A10">INDEX('NBA Valuations'!$A$5:$A$34,INT((ROW()-5)/10)+1)</f>
        <v>Atlanta Hawks</v>
      </c>
      <c r="B10" s="105">
        <f t="shared" si="0"/>
        <v>2022</v>
      </c>
      <c r="C10" s="106">
        <f>IFERROR(INDEX('NBA Valuations'!$B$5:$K$34,MATCH($A10,'NBA Valuations'!$A$5:$A$34,0),MATCH(""&amp;$B10,'NBA Valuations'!$B$3:$K$3,0)),"n/a")</f>
        <v>1680</v>
      </c>
      <c r="D10" s="106">
        <f>IFERROR(INDEX(Revenue!$B$5:$K$34,MATCH($A10,Revenue!$A$5:$A$34,0),MATCH(""&amp;$B10,Revenue!$B$3:$K$3,0)),"n/a")</f>
        <v>199</v>
      </c>
      <c r="E10" s="106">
        <f>IFERROR(INDEX('Operating Income'!$B$5:$K$34,MATCH($A10,'Operating Income'!$A$5:$A$34,0),MATCH(""&amp;$B10,'Operating Income'!$B$3:$K$3,0)),"n/a")</f>
        <v>37</v>
      </c>
      <c r="F10" s="107">
        <f>IFERROR(INDEX('Market Size'!$L$5:$L$34,MATCH($A10,'Market Size'!$A$5:$A$34,0)),"n/a")</f>
        <v>6120770</v>
      </c>
      <c r="G10" s="108" t="str">
        <f>IFERROR(INDEX('Market Size'!$B$38:$K$67,MATCH($A10,'Market Size'!$A$38:$A$67,0),MATCH(""&amp;($B10-1),'Market Size'!$B$36:$K$36,0)),"n/a")</f>
        <v>n/a</v>
      </c>
      <c r="H10" s="108">
        <f>IFERROR(INDEX(Arena!$B$38:$K$67,MATCH($A10,Arena!$A$38:$A$67,0),MATCH(""&amp;$B10,Arena!$B$36:$K$36,0)),"n/a")</f>
        <v>1999</v>
      </c>
      <c r="I10" s="136" t="str">
        <f>IFERROR(INDEX(Arena!$B$71:$K$100,MATCH($A10,Arena!$A$71:$A$100,0),MATCH(""&amp;$B10,Arena!$B$69:$K$69,0)),"n/a")</f>
        <v>N</v>
      </c>
      <c r="J10" s="137">
        <f>IF(ISNUMBER($H10),($B10-1)-$H10,"n/a")</f>
        <v>22</v>
      </c>
      <c r="K10" s="108">
        <f>IF($B10=2017,IFERROR(INDEX('Team Performance'!$B$241:$B$270,MATCH($A10,'Team Performance'!$A$241:$A$270,0)),"n/a"),IFERROR(INDEX('Team Performance'!$B$6:$K$35,MATCH($A10,'Team Performance'!$A$6:$A$35,0),MATCH(($B10-2)&amp;"-"&amp;RIGHT($B10-1,2),'Team Performance'!$B$5:$K$5,0)),"n/a"))</f>
        <v>41</v>
      </c>
      <c r="L10" s="108">
        <f>IF($B10=2017,IFERROR(INDEX('Team Performance'!$C$241:$C$270,MATCH($A10,'Team Performance'!$A$241:$A$270,0)),"n/a"),IFERROR(INDEX('Team Performance'!$B$39:$K$68,MATCH($A10,'Team Performance'!$A$39:$A$68,0),MATCH(($B10-2)&amp;"-"&amp;RIGHT($B10-1,2),'Team Performance'!$B$38:$K$38,0)),"n/a"))</f>
        <v>31</v>
      </c>
      <c r="M10" s="109">
        <f t="shared" si="1"/>
        <v>0.56944444444444442</v>
      </c>
      <c r="N10" s="108">
        <f>IF($B10=2017,IFERROR(INDEX('Team Performance'!$E$241:$E$270,MATCH($A10,'Team Performance'!$A$241:$A$270,0)),"n/a"),IFERROR(INDEX('Team Performance'!$B$140:$K$169,MATCH($A10,'Team Performance'!$A$140:$A$169,0),MATCH(($B10-2)&amp;"-"&amp;RIGHT($B10-1,2),'Team Performance'!$B$139:$K$139,0)),"n/a"))</f>
        <v>3</v>
      </c>
      <c r="O10" s="110">
        <f>IF($B10=2017,IFERROR(INDEX('Salary Cap'!$B$143:$B$172,MATCH($A10,'Salary Cap'!$A$143:$A$172,0)),"n/a"),IFERROR(INDEX('Salary Cap'!$B$10:$K$39,MATCH($A10,'Salary Cap'!$A$10:$A$39,0),MATCH(""&amp;($B10-1),'Salary Cap'!$B$9:$K$9,0)),"n/a"))</f>
        <v>116695055</v>
      </c>
      <c r="P10" s="115">
        <f>IF($B10=2017,IFERROR(INDEX('Salary Cap'!$C$143:$C$172,MATCH($A10,'Salary Cap'!$A$143:$A$172,0)),"n/a"),IFERROR(INDEX('Salary Cap'!$B$109:$K$138,MATCH($A10,'Salary Cap'!$A$109:$A$138,0),MATCH(""&amp;($B10-1),'Salary Cap'!$B$108:$K$108,0)),"n/a"))</f>
        <v>0</v>
      </c>
      <c r="Q10" s="138">
        <f>IF(OR($B10=2021,$B10=2022),1,0)</f>
        <v>1</v>
      </c>
    </row>
    <row r="11" spans="1:17" x14ac:dyDescent="0.2">
      <c r="A11" s="113" t="str" cm="1">
        <f t="array" ref="A11">INDEX('NBA Valuations'!$A$5:$A$34,INT((ROW()-5)/10)+1)</f>
        <v>Atlanta Hawks</v>
      </c>
      <c r="B11" s="105">
        <f t="shared" si="0"/>
        <v>2023</v>
      </c>
      <c r="C11" s="106">
        <f>IFERROR(INDEX('NBA Valuations'!$B$5:$K$34,MATCH($A11,'NBA Valuations'!$A$5:$A$34,0),MATCH(""&amp;$B11,'NBA Valuations'!$B$3:$K$3,0)),"n/a")</f>
        <v>1975</v>
      </c>
      <c r="D11" s="106">
        <f>IFERROR(INDEX(Revenue!$B$5:$K$34,MATCH($A11,Revenue!$A$5:$A$34,0),MATCH(""&amp;$B11,Revenue!$B$3:$K$3,0)),"n/a")</f>
        <v>282</v>
      </c>
      <c r="E11" s="106">
        <f>IFERROR(INDEX('Operating Income'!$B$5:$K$34,MATCH($A11,'Operating Income'!$A$5:$A$34,0),MATCH(""&amp;$B11,'Operating Income'!$B$3:$K$3,0)),"n/a")</f>
        <v>84</v>
      </c>
      <c r="F11" s="107">
        <f>IFERROR(INDEX('Market Size'!$L$5:$L$34,MATCH($A11,'Market Size'!$A$5:$A$34,0)),"n/a")</f>
        <v>6120770</v>
      </c>
      <c r="G11" s="108" t="str">
        <f>IFERROR(INDEX('Market Size'!$B$38:$K$67,MATCH($A11,'Market Size'!$A$38:$A$67,0),MATCH(""&amp;($B11-1),'Market Size'!$B$36:$K$36,0)),"n/a")</f>
        <v>n/a</v>
      </c>
      <c r="H11" s="108">
        <f>IFERROR(INDEX(Arena!$B$38:$K$67,MATCH($A11,Arena!$A$38:$A$67,0),MATCH(""&amp;$B11,Arena!$B$36:$K$36,0)),"n/a")</f>
        <v>1999</v>
      </c>
      <c r="I11" s="136" t="str">
        <f>IFERROR(INDEX(Arena!$B$71:$K$100,MATCH($A11,Arena!$A$71:$A$100,0),MATCH(""&amp;$B11,Arena!$B$69:$K$69,0)),"n/a")</f>
        <v>N</v>
      </c>
      <c r="J11" s="137">
        <f>IF(ISNUMBER($H11),($B11-1)-$H11,"n/a")</f>
        <v>23</v>
      </c>
      <c r="K11" s="108">
        <f>IF($B11=2017,IFERROR(INDEX('Team Performance'!$B$241:$B$270,MATCH($A11,'Team Performance'!$A$241:$A$270,0)),"n/a"),IFERROR(INDEX('Team Performance'!$B$6:$K$35,MATCH($A11,'Team Performance'!$A$6:$A$35,0),MATCH(($B11-2)&amp;"-"&amp;RIGHT($B11-1,2),'Team Performance'!$B$5:$K$5,0)),"n/a"))</f>
        <v>43</v>
      </c>
      <c r="L11" s="108">
        <f>IF($B11=2017,IFERROR(INDEX('Team Performance'!$C$241:$C$270,MATCH($A11,'Team Performance'!$A$241:$A$270,0)),"n/a"),IFERROR(INDEX('Team Performance'!$B$39:$K$68,MATCH($A11,'Team Performance'!$A$39:$A$68,0),MATCH(($B11-2)&amp;"-"&amp;RIGHT($B11-1,2),'Team Performance'!$B$38:$K$38,0)),"n/a"))</f>
        <v>39</v>
      </c>
      <c r="M11" s="109">
        <f t="shared" si="1"/>
        <v>0.52439024390243905</v>
      </c>
      <c r="N11" s="108">
        <f>IF($B11=2017,IFERROR(INDEX('Team Performance'!$E$241:$E$270,MATCH($A11,'Team Performance'!$A$241:$A$270,0)),"n/a"),IFERROR(INDEX('Team Performance'!$B$140:$K$169,MATCH($A11,'Team Performance'!$A$140:$A$169,0),MATCH(($B11-2)&amp;"-"&amp;RIGHT($B11-1,2),'Team Performance'!$B$139:$K$139,0)),"n/a"))</f>
        <v>1</v>
      </c>
      <c r="O11" s="110">
        <f>IF($B11=2017,IFERROR(INDEX('Salary Cap'!$B$143:$B$172,MATCH($A11,'Salary Cap'!$A$143:$A$172,0)),"n/a"),IFERROR(INDEX('Salary Cap'!$B$10:$K$39,MATCH($A11,'Salary Cap'!$A$10:$A$39,0),MATCH(""&amp;($B11-1),'Salary Cap'!$B$9:$K$9,0)),"n/a"))</f>
        <v>132777480</v>
      </c>
      <c r="P11" s="115">
        <f>IF($B11=2017,IFERROR(INDEX('Salary Cap'!$C$143:$C$172,MATCH($A11,'Salary Cap'!$A$143:$A$172,0)),"n/a"),IFERROR(INDEX('Salary Cap'!$B$109:$K$138,MATCH($A11,'Salary Cap'!$A$109:$A$138,0),MATCH(""&amp;($B11-1),'Salary Cap'!$B$108:$K$108,0)),"n/a"))</f>
        <v>0</v>
      </c>
      <c r="Q11" s="138">
        <f>IF(OR($B11=2021,$B11=2022),1,0)</f>
        <v>0</v>
      </c>
    </row>
    <row r="12" spans="1:17" x14ac:dyDescent="0.2">
      <c r="A12" s="113" t="str" cm="1">
        <f t="array" ref="A12">INDEX('NBA Valuations'!$A$5:$A$34,INT((ROW()-5)/10)+1)</f>
        <v>Atlanta Hawks</v>
      </c>
      <c r="B12" s="105">
        <f t="shared" si="0"/>
        <v>2024</v>
      </c>
      <c r="C12" s="106">
        <f>IFERROR(INDEX('NBA Valuations'!$B$5:$K$34,MATCH($A12,'NBA Valuations'!$A$5:$A$34,0),MATCH(""&amp;$B12,'NBA Valuations'!$B$3:$K$3,0)),"n/a")</f>
        <v>3320</v>
      </c>
      <c r="D12" s="106">
        <f>IFERROR(INDEX(Revenue!$B$5:$K$34,MATCH($A12,Revenue!$A$5:$A$34,0),MATCH(""&amp;$B12,Revenue!$B$3:$K$3,0)),"n/a")</f>
        <v>326</v>
      </c>
      <c r="E12" s="106">
        <f>IFERROR(INDEX('Operating Income'!$B$5:$K$34,MATCH($A12,'Operating Income'!$A$5:$A$34,0),MATCH(""&amp;$B12,'Operating Income'!$B$3:$K$3,0)),"n/a")</f>
        <v>85</v>
      </c>
      <c r="F12" s="107">
        <f>IFERROR(INDEX('Market Size'!$L$5:$L$34,MATCH($A12,'Market Size'!$A$5:$A$34,0)),"n/a")</f>
        <v>6120770</v>
      </c>
      <c r="G12" s="108" t="str">
        <f>IFERROR(INDEX('Market Size'!$B$38:$K$67,MATCH($A12,'Market Size'!$A$38:$A$67,0),MATCH(""&amp;($B12-1),'Market Size'!$B$36:$K$36,0)),"n/a")</f>
        <v>n/a</v>
      </c>
      <c r="H12" s="108">
        <f>IFERROR(INDEX(Arena!$B$38:$K$67,MATCH($A12,Arena!$A$38:$A$67,0),MATCH(""&amp;$B12,Arena!$B$36:$K$36,0)),"n/a")</f>
        <v>1999</v>
      </c>
      <c r="I12" s="136" t="str">
        <f>IFERROR(INDEX(Arena!$B$71:$K$100,MATCH($A12,Arena!$A$71:$A$100,0),MATCH(""&amp;$B12,Arena!$B$69:$K$69,0)),"n/a")</f>
        <v>N</v>
      </c>
      <c r="J12" s="137">
        <f>IF(ISNUMBER($H12),($B12-1)-$H12,"n/a")</f>
        <v>24</v>
      </c>
      <c r="K12" s="108">
        <f>IF($B12=2017,IFERROR(INDEX('Team Performance'!$B$241:$B$270,MATCH($A12,'Team Performance'!$A$241:$A$270,0)),"n/a"),IFERROR(INDEX('Team Performance'!$B$6:$K$35,MATCH($A12,'Team Performance'!$A$6:$A$35,0),MATCH(($B12-2)&amp;"-"&amp;RIGHT($B12-1,2),'Team Performance'!$B$5:$K$5,0)),"n/a"))</f>
        <v>41</v>
      </c>
      <c r="L12" s="108">
        <f>IF($B12=2017,IFERROR(INDEX('Team Performance'!$C$241:$C$270,MATCH($A12,'Team Performance'!$A$241:$A$270,0)),"n/a"),IFERROR(INDEX('Team Performance'!$B$39:$K$68,MATCH($A12,'Team Performance'!$A$39:$A$68,0),MATCH(($B12-2)&amp;"-"&amp;RIGHT($B12-1,2),'Team Performance'!$B$38:$K$38,0)),"n/a"))</f>
        <v>41</v>
      </c>
      <c r="M12" s="109">
        <f t="shared" si="1"/>
        <v>0.5</v>
      </c>
      <c r="N12" s="108">
        <f>IF($B12=2017,IFERROR(INDEX('Team Performance'!$E$241:$E$270,MATCH($A12,'Team Performance'!$A$241:$A$270,0)),"n/a"),IFERROR(INDEX('Team Performance'!$B$140:$K$169,MATCH($A12,'Team Performance'!$A$140:$A$169,0),MATCH(($B12-2)&amp;"-"&amp;RIGHT($B12-1,2),'Team Performance'!$B$139:$K$139,0)),"n/a"))</f>
        <v>1</v>
      </c>
      <c r="O12" s="110">
        <f>IF($B12=2017,IFERROR(INDEX('Salary Cap'!$B$143:$B$172,MATCH($A12,'Salary Cap'!$A$143:$A$172,0)),"n/a"),IFERROR(INDEX('Salary Cap'!$B$10:$K$39,MATCH($A12,'Salary Cap'!$A$10:$A$39,0),MATCH(""&amp;($B12-1),'Salary Cap'!$B$9:$K$9,0)),"n/a"))</f>
        <v>148576597</v>
      </c>
      <c r="P12" s="115">
        <f>IF($B12=2017,IFERROR(INDEX('Salary Cap'!$C$143:$C$172,MATCH($A12,'Salary Cap'!$A$143:$A$172,0)),"n/a"),IFERROR(INDEX('Salary Cap'!$B$109:$K$138,MATCH($A12,'Salary Cap'!$A$109:$A$138,0),MATCH(""&amp;($B12-1),'Salary Cap'!$B$108:$K$108,0)),"n/a"))</f>
        <v>0</v>
      </c>
      <c r="Q12" s="138">
        <f>IF(OR($B12=2021,$B12=2022),1,0)</f>
        <v>0</v>
      </c>
    </row>
    <row r="13" spans="1:17" x14ac:dyDescent="0.2">
      <c r="A13" s="113" t="str" cm="1">
        <f t="array" ref="A13">INDEX('NBA Valuations'!$A$5:$A$34,INT((ROW()-5)/10)+1)</f>
        <v>Atlanta Hawks</v>
      </c>
      <c r="B13" s="105">
        <f t="shared" si="0"/>
        <v>2025</v>
      </c>
      <c r="C13" s="106">
        <f>IFERROR(INDEX('NBA Valuations'!$B$5:$K$34,MATCH($A13,'NBA Valuations'!$A$5:$A$34,0),MATCH(""&amp;$B13,'NBA Valuations'!$B$3:$K$3,0)),"n/a")</f>
        <v>3800</v>
      </c>
      <c r="D13" s="106">
        <f>IFERROR(INDEX(Revenue!$B$5:$K$34,MATCH($A13,Revenue!$A$5:$A$34,0),MATCH(""&amp;$B13,Revenue!$B$3:$K$3,0)),"n/a")</f>
        <v>353</v>
      </c>
      <c r="E13" s="106">
        <f>IFERROR(INDEX('Operating Income'!$B$5:$K$34,MATCH($A13,'Operating Income'!$A$5:$A$34,0),MATCH(""&amp;$B13,'Operating Income'!$B$3:$K$3,0)),"n/a")</f>
        <v>94</v>
      </c>
      <c r="F13" s="107">
        <f>IFERROR(INDEX('Market Size'!$L$5:$L$34,MATCH($A13,'Market Size'!$A$5:$A$34,0)),"n/a")</f>
        <v>6120770</v>
      </c>
      <c r="G13" s="108">
        <f>IFERROR(INDEX('Market Size'!$B$38:$K$67,MATCH($A13,'Market Size'!$A$38:$A$67,0),MATCH(""&amp;($B13-1),'Market Size'!$B$36:$K$36,0)),"n/a")</f>
        <v>6</v>
      </c>
      <c r="H13" s="108">
        <f>IFERROR(INDEX(Arena!$B$38:$K$67,MATCH($A13,Arena!$A$38:$A$67,0),MATCH(""&amp;$B13,Arena!$B$36:$K$36,0)),"n/a")</f>
        <v>1999</v>
      </c>
      <c r="I13" s="136" t="str">
        <f>IFERROR(INDEX(Arena!$B$71:$K$100,MATCH($A13,Arena!$A$71:$A$100,0),MATCH(""&amp;$B13,Arena!$B$69:$K$69,0)),"n/a")</f>
        <v>N</v>
      </c>
      <c r="J13" s="137">
        <f>IF(ISNUMBER($H13),($B13-1)-$H13,"n/a")</f>
        <v>25</v>
      </c>
      <c r="K13" s="108">
        <f>IF($B13=2017,IFERROR(INDEX('Team Performance'!$B$241:$B$270,MATCH($A13,'Team Performance'!$A$241:$A$270,0)),"n/a"),IFERROR(INDEX('Team Performance'!$B$6:$K$35,MATCH($A13,'Team Performance'!$A$6:$A$35,0),MATCH(($B13-2)&amp;"-"&amp;RIGHT($B13-1,2),'Team Performance'!$B$5:$K$5,0)),"n/a"))</f>
        <v>36</v>
      </c>
      <c r="L13" s="108">
        <f>IF($B13=2017,IFERROR(INDEX('Team Performance'!$C$241:$C$270,MATCH($A13,'Team Performance'!$A$241:$A$270,0)),"n/a"),IFERROR(INDEX('Team Performance'!$B$39:$K$68,MATCH($A13,'Team Performance'!$A$39:$A$68,0),MATCH(($B13-2)&amp;"-"&amp;RIGHT($B13-1,2),'Team Performance'!$B$38:$K$38,0)),"n/a"))</f>
        <v>46</v>
      </c>
      <c r="M13" s="109">
        <f t="shared" si="1"/>
        <v>0.43902439024390244</v>
      </c>
      <c r="N13" s="108">
        <f>IF($B13=2017,IFERROR(INDEX('Team Performance'!$E$241:$E$270,MATCH($A13,'Team Performance'!$A$241:$A$270,0)),"n/a"),IFERROR(INDEX('Team Performance'!$B$140:$K$169,MATCH($A13,'Team Performance'!$A$140:$A$169,0),MATCH(($B13-2)&amp;"-"&amp;RIGHT($B13-1,2),'Team Performance'!$B$139:$K$139,0)),"n/a"))</f>
        <v>0</v>
      </c>
      <c r="O13" s="110">
        <f>IF($B13=2017,IFERROR(INDEX('Salary Cap'!$B$143:$B$172,MATCH($A13,'Salary Cap'!$A$143:$A$172,0)),"n/a"),IFERROR(INDEX('Salary Cap'!$B$10:$K$39,MATCH($A13,'Salary Cap'!$A$10:$A$39,0),MATCH(""&amp;($B13-1),'Salary Cap'!$B$9:$K$9,0)),"n/a"))</f>
        <v>156139798</v>
      </c>
      <c r="P13" s="115">
        <f>IF($B13=2017,IFERROR(INDEX('Salary Cap'!$C$143:$C$172,MATCH($A13,'Salary Cap'!$A$143:$A$172,0)),"n/a"),IFERROR(INDEX('Salary Cap'!$B$109:$K$138,MATCH($A13,'Salary Cap'!$A$109:$A$138,0),MATCH(""&amp;($B13-1),'Salary Cap'!$B$108:$K$108,0)),"n/a"))</f>
        <v>0</v>
      </c>
      <c r="Q13" s="138">
        <f>IF(OR($B13=2021,$B13=2022),1,0)</f>
        <v>0</v>
      </c>
    </row>
    <row r="14" spans="1:17" x14ac:dyDescent="0.2">
      <c r="A14" s="113" t="str" cm="1">
        <f t="array" ref="A14">INDEX('NBA Valuations'!$A$5:$A$34,INT((ROW()-5)/10)+1)</f>
        <v>Atlanta Hawks</v>
      </c>
      <c r="B14" s="105">
        <f t="shared" si="0"/>
        <v>2026</v>
      </c>
      <c r="C14" s="106">
        <f>IFERROR(INDEX('NBA Valuations'!$B$5:$K$34,MATCH($A14,'NBA Valuations'!$A$5:$A$34,0),MATCH(""&amp;$B14,'NBA Valuations'!$B$3:$K$3,0)),"n/a")</f>
        <v>5000</v>
      </c>
      <c r="D14" s="106">
        <f>IFERROR(INDEX(Revenue!$B$5:$K$34,MATCH($A14,Revenue!$A$5:$A$34,0),MATCH(""&amp;$B14,Revenue!$B$3:$K$3,0)),"n/a")</f>
        <v>477</v>
      </c>
      <c r="E14" s="106">
        <f>IFERROR(INDEX('Operating Income'!$B$5:$K$34,MATCH($A14,'Operating Income'!$A$5:$A$34,0),MATCH(""&amp;$B14,'Operating Income'!$B$3:$K$3,0)),"n/a")</f>
        <v>203</v>
      </c>
      <c r="F14" s="107">
        <f>IFERROR(INDEX('Market Size'!$L$5:$L$34,MATCH($A14,'Market Size'!$A$5:$A$34,0)),"n/a")</f>
        <v>6120770</v>
      </c>
      <c r="G14" s="108">
        <f>IFERROR(INDEX('Market Size'!$B$38:$K$67,MATCH($A14,'Market Size'!$A$38:$A$67,0),MATCH(""&amp;($B14-1),'Market Size'!$B$36:$K$36,0)),"n/a")</f>
        <v>7</v>
      </c>
      <c r="H14" s="108">
        <f>IFERROR(INDEX(Arena!$B$38:$K$67,MATCH($A14,Arena!$A$38:$A$67,0),MATCH(""&amp;$B14,Arena!$B$36:$K$36,0)),"n/a")</f>
        <v>1999</v>
      </c>
      <c r="I14" s="136" t="str">
        <f>IFERROR(INDEX(Arena!$B$71:$K$100,MATCH($A14,Arena!$A$71:$A$100,0),MATCH(""&amp;$B14,Arena!$B$69:$K$69,0)),"n/a")</f>
        <v>N</v>
      </c>
      <c r="J14" s="137">
        <f>IF(ISNUMBER($H14),($B14-1)-$H14,"n/a")</f>
        <v>26</v>
      </c>
      <c r="K14" s="108">
        <f>IF($B14=2017,IFERROR(INDEX('Team Performance'!$B$241:$B$270,MATCH($A14,'Team Performance'!$A$241:$A$270,0)),"n/a"),IFERROR(INDEX('Team Performance'!$B$6:$K$35,MATCH($A14,'Team Performance'!$A$6:$A$35,0),MATCH(($B14-2)&amp;"-"&amp;RIGHT($B14-1,2),'Team Performance'!$B$5:$K$5,0)),"n/a"))</f>
        <v>40</v>
      </c>
      <c r="L14" s="108">
        <f>IF($B14=2017,IFERROR(INDEX('Team Performance'!$C$241:$C$270,MATCH($A14,'Team Performance'!$A$241:$A$270,0)),"n/a"),IFERROR(INDEX('Team Performance'!$B$39:$K$68,MATCH($A14,'Team Performance'!$A$39:$A$68,0),MATCH(($B14-2)&amp;"-"&amp;RIGHT($B14-1,2),'Team Performance'!$B$38:$K$38,0)),"n/a"))</f>
        <v>42</v>
      </c>
      <c r="M14" s="109">
        <f t="shared" si="1"/>
        <v>0.48780487804878048</v>
      </c>
      <c r="N14" s="108">
        <f>IF($B14=2017,IFERROR(INDEX('Team Performance'!$E$241:$E$270,MATCH($A14,'Team Performance'!$A$241:$A$270,0)),"n/a"),IFERROR(INDEX('Team Performance'!$B$140:$K$169,MATCH($A14,'Team Performance'!$A$140:$A$169,0),MATCH(($B14-2)&amp;"-"&amp;RIGHT($B14-1,2),'Team Performance'!$B$139:$K$139,0)),"n/a"))</f>
        <v>0</v>
      </c>
      <c r="O14" s="110">
        <f>IF($B14=2017,IFERROR(INDEX('Salary Cap'!$B$143:$B$172,MATCH($A14,'Salary Cap'!$A$143:$A$172,0)),"n/a"),IFERROR(INDEX('Salary Cap'!$B$10:$K$39,MATCH($A14,'Salary Cap'!$A$10:$A$39,0),MATCH(""&amp;($B14-1),'Salary Cap'!$B$9:$K$9,0)),"n/a"))</f>
        <v>168381400</v>
      </c>
      <c r="P14" s="115">
        <f>IF($B14=2017,IFERROR(INDEX('Salary Cap'!$C$143:$C$172,MATCH($A14,'Salary Cap'!$A$143:$A$172,0)),"n/a"),IFERROR(INDEX('Salary Cap'!$B$109:$K$138,MATCH($A14,'Salary Cap'!$A$109:$A$138,0),MATCH(""&amp;($B14-1),'Salary Cap'!$B$108:$K$108,0)),"n/a"))</f>
        <v>0</v>
      </c>
      <c r="Q14" s="138">
        <f>IF(OR($B14=2021,$B14=2022),1,0)</f>
        <v>0</v>
      </c>
    </row>
    <row r="15" spans="1:17" x14ac:dyDescent="0.2">
      <c r="A15" s="113" t="str" cm="1">
        <f t="array" ref="A15">INDEX('NBA Valuations'!$A$5:$A$34,INT((ROW()-5)/10)+1)</f>
        <v>Boston Celtics</v>
      </c>
      <c r="B15" s="105">
        <f t="shared" si="0"/>
        <v>2017</v>
      </c>
      <c r="C15" s="106">
        <f>IFERROR(INDEX('NBA Valuations'!$B$5:$K$34,MATCH($A15,'NBA Valuations'!$A$5:$A$34,0),MATCH(""&amp;$B15,'NBA Valuations'!$B$3:$K$3,0)),"n/a")</f>
        <v>2200</v>
      </c>
      <c r="D15" s="106">
        <f>IFERROR(INDEX(Revenue!$B$5:$K$34,MATCH($A15,Revenue!$A$5:$A$34,0),MATCH(""&amp;$B15,Revenue!$B$3:$K$3,0)),"n/a")</f>
        <v>200</v>
      </c>
      <c r="E15" s="106">
        <f>IFERROR(INDEX('Operating Income'!$B$5:$K$34,MATCH($A15,'Operating Income'!$A$5:$A$34,0),MATCH(""&amp;$B15,'Operating Income'!$B$3:$K$3,0)),"n/a")</f>
        <v>60.1</v>
      </c>
      <c r="F15" s="107">
        <f>IFERROR(INDEX('Market Size'!$L$5:$L$34,MATCH($A15,'Market Size'!$A$5:$A$34,0)),"n/a")</f>
        <v>4921409</v>
      </c>
      <c r="G15" s="108" t="str">
        <f>IFERROR(INDEX('Market Size'!$B$38:$K$67,MATCH($A15,'Market Size'!$A$38:$A$67,0),MATCH(""&amp;($B15-1),'Market Size'!$B$36:$K$36,0)),"n/a")</f>
        <v>n/a</v>
      </c>
      <c r="H15" s="108">
        <f>IFERROR(INDEX(Arena!$B$38:$K$67,MATCH($A15,Arena!$A$38:$A$67,0),MATCH(""&amp;$B15,Arena!$B$36:$K$36,0)),"n/a")</f>
        <v>1995</v>
      </c>
      <c r="I15" s="136" t="str">
        <f>IFERROR(INDEX(Arena!$B$71:$K$100,MATCH($A15,Arena!$A$71:$A$100,0),MATCH(""&amp;$B15,Arena!$B$69:$K$69,0)),"n/a")</f>
        <v>N</v>
      </c>
      <c r="J15" s="137">
        <f>IF(ISNUMBER($H15),($B15-1)-$H15,"n/a")</f>
        <v>21</v>
      </c>
      <c r="K15" s="108">
        <f>IF($B15=2017,IFERROR(INDEX('Team Performance'!$B$241:$B$270,MATCH($A15,'Team Performance'!$A$241:$A$270,0)),"n/a"),IFERROR(INDEX('Team Performance'!$B$6:$K$35,MATCH($A15,'Team Performance'!$A$6:$A$35,0),MATCH(($B15-2)&amp;"-"&amp;RIGHT($B15-1,2),'Team Performance'!$B$5:$K$5,0)),"n/a"))</f>
        <v>48</v>
      </c>
      <c r="L15" s="108">
        <f>IF($B15=2017,IFERROR(INDEX('Team Performance'!$C$241:$C$270,MATCH($A15,'Team Performance'!$A$241:$A$270,0)),"n/a"),IFERROR(INDEX('Team Performance'!$B$39:$K$68,MATCH($A15,'Team Performance'!$A$39:$A$68,0),MATCH(($B15-2)&amp;"-"&amp;RIGHT($B15-1,2),'Team Performance'!$B$38:$K$38,0)),"n/a"))</f>
        <v>34</v>
      </c>
      <c r="M15" s="109">
        <f t="shared" si="1"/>
        <v>0.58536585365853655</v>
      </c>
      <c r="N15" s="108">
        <f>IF($B15=2017,IFERROR(INDEX('Team Performance'!$E$241:$E$270,MATCH($A15,'Team Performance'!$A$241:$A$270,0)),"n/a"),IFERROR(INDEX('Team Performance'!$B$140:$K$169,MATCH($A15,'Team Performance'!$A$140:$A$169,0),MATCH(($B15-2)&amp;"-"&amp;RIGHT($B15-1,2),'Team Performance'!$B$139:$K$139,0)),"n/a"))</f>
        <v>1</v>
      </c>
      <c r="O15" s="110">
        <f>IF($B15=2017,IFERROR(INDEX('Salary Cap'!$B$143:$B$172,MATCH($A15,'Salary Cap'!$A$143:$A$172,0)),"n/a"),IFERROR(INDEX('Salary Cap'!$B$10:$K$39,MATCH($A15,'Salary Cap'!$A$10:$A$39,0),MATCH(""&amp;($B15-1),'Salary Cap'!$B$9:$K$9,0)),"n/a"))</f>
        <v>77166671</v>
      </c>
      <c r="P15" s="115">
        <f>IF($B15=2017,IFERROR(INDEX('Salary Cap'!$C$143:$C$172,MATCH($A15,'Salary Cap'!$A$143:$A$172,0)),"n/a"),IFERROR(INDEX('Salary Cap'!$B$109:$K$138,MATCH($A15,'Salary Cap'!$A$109:$A$138,0),MATCH(""&amp;($B15-1),'Salary Cap'!$B$108:$K$108,0)),"n/a"))</f>
        <v>0</v>
      </c>
      <c r="Q15" s="138">
        <f>IF(OR($B15=2021,$B15=2022),1,0)</f>
        <v>0</v>
      </c>
    </row>
    <row r="16" spans="1:17" x14ac:dyDescent="0.2">
      <c r="A16" s="113" t="str" cm="1">
        <f t="array" ref="A16">INDEX('NBA Valuations'!$A$5:$A$34,INT((ROW()-5)/10)+1)</f>
        <v>Boston Celtics</v>
      </c>
      <c r="B16" s="105">
        <f t="shared" si="0"/>
        <v>2018</v>
      </c>
      <c r="C16" s="106">
        <f>IFERROR(INDEX('NBA Valuations'!$B$5:$K$34,MATCH($A16,'NBA Valuations'!$A$5:$A$34,0),MATCH(""&amp;$B16,'NBA Valuations'!$B$3:$K$3,0)),"n/a")</f>
        <v>2500</v>
      </c>
      <c r="D16" s="106">
        <f>IFERROR(INDEX(Revenue!$B$5:$K$34,MATCH($A16,Revenue!$A$5:$A$34,0),MATCH(""&amp;$B16,Revenue!$B$3:$K$3,0)),"n/a")</f>
        <v>257</v>
      </c>
      <c r="E16" s="106">
        <f>IFERROR(INDEX('Operating Income'!$B$5:$K$34,MATCH($A16,'Operating Income'!$A$5:$A$34,0),MATCH(""&amp;$B16,'Operating Income'!$B$3:$K$3,0)),"n/a")</f>
        <v>85</v>
      </c>
      <c r="F16" s="107">
        <f>IFERROR(INDEX('Market Size'!$L$5:$L$34,MATCH($A16,'Market Size'!$A$5:$A$34,0)),"n/a")</f>
        <v>4921409</v>
      </c>
      <c r="G16" s="108" t="str">
        <f>IFERROR(INDEX('Market Size'!$B$38:$K$67,MATCH($A16,'Market Size'!$A$38:$A$67,0),MATCH(""&amp;($B16-1),'Market Size'!$B$36:$K$36,0)),"n/a")</f>
        <v>n/a</v>
      </c>
      <c r="H16" s="108">
        <f>IFERROR(INDEX(Arena!$B$38:$K$67,MATCH($A16,Arena!$A$38:$A$67,0),MATCH(""&amp;$B16,Arena!$B$36:$K$36,0)),"n/a")</f>
        <v>1995</v>
      </c>
      <c r="I16" s="136" t="str">
        <f>IFERROR(INDEX(Arena!$B$71:$K$100,MATCH($A16,Arena!$A$71:$A$100,0),MATCH(""&amp;$B16,Arena!$B$69:$K$69,0)),"n/a")</f>
        <v>N</v>
      </c>
      <c r="J16" s="137">
        <f>IF(ISNUMBER($H16),($B16-1)-$H16,"n/a")</f>
        <v>22</v>
      </c>
      <c r="K16" s="108">
        <f>IF($B16=2017,IFERROR(INDEX('Team Performance'!$B$241:$B$270,MATCH($A16,'Team Performance'!$A$241:$A$270,0)),"n/a"),IFERROR(INDEX('Team Performance'!$B$6:$K$35,MATCH($A16,'Team Performance'!$A$6:$A$35,0),MATCH(($B16-2)&amp;"-"&amp;RIGHT($B16-1,2),'Team Performance'!$B$5:$K$5,0)),"n/a"))</f>
        <v>53</v>
      </c>
      <c r="L16" s="108">
        <f>IF($B16=2017,IFERROR(INDEX('Team Performance'!$C$241:$C$270,MATCH($A16,'Team Performance'!$A$241:$A$270,0)),"n/a"),IFERROR(INDEX('Team Performance'!$B$39:$K$68,MATCH($A16,'Team Performance'!$A$39:$A$68,0),MATCH(($B16-2)&amp;"-"&amp;RIGHT($B16-1,2),'Team Performance'!$B$38:$K$38,0)),"n/a"))</f>
        <v>29</v>
      </c>
      <c r="M16" s="109">
        <f t="shared" si="1"/>
        <v>0.64634146341463417</v>
      </c>
      <c r="N16" s="108">
        <f>IF($B16=2017,IFERROR(INDEX('Team Performance'!$E$241:$E$270,MATCH($A16,'Team Performance'!$A$241:$A$270,0)),"n/a"),IFERROR(INDEX('Team Performance'!$B$140:$K$169,MATCH($A16,'Team Performance'!$A$140:$A$169,0),MATCH(($B16-2)&amp;"-"&amp;RIGHT($B16-1,2),'Team Performance'!$B$139:$K$139,0)),"n/a"))</f>
        <v>3</v>
      </c>
      <c r="O16" s="110">
        <f>IF($B16=2017,IFERROR(INDEX('Salary Cap'!$B$143:$B$172,MATCH($A16,'Salary Cap'!$A$143:$A$172,0)),"n/a"),IFERROR(INDEX('Salary Cap'!$B$10:$K$39,MATCH($A16,'Salary Cap'!$A$10:$A$39,0),MATCH(""&amp;($B16-1),'Salary Cap'!$B$9:$K$9,0)),"n/a"))</f>
        <v>93035161</v>
      </c>
      <c r="P16" s="115">
        <f>IF($B16=2017,IFERROR(INDEX('Salary Cap'!$C$143:$C$172,MATCH($A16,'Salary Cap'!$A$143:$A$172,0)),"n/a"),IFERROR(INDEX('Salary Cap'!$B$109:$K$138,MATCH($A16,'Salary Cap'!$A$109:$A$138,0),MATCH(""&amp;($B16-1),'Salary Cap'!$B$108:$K$108,0)),"n/a"))</f>
        <v>0</v>
      </c>
      <c r="Q16" s="138">
        <f>IF(OR($B16=2021,$B16=2022),1,0)</f>
        <v>0</v>
      </c>
    </row>
    <row r="17" spans="1:17" x14ac:dyDescent="0.2">
      <c r="A17" s="113" t="str" cm="1">
        <f t="array" ref="A17">INDEX('NBA Valuations'!$A$5:$A$34,INT((ROW()-5)/10)+1)</f>
        <v>Boston Celtics</v>
      </c>
      <c r="B17" s="105">
        <f t="shared" si="0"/>
        <v>2019</v>
      </c>
      <c r="C17" s="106">
        <f>IFERROR(INDEX('NBA Valuations'!$B$5:$K$34,MATCH($A17,'NBA Valuations'!$A$5:$A$34,0),MATCH(""&amp;$B17,'NBA Valuations'!$B$3:$K$3,0)),"n/a")</f>
        <v>2800</v>
      </c>
      <c r="D17" s="106">
        <f>IFERROR(INDEX(Revenue!$B$5:$K$34,MATCH($A17,Revenue!$A$5:$A$34,0),MATCH(""&amp;$B17,Revenue!$B$3:$K$3,0)),"n/a")</f>
        <v>287</v>
      </c>
      <c r="E17" s="106">
        <f>IFERROR(INDEX('Operating Income'!$B$5:$K$34,MATCH($A17,'Operating Income'!$A$5:$A$34,0),MATCH(""&amp;$B17,'Operating Income'!$B$3:$K$3,0)),"n/a")</f>
        <v>100</v>
      </c>
      <c r="F17" s="107">
        <f>IFERROR(INDEX('Market Size'!$L$5:$L$34,MATCH($A17,'Market Size'!$A$5:$A$34,0)),"n/a")</f>
        <v>4921409</v>
      </c>
      <c r="G17" s="108" t="str">
        <f>IFERROR(INDEX('Market Size'!$B$38:$K$67,MATCH($A17,'Market Size'!$A$38:$A$67,0),MATCH(""&amp;($B17-1),'Market Size'!$B$36:$K$36,0)),"n/a")</f>
        <v>n/a</v>
      </c>
      <c r="H17" s="108">
        <f>IFERROR(INDEX(Arena!$B$38:$K$67,MATCH($A17,Arena!$A$38:$A$67,0),MATCH(""&amp;$B17,Arena!$B$36:$K$36,0)),"n/a")</f>
        <v>1995</v>
      </c>
      <c r="I17" s="136" t="str">
        <f>IFERROR(INDEX(Arena!$B$71:$K$100,MATCH($A17,Arena!$A$71:$A$100,0),MATCH(""&amp;$B17,Arena!$B$69:$K$69,0)),"n/a")</f>
        <v>N</v>
      </c>
      <c r="J17" s="137">
        <f>IF(ISNUMBER($H17),($B17-1)-$H17,"n/a")</f>
        <v>23</v>
      </c>
      <c r="K17" s="108">
        <f>IF($B17=2017,IFERROR(INDEX('Team Performance'!$B$241:$B$270,MATCH($A17,'Team Performance'!$A$241:$A$270,0)),"n/a"),IFERROR(INDEX('Team Performance'!$B$6:$K$35,MATCH($A17,'Team Performance'!$A$6:$A$35,0),MATCH(($B17-2)&amp;"-"&amp;RIGHT($B17-1,2),'Team Performance'!$B$5:$K$5,0)),"n/a"))</f>
        <v>55</v>
      </c>
      <c r="L17" s="108">
        <f>IF($B17=2017,IFERROR(INDEX('Team Performance'!$C$241:$C$270,MATCH($A17,'Team Performance'!$A$241:$A$270,0)),"n/a"),IFERROR(INDEX('Team Performance'!$B$39:$K$68,MATCH($A17,'Team Performance'!$A$39:$A$68,0),MATCH(($B17-2)&amp;"-"&amp;RIGHT($B17-1,2),'Team Performance'!$B$38:$K$38,0)),"n/a"))</f>
        <v>27</v>
      </c>
      <c r="M17" s="109">
        <f t="shared" si="1"/>
        <v>0.67073170731707321</v>
      </c>
      <c r="N17" s="108">
        <f>IF($B17=2017,IFERROR(INDEX('Team Performance'!$E$241:$E$270,MATCH($A17,'Team Performance'!$A$241:$A$270,0)),"n/a"),IFERROR(INDEX('Team Performance'!$B$140:$K$169,MATCH($A17,'Team Performance'!$A$140:$A$169,0),MATCH(($B17-2)&amp;"-"&amp;RIGHT($B17-1,2),'Team Performance'!$B$139:$K$139,0)),"n/a"))</f>
        <v>3</v>
      </c>
      <c r="O17" s="110">
        <f>IF($B17=2017,IFERROR(INDEX('Salary Cap'!$B$143:$B$172,MATCH($A17,'Salary Cap'!$A$143:$A$172,0)),"n/a"),IFERROR(INDEX('Salary Cap'!$B$10:$K$39,MATCH($A17,'Salary Cap'!$A$10:$A$39,0),MATCH(""&amp;($B17-1),'Salary Cap'!$B$9:$K$9,0)),"n/a"))</f>
        <v>115731460</v>
      </c>
      <c r="P17" s="115">
        <f>IF($B17=2017,IFERROR(INDEX('Salary Cap'!$C$143:$C$172,MATCH($A17,'Salary Cap'!$A$143:$A$172,0)),"n/a"),IFERROR(INDEX('Salary Cap'!$B$109:$K$138,MATCH($A17,'Salary Cap'!$A$109:$A$138,0),MATCH(""&amp;($B17-1),'Salary Cap'!$B$108:$K$108,0)),"n/a"))</f>
        <v>0</v>
      </c>
      <c r="Q17" s="138">
        <f>IF(OR($B17=2021,$B17=2022),1,0)</f>
        <v>0</v>
      </c>
    </row>
    <row r="18" spans="1:17" x14ac:dyDescent="0.2">
      <c r="A18" s="113" t="str" cm="1">
        <f t="array" ref="A18">INDEX('NBA Valuations'!$A$5:$A$34,INT((ROW()-5)/10)+1)</f>
        <v>Boston Celtics</v>
      </c>
      <c r="B18" s="105">
        <f t="shared" si="0"/>
        <v>2020</v>
      </c>
      <c r="C18" s="106">
        <f>IFERROR(INDEX('NBA Valuations'!$B$5:$K$34,MATCH($A18,'NBA Valuations'!$A$5:$A$34,0),MATCH(""&amp;$B18,'NBA Valuations'!$B$3:$K$3,0)),"n/a")</f>
        <v>3100</v>
      </c>
      <c r="D18" s="106">
        <f>IFERROR(INDEX(Revenue!$B$5:$K$34,MATCH($A18,Revenue!$A$5:$A$34,0),MATCH(""&amp;$B18,Revenue!$B$3:$K$3,0)),"n/a")</f>
        <v>304</v>
      </c>
      <c r="E18" s="106">
        <f>IFERROR(INDEX('Operating Income'!$B$5:$K$34,MATCH($A18,'Operating Income'!$A$5:$A$34,0),MATCH(""&amp;$B18,'Operating Income'!$B$3:$K$3,0)),"n/a")</f>
        <v>88</v>
      </c>
      <c r="F18" s="107">
        <f>IFERROR(INDEX('Market Size'!$L$5:$L$34,MATCH($A18,'Market Size'!$A$5:$A$34,0)),"n/a")</f>
        <v>4921409</v>
      </c>
      <c r="G18" s="108" t="str">
        <f>IFERROR(INDEX('Market Size'!$B$38:$K$67,MATCH($A18,'Market Size'!$A$38:$A$67,0),MATCH(""&amp;($B18-1),'Market Size'!$B$36:$K$36,0)),"n/a")</f>
        <v>n/a</v>
      </c>
      <c r="H18" s="108">
        <f>IFERROR(INDEX(Arena!$B$38:$K$67,MATCH($A18,Arena!$A$38:$A$67,0),MATCH(""&amp;$B18,Arena!$B$36:$K$36,0)),"n/a")</f>
        <v>1995</v>
      </c>
      <c r="I18" s="136" t="str">
        <f>IFERROR(INDEX(Arena!$B$71:$K$100,MATCH($A18,Arena!$A$71:$A$100,0),MATCH(""&amp;$B18,Arena!$B$69:$K$69,0)),"n/a")</f>
        <v>N</v>
      </c>
      <c r="J18" s="137">
        <f>IF(ISNUMBER($H18),($B18-1)-$H18,"n/a")</f>
        <v>24</v>
      </c>
      <c r="K18" s="108">
        <f>IF($B18=2017,IFERROR(INDEX('Team Performance'!$B$241:$B$270,MATCH($A18,'Team Performance'!$A$241:$A$270,0)),"n/a"),IFERROR(INDEX('Team Performance'!$B$6:$K$35,MATCH($A18,'Team Performance'!$A$6:$A$35,0),MATCH(($B18-2)&amp;"-"&amp;RIGHT($B18-1,2),'Team Performance'!$B$5:$K$5,0)),"n/a"))</f>
        <v>49</v>
      </c>
      <c r="L18" s="108">
        <f>IF($B18=2017,IFERROR(INDEX('Team Performance'!$C$241:$C$270,MATCH($A18,'Team Performance'!$A$241:$A$270,0)),"n/a"),IFERROR(INDEX('Team Performance'!$B$39:$K$68,MATCH($A18,'Team Performance'!$A$39:$A$68,0),MATCH(($B18-2)&amp;"-"&amp;RIGHT($B18-1,2),'Team Performance'!$B$38:$K$38,0)),"n/a"))</f>
        <v>33</v>
      </c>
      <c r="M18" s="109">
        <f t="shared" si="1"/>
        <v>0.59756097560975607</v>
      </c>
      <c r="N18" s="108">
        <f>IF($B18=2017,IFERROR(INDEX('Team Performance'!$E$241:$E$270,MATCH($A18,'Team Performance'!$A$241:$A$270,0)),"n/a"),IFERROR(INDEX('Team Performance'!$B$140:$K$169,MATCH($A18,'Team Performance'!$A$140:$A$169,0),MATCH(($B18-2)&amp;"-"&amp;RIGHT($B18-1,2),'Team Performance'!$B$139:$K$139,0)),"n/a"))</f>
        <v>2</v>
      </c>
      <c r="O18" s="110">
        <f>IF($B18=2017,IFERROR(INDEX('Salary Cap'!$B$143:$B$172,MATCH($A18,'Salary Cap'!$A$143:$A$172,0)),"n/a"),IFERROR(INDEX('Salary Cap'!$B$10:$K$39,MATCH($A18,'Salary Cap'!$A$10:$A$39,0),MATCH(""&amp;($B18-1),'Salary Cap'!$B$9:$K$9,0)),"n/a"))</f>
        <v>126313549</v>
      </c>
      <c r="P18" s="115">
        <f>IF($B18=2017,IFERROR(INDEX('Salary Cap'!$C$143:$C$172,MATCH($A18,'Salary Cap'!$A$143:$A$172,0)),"n/a"),IFERROR(INDEX('Salary Cap'!$B$109:$K$138,MATCH($A18,'Salary Cap'!$A$109:$A$138,0),MATCH(""&amp;($B18-1),'Salary Cap'!$B$108:$K$108,0)),"n/a"))</f>
        <v>3900000</v>
      </c>
      <c r="Q18" s="138">
        <f>IF(OR($B18=2021,$B18=2022),1,0)</f>
        <v>0</v>
      </c>
    </row>
    <row r="19" spans="1:17" x14ac:dyDescent="0.2">
      <c r="A19" s="113" t="str" cm="1">
        <f t="array" ref="A19">INDEX('NBA Valuations'!$A$5:$A$34,INT((ROW()-5)/10)+1)</f>
        <v>Boston Celtics</v>
      </c>
      <c r="B19" s="105">
        <f t="shared" si="0"/>
        <v>2021</v>
      </c>
      <c r="C19" s="106">
        <f>IFERROR(INDEX('NBA Valuations'!$B$5:$K$34,MATCH($A19,'NBA Valuations'!$A$5:$A$34,0),MATCH(""&amp;$B19,'NBA Valuations'!$B$3:$K$3,0)),"n/a")</f>
        <v>3200</v>
      </c>
      <c r="D19" s="106">
        <f>IFERROR(INDEX(Revenue!$B$5:$K$34,MATCH($A19,Revenue!$A$5:$A$34,0),MATCH(""&amp;$B19,Revenue!$B$3:$K$3,0)),"n/a")</f>
        <v>274</v>
      </c>
      <c r="E19" s="106">
        <f>IFERROR(INDEX('Operating Income'!$B$5:$K$34,MATCH($A19,'Operating Income'!$A$5:$A$34,0),MATCH(""&amp;$B19,'Operating Income'!$B$3:$K$3,0)),"n/a")</f>
        <v>86</v>
      </c>
      <c r="F19" s="107">
        <f>IFERROR(INDEX('Market Size'!$L$5:$L$34,MATCH($A19,'Market Size'!$A$5:$A$34,0)),"n/a")</f>
        <v>4921409</v>
      </c>
      <c r="G19" s="108" t="str">
        <f>IFERROR(INDEX('Market Size'!$B$38:$K$67,MATCH($A19,'Market Size'!$A$38:$A$67,0),MATCH(""&amp;($B19-1),'Market Size'!$B$36:$K$36,0)),"n/a")</f>
        <v>n/a</v>
      </c>
      <c r="H19" s="108">
        <f>IFERROR(INDEX(Arena!$B$38:$K$67,MATCH($A19,Arena!$A$38:$A$67,0),MATCH(""&amp;$B19,Arena!$B$36:$K$36,0)),"n/a")</f>
        <v>1995</v>
      </c>
      <c r="I19" s="136" t="str">
        <f>IFERROR(INDEX(Arena!$B$71:$K$100,MATCH($A19,Arena!$A$71:$A$100,0),MATCH(""&amp;$B19,Arena!$B$69:$K$69,0)),"n/a")</f>
        <v>N</v>
      </c>
      <c r="J19" s="137">
        <f>IF(ISNUMBER($H19),($B19-1)-$H19,"n/a")</f>
        <v>25</v>
      </c>
      <c r="K19" s="108">
        <f>IF($B19=2017,IFERROR(INDEX('Team Performance'!$B$241:$B$270,MATCH($A19,'Team Performance'!$A$241:$A$270,0)),"n/a"),IFERROR(INDEX('Team Performance'!$B$6:$K$35,MATCH($A19,'Team Performance'!$A$6:$A$35,0),MATCH(($B19-2)&amp;"-"&amp;RIGHT($B19-1,2),'Team Performance'!$B$5:$K$5,0)),"n/a"))</f>
        <v>48</v>
      </c>
      <c r="L19" s="108">
        <f>IF($B19=2017,IFERROR(INDEX('Team Performance'!$C$241:$C$270,MATCH($A19,'Team Performance'!$A$241:$A$270,0)),"n/a"),IFERROR(INDEX('Team Performance'!$B$39:$K$68,MATCH($A19,'Team Performance'!$A$39:$A$68,0),MATCH(($B19-2)&amp;"-"&amp;RIGHT($B19-1,2),'Team Performance'!$B$38:$K$38,0)),"n/a"))</f>
        <v>24</v>
      </c>
      <c r="M19" s="109">
        <f t="shared" si="1"/>
        <v>0.66666666666666663</v>
      </c>
      <c r="N19" s="108">
        <f>IF($B19=2017,IFERROR(INDEX('Team Performance'!$E$241:$E$270,MATCH($A19,'Team Performance'!$A$241:$A$270,0)),"n/a"),IFERROR(INDEX('Team Performance'!$B$140:$K$169,MATCH($A19,'Team Performance'!$A$140:$A$169,0),MATCH(($B19-2)&amp;"-"&amp;RIGHT($B19-1,2),'Team Performance'!$B$139:$K$139,0)),"n/a"))</f>
        <v>3</v>
      </c>
      <c r="O19" s="110">
        <f>IF($B19=2017,IFERROR(INDEX('Salary Cap'!$B$143:$B$172,MATCH($A19,'Salary Cap'!$A$143:$A$172,0)),"n/a"),IFERROR(INDEX('Salary Cap'!$B$10:$K$39,MATCH($A19,'Salary Cap'!$A$10:$A$39,0),MATCH(""&amp;($B19-1),'Salary Cap'!$B$9:$K$9,0)),"n/a"))</f>
        <v>118437085</v>
      </c>
      <c r="P19" s="115">
        <f>IF($B19=2017,IFERROR(INDEX('Salary Cap'!$C$143:$C$172,MATCH($A19,'Salary Cap'!$A$143:$A$172,0)),"n/a"),IFERROR(INDEX('Salary Cap'!$B$109:$K$138,MATCH($A19,'Salary Cap'!$A$109:$A$138,0),MATCH(""&amp;($B19-1),'Salary Cap'!$B$108:$K$108,0)),"n/a"))</f>
        <v>0</v>
      </c>
      <c r="Q19" s="138">
        <f>IF(OR($B19=2021,$B19=2022),1,0)</f>
        <v>1</v>
      </c>
    </row>
    <row r="20" spans="1:17" x14ac:dyDescent="0.2">
      <c r="A20" s="113" t="str" cm="1">
        <f t="array" ref="A20">INDEX('NBA Valuations'!$A$5:$A$34,INT((ROW()-5)/10)+1)</f>
        <v>Boston Celtics</v>
      </c>
      <c r="B20" s="105">
        <f t="shared" si="0"/>
        <v>2022</v>
      </c>
      <c r="C20" s="106">
        <f>IFERROR(INDEX('NBA Valuations'!$B$5:$K$34,MATCH($A20,'NBA Valuations'!$A$5:$A$34,0),MATCH(""&amp;$B20,'NBA Valuations'!$B$3:$K$3,0)),"n/a")</f>
        <v>3550</v>
      </c>
      <c r="D20" s="106">
        <f>IFERROR(INDEX(Revenue!$B$5:$K$34,MATCH($A20,Revenue!$A$5:$A$34,0),MATCH(""&amp;$B20,Revenue!$B$3:$K$3,0)),"n/a")</f>
        <v>211</v>
      </c>
      <c r="E20" s="106">
        <f>IFERROR(INDEX('Operating Income'!$B$5:$K$34,MATCH($A20,'Operating Income'!$A$5:$A$34,0),MATCH(""&amp;$B20,'Operating Income'!$B$3:$K$3,0)),"n/a")</f>
        <v>46</v>
      </c>
      <c r="F20" s="107">
        <f>IFERROR(INDEX('Market Size'!$L$5:$L$34,MATCH($A20,'Market Size'!$A$5:$A$34,0)),"n/a")</f>
        <v>4921409</v>
      </c>
      <c r="G20" s="108" t="str">
        <f>IFERROR(INDEX('Market Size'!$B$38:$K$67,MATCH($A20,'Market Size'!$A$38:$A$67,0),MATCH(""&amp;($B20-1),'Market Size'!$B$36:$K$36,0)),"n/a")</f>
        <v>n/a</v>
      </c>
      <c r="H20" s="108">
        <f>IFERROR(INDEX(Arena!$B$38:$K$67,MATCH($A20,Arena!$A$38:$A$67,0),MATCH(""&amp;$B20,Arena!$B$36:$K$36,0)),"n/a")</f>
        <v>1995</v>
      </c>
      <c r="I20" s="136" t="str">
        <f>IFERROR(INDEX(Arena!$B$71:$K$100,MATCH($A20,Arena!$A$71:$A$100,0),MATCH(""&amp;$B20,Arena!$B$69:$K$69,0)),"n/a")</f>
        <v>N</v>
      </c>
      <c r="J20" s="137">
        <f>IF(ISNUMBER($H20),($B20-1)-$H20,"n/a")</f>
        <v>26</v>
      </c>
      <c r="K20" s="108">
        <f>IF($B20=2017,IFERROR(INDEX('Team Performance'!$B$241:$B$270,MATCH($A20,'Team Performance'!$A$241:$A$270,0)),"n/a"),IFERROR(INDEX('Team Performance'!$B$6:$K$35,MATCH($A20,'Team Performance'!$A$6:$A$35,0),MATCH(($B20-2)&amp;"-"&amp;RIGHT($B20-1,2),'Team Performance'!$B$5:$K$5,0)),"n/a"))</f>
        <v>36</v>
      </c>
      <c r="L20" s="108">
        <f>IF($B20=2017,IFERROR(INDEX('Team Performance'!$C$241:$C$270,MATCH($A20,'Team Performance'!$A$241:$A$270,0)),"n/a"),IFERROR(INDEX('Team Performance'!$B$39:$K$68,MATCH($A20,'Team Performance'!$A$39:$A$68,0),MATCH(($B20-2)&amp;"-"&amp;RIGHT($B20-1,2),'Team Performance'!$B$38:$K$38,0)),"n/a"))</f>
        <v>36</v>
      </c>
      <c r="M20" s="109">
        <f t="shared" si="1"/>
        <v>0.5</v>
      </c>
      <c r="N20" s="108">
        <f>IF($B20=2017,IFERROR(INDEX('Team Performance'!$E$241:$E$270,MATCH($A20,'Team Performance'!$A$241:$A$270,0)),"n/a"),IFERROR(INDEX('Team Performance'!$B$140:$K$169,MATCH($A20,'Team Performance'!$A$140:$A$169,0),MATCH(($B20-2)&amp;"-"&amp;RIGHT($B20-1,2),'Team Performance'!$B$139:$K$139,0)),"n/a"))</f>
        <v>1</v>
      </c>
      <c r="O20" s="110">
        <f>IF($B20=2017,IFERROR(INDEX('Salary Cap'!$B$143:$B$172,MATCH($A20,'Salary Cap'!$A$143:$A$172,0)),"n/a"),IFERROR(INDEX('Salary Cap'!$B$10:$K$39,MATCH($A20,'Salary Cap'!$A$10:$A$39,0),MATCH(""&amp;($B20-1),'Salary Cap'!$B$9:$K$9,0)),"n/a"))</f>
        <v>130723102</v>
      </c>
      <c r="P20" s="115">
        <f>IF($B20=2017,IFERROR(INDEX('Salary Cap'!$C$143:$C$172,MATCH($A20,'Salary Cap'!$A$143:$A$172,0)),"n/a"),IFERROR(INDEX('Salary Cap'!$B$109:$K$138,MATCH($A20,'Salary Cap'!$A$109:$A$138,0),MATCH(""&amp;($B20-1),'Salary Cap'!$B$108:$K$108,0)),"n/a"))</f>
        <v>0</v>
      </c>
      <c r="Q20" s="138">
        <f>IF(OR($B20=2021,$B20=2022),1,0)</f>
        <v>1</v>
      </c>
    </row>
    <row r="21" spans="1:17" x14ac:dyDescent="0.2">
      <c r="A21" s="113" t="str" cm="1">
        <f t="array" ref="A21">INDEX('NBA Valuations'!$A$5:$A$34,INT((ROW()-5)/10)+1)</f>
        <v>Boston Celtics</v>
      </c>
      <c r="B21" s="105">
        <f t="shared" si="0"/>
        <v>2023</v>
      </c>
      <c r="C21" s="106">
        <f>IFERROR(INDEX('NBA Valuations'!$B$5:$K$34,MATCH($A21,'NBA Valuations'!$A$5:$A$34,0),MATCH(""&amp;$B21,'NBA Valuations'!$B$3:$K$3,0)),"n/a")</f>
        <v>4000</v>
      </c>
      <c r="D21" s="106">
        <f>IFERROR(INDEX(Revenue!$B$5:$K$34,MATCH($A21,Revenue!$A$5:$A$34,0),MATCH(""&amp;$B21,Revenue!$B$3:$K$3,0)),"n/a")</f>
        <v>361</v>
      </c>
      <c r="E21" s="106">
        <f>IFERROR(INDEX('Operating Income'!$B$5:$K$34,MATCH($A21,'Operating Income'!$A$5:$A$34,0),MATCH(""&amp;$B21,'Operating Income'!$B$3:$K$3,0)),"n/a")</f>
        <v>137</v>
      </c>
      <c r="F21" s="107">
        <f>IFERROR(INDEX('Market Size'!$L$5:$L$34,MATCH($A21,'Market Size'!$A$5:$A$34,0)),"n/a")</f>
        <v>4921409</v>
      </c>
      <c r="G21" s="108" t="str">
        <f>IFERROR(INDEX('Market Size'!$B$38:$K$67,MATCH($A21,'Market Size'!$A$38:$A$67,0),MATCH(""&amp;($B21-1),'Market Size'!$B$36:$K$36,0)),"n/a")</f>
        <v>n/a</v>
      </c>
      <c r="H21" s="108">
        <f>IFERROR(INDEX(Arena!$B$38:$K$67,MATCH($A21,Arena!$A$38:$A$67,0),MATCH(""&amp;$B21,Arena!$B$36:$K$36,0)),"n/a")</f>
        <v>1995</v>
      </c>
      <c r="I21" s="136" t="str">
        <f>IFERROR(INDEX(Arena!$B$71:$K$100,MATCH($A21,Arena!$A$71:$A$100,0),MATCH(""&amp;$B21,Arena!$B$69:$K$69,0)),"n/a")</f>
        <v>N</v>
      </c>
      <c r="J21" s="137">
        <f>IF(ISNUMBER($H21),($B21-1)-$H21,"n/a")</f>
        <v>27</v>
      </c>
      <c r="K21" s="108">
        <f>IF($B21=2017,IFERROR(INDEX('Team Performance'!$B$241:$B$270,MATCH($A21,'Team Performance'!$A$241:$A$270,0)),"n/a"),IFERROR(INDEX('Team Performance'!$B$6:$K$35,MATCH($A21,'Team Performance'!$A$6:$A$35,0),MATCH(($B21-2)&amp;"-"&amp;RIGHT($B21-1,2),'Team Performance'!$B$5:$K$5,0)),"n/a"))</f>
        <v>51</v>
      </c>
      <c r="L21" s="108">
        <f>IF($B21=2017,IFERROR(INDEX('Team Performance'!$C$241:$C$270,MATCH($A21,'Team Performance'!$A$241:$A$270,0)),"n/a"),IFERROR(INDEX('Team Performance'!$B$39:$K$68,MATCH($A21,'Team Performance'!$A$39:$A$68,0),MATCH(($B21-2)&amp;"-"&amp;RIGHT($B21-1,2),'Team Performance'!$B$38:$K$38,0)),"n/a"))</f>
        <v>31</v>
      </c>
      <c r="M21" s="109">
        <f t="shared" si="1"/>
        <v>0.62195121951219512</v>
      </c>
      <c r="N21" s="108">
        <f>IF($B21=2017,IFERROR(INDEX('Team Performance'!$E$241:$E$270,MATCH($A21,'Team Performance'!$A$241:$A$270,0)),"n/a"),IFERROR(INDEX('Team Performance'!$B$140:$K$169,MATCH($A21,'Team Performance'!$A$140:$A$169,0),MATCH(($B21-2)&amp;"-"&amp;RIGHT($B21-1,2),'Team Performance'!$B$139:$K$139,0)),"n/a"))</f>
        <v>4</v>
      </c>
      <c r="O21" s="110">
        <f>IF($B21=2017,IFERROR(INDEX('Salary Cap'!$B$143:$B$172,MATCH($A21,'Salary Cap'!$A$143:$A$172,0)),"n/a"),IFERROR(INDEX('Salary Cap'!$B$10:$K$39,MATCH($A21,'Salary Cap'!$A$10:$A$39,0),MATCH(""&amp;($B21-1),'Salary Cap'!$B$9:$K$9,0)),"n/a"))</f>
        <v>135726703</v>
      </c>
      <c r="P21" s="115">
        <f>IF($B21=2017,IFERROR(INDEX('Salary Cap'!$C$143:$C$172,MATCH($A21,'Salary Cap'!$A$143:$A$172,0)),"n/a"),IFERROR(INDEX('Salary Cap'!$B$109:$K$138,MATCH($A21,'Salary Cap'!$A$109:$A$138,0),MATCH(""&amp;($B21-1),'Salary Cap'!$B$108:$K$108,0)),"n/a"))</f>
        <v>0</v>
      </c>
      <c r="Q21" s="138">
        <f>IF(OR($B21=2021,$B21=2022),1,0)</f>
        <v>0</v>
      </c>
    </row>
    <row r="22" spans="1:17" x14ac:dyDescent="0.2">
      <c r="A22" s="113" t="str" cm="1">
        <f t="array" ref="A22">INDEX('NBA Valuations'!$A$5:$A$34,INT((ROW()-5)/10)+1)</f>
        <v>Boston Celtics</v>
      </c>
      <c r="B22" s="105">
        <f t="shared" si="0"/>
        <v>2024</v>
      </c>
      <c r="C22" s="106">
        <f>IFERROR(INDEX('NBA Valuations'!$B$5:$K$34,MATCH($A22,'NBA Valuations'!$A$5:$A$34,0),MATCH(""&amp;$B22,'NBA Valuations'!$B$3:$K$3,0)),"n/a")</f>
        <v>4700</v>
      </c>
      <c r="D22" s="106">
        <f>IFERROR(INDEX(Revenue!$B$5:$K$34,MATCH($A22,Revenue!$A$5:$A$34,0),MATCH(""&amp;$B22,Revenue!$B$3:$K$3,0)),"n/a")</f>
        <v>443</v>
      </c>
      <c r="E22" s="106">
        <f>IFERROR(INDEX('Operating Income'!$B$5:$K$34,MATCH($A22,'Operating Income'!$A$5:$A$34,0),MATCH(""&amp;$B22,'Operating Income'!$B$3:$K$3,0)),"n/a")</f>
        <v>88</v>
      </c>
      <c r="F22" s="107">
        <f>IFERROR(INDEX('Market Size'!$L$5:$L$34,MATCH($A22,'Market Size'!$A$5:$A$34,0)),"n/a")</f>
        <v>4921409</v>
      </c>
      <c r="G22" s="108" t="str">
        <f>IFERROR(INDEX('Market Size'!$B$38:$K$67,MATCH($A22,'Market Size'!$A$38:$A$67,0),MATCH(""&amp;($B22-1),'Market Size'!$B$36:$K$36,0)),"n/a")</f>
        <v>n/a</v>
      </c>
      <c r="H22" s="108">
        <f>IFERROR(INDEX(Arena!$B$38:$K$67,MATCH($A22,Arena!$A$38:$A$67,0),MATCH(""&amp;$B22,Arena!$B$36:$K$36,0)),"n/a")</f>
        <v>1995</v>
      </c>
      <c r="I22" s="136" t="str">
        <f>IFERROR(INDEX(Arena!$B$71:$K$100,MATCH($A22,Arena!$A$71:$A$100,0),MATCH(""&amp;$B22,Arena!$B$69:$K$69,0)),"n/a")</f>
        <v>N</v>
      </c>
      <c r="J22" s="137">
        <f>IF(ISNUMBER($H22),($B22-1)-$H22,"n/a")</f>
        <v>28</v>
      </c>
      <c r="K22" s="108">
        <f>IF($B22=2017,IFERROR(INDEX('Team Performance'!$B$241:$B$270,MATCH($A22,'Team Performance'!$A$241:$A$270,0)),"n/a"),IFERROR(INDEX('Team Performance'!$B$6:$K$35,MATCH($A22,'Team Performance'!$A$6:$A$35,0),MATCH(($B22-2)&amp;"-"&amp;RIGHT($B22-1,2),'Team Performance'!$B$5:$K$5,0)),"n/a"))</f>
        <v>57</v>
      </c>
      <c r="L22" s="108">
        <f>IF($B22=2017,IFERROR(INDEX('Team Performance'!$C$241:$C$270,MATCH($A22,'Team Performance'!$A$241:$A$270,0)),"n/a"),IFERROR(INDEX('Team Performance'!$B$39:$K$68,MATCH($A22,'Team Performance'!$A$39:$A$68,0),MATCH(($B22-2)&amp;"-"&amp;RIGHT($B22-1,2),'Team Performance'!$B$38:$K$38,0)),"n/a"))</f>
        <v>25</v>
      </c>
      <c r="M22" s="109">
        <f t="shared" si="1"/>
        <v>0.69512195121951215</v>
      </c>
      <c r="N22" s="108">
        <f>IF($B22=2017,IFERROR(INDEX('Team Performance'!$E$241:$E$270,MATCH($A22,'Team Performance'!$A$241:$A$270,0)),"n/a"),IFERROR(INDEX('Team Performance'!$B$140:$K$169,MATCH($A22,'Team Performance'!$A$140:$A$169,0),MATCH(($B22-2)&amp;"-"&amp;RIGHT($B22-1,2),'Team Performance'!$B$139:$K$139,0)),"n/a"))</f>
        <v>3</v>
      </c>
      <c r="O22" s="110">
        <f>IF($B22=2017,IFERROR(INDEX('Salary Cap'!$B$143:$B$172,MATCH($A22,'Salary Cap'!$A$143:$A$172,0)),"n/a"),IFERROR(INDEX('Salary Cap'!$B$10:$K$39,MATCH($A22,'Salary Cap'!$A$10:$A$39,0),MATCH(""&amp;($B22-1),'Salary Cap'!$B$9:$K$9,0)),"n/a"))</f>
        <v>176732455</v>
      </c>
      <c r="P22" s="115">
        <f>IF($B22=2017,IFERROR(INDEX('Salary Cap'!$C$143:$C$172,MATCH($A22,'Salary Cap'!$A$143:$A$172,0)),"n/a"),IFERROR(INDEX('Salary Cap'!$B$109:$K$138,MATCH($A22,'Salary Cap'!$A$109:$A$138,0),MATCH(""&amp;($B22-1),'Salary Cap'!$B$108:$K$108,0)),"n/a"))</f>
        <v>69978184</v>
      </c>
      <c r="Q22" s="138">
        <f>IF(OR($B22=2021,$B22=2022),1,0)</f>
        <v>0</v>
      </c>
    </row>
    <row r="23" spans="1:17" x14ac:dyDescent="0.2">
      <c r="A23" s="113" t="str" cm="1">
        <f t="array" ref="A23">INDEX('NBA Valuations'!$A$5:$A$34,INT((ROW()-5)/10)+1)</f>
        <v>Boston Celtics</v>
      </c>
      <c r="B23" s="105">
        <f t="shared" si="0"/>
        <v>2025</v>
      </c>
      <c r="C23" s="106">
        <f>IFERROR(INDEX('NBA Valuations'!$B$5:$K$34,MATCH($A23,'NBA Valuations'!$A$5:$A$34,0),MATCH(""&amp;$B23,'NBA Valuations'!$B$3:$K$3,0)),"n/a")</f>
        <v>6000</v>
      </c>
      <c r="D23" s="106">
        <f>IFERROR(INDEX(Revenue!$B$5:$K$34,MATCH($A23,Revenue!$A$5:$A$34,0),MATCH(""&amp;$B23,Revenue!$B$3:$K$3,0)),"n/a")</f>
        <v>457</v>
      </c>
      <c r="E23" s="106">
        <f>IFERROR(INDEX('Operating Income'!$B$5:$K$34,MATCH($A23,'Operating Income'!$A$5:$A$34,0),MATCH(""&amp;$B23,'Operating Income'!$B$3:$K$3,0)),"n/a")</f>
        <v>121</v>
      </c>
      <c r="F23" s="107">
        <f>IFERROR(INDEX('Market Size'!$L$5:$L$34,MATCH($A23,'Market Size'!$A$5:$A$34,0)),"n/a")</f>
        <v>4921409</v>
      </c>
      <c r="G23" s="108">
        <f>IFERROR(INDEX('Market Size'!$B$38:$K$67,MATCH($A23,'Market Size'!$A$38:$A$67,0),MATCH(""&amp;($B23-1),'Market Size'!$B$36:$K$36,0)),"n/a")</f>
        <v>9</v>
      </c>
      <c r="H23" s="108">
        <f>IFERROR(INDEX(Arena!$B$38:$K$67,MATCH($A23,Arena!$A$38:$A$67,0),MATCH(""&amp;$B23,Arena!$B$36:$K$36,0)),"n/a")</f>
        <v>1995</v>
      </c>
      <c r="I23" s="136" t="str">
        <f>IFERROR(INDEX(Arena!$B$71:$K$100,MATCH($A23,Arena!$A$71:$A$100,0),MATCH(""&amp;$B23,Arena!$B$69:$K$69,0)),"n/a")</f>
        <v>N</v>
      </c>
      <c r="J23" s="137">
        <f>IF(ISNUMBER($H23),($B23-1)-$H23,"n/a")</f>
        <v>29</v>
      </c>
      <c r="K23" s="108">
        <f>IF($B23=2017,IFERROR(INDEX('Team Performance'!$B$241:$B$270,MATCH($A23,'Team Performance'!$A$241:$A$270,0)),"n/a"),IFERROR(INDEX('Team Performance'!$B$6:$K$35,MATCH($A23,'Team Performance'!$A$6:$A$35,0),MATCH(($B23-2)&amp;"-"&amp;RIGHT($B23-1,2),'Team Performance'!$B$5:$K$5,0)),"n/a"))</f>
        <v>64</v>
      </c>
      <c r="L23" s="108">
        <f>IF($B23=2017,IFERROR(INDEX('Team Performance'!$C$241:$C$270,MATCH($A23,'Team Performance'!$A$241:$A$270,0)),"n/a"),IFERROR(INDEX('Team Performance'!$B$39:$K$68,MATCH($A23,'Team Performance'!$A$39:$A$68,0),MATCH(($B23-2)&amp;"-"&amp;RIGHT($B23-1,2),'Team Performance'!$B$38:$K$38,0)),"n/a"))</f>
        <v>18</v>
      </c>
      <c r="M23" s="109">
        <f t="shared" si="1"/>
        <v>0.78048780487804881</v>
      </c>
      <c r="N23" s="108">
        <f>IF($B23=2017,IFERROR(INDEX('Team Performance'!$E$241:$E$270,MATCH($A23,'Team Performance'!$A$241:$A$270,0)),"n/a"),IFERROR(INDEX('Team Performance'!$B$140:$K$169,MATCH($A23,'Team Performance'!$A$140:$A$169,0),MATCH(($B23-2)&amp;"-"&amp;RIGHT($B23-1,2),'Team Performance'!$B$139:$K$139,0)),"n/a"))</f>
        <v>5</v>
      </c>
      <c r="O23" s="110">
        <f>IF($B23=2017,IFERROR(INDEX('Salary Cap'!$B$143:$B$172,MATCH($A23,'Salary Cap'!$A$143:$A$172,0)),"n/a"),IFERROR(INDEX('Salary Cap'!$B$10:$K$39,MATCH($A23,'Salary Cap'!$A$10:$A$39,0),MATCH(""&amp;($B23-1),'Salary Cap'!$B$9:$K$9,0)),"n/a"))</f>
        <v>183476284</v>
      </c>
      <c r="P23" s="115">
        <f>IF($B23=2017,IFERROR(INDEX('Salary Cap'!$C$143:$C$172,MATCH($A23,'Salary Cap'!$A$143:$A$172,0)),"n/a"),IFERROR(INDEX('Salary Cap'!$B$109:$K$138,MATCH($A23,'Salary Cap'!$A$109:$A$138,0),MATCH(""&amp;($B23-1),'Salary Cap'!$B$108:$K$108,0)),"n/a"))</f>
        <v>39092423</v>
      </c>
      <c r="Q23" s="138">
        <f>IF(OR($B23=2021,$B23=2022),1,0)</f>
        <v>0</v>
      </c>
    </row>
    <row r="24" spans="1:17" x14ac:dyDescent="0.2">
      <c r="A24" s="113" t="str" cm="1">
        <f t="array" ref="A24">INDEX('NBA Valuations'!$A$5:$A$34,INT((ROW()-5)/10)+1)</f>
        <v>Boston Celtics</v>
      </c>
      <c r="B24" s="105">
        <f t="shared" si="0"/>
        <v>2026</v>
      </c>
      <c r="C24" s="106">
        <f>IFERROR(INDEX('NBA Valuations'!$B$5:$K$34,MATCH($A24,'NBA Valuations'!$A$5:$A$34,0),MATCH(""&amp;$B24,'NBA Valuations'!$B$3:$K$3,0)),"n/a")</f>
        <v>6700</v>
      </c>
      <c r="D24" s="106">
        <f>IFERROR(INDEX(Revenue!$B$5:$K$34,MATCH($A24,Revenue!$A$5:$A$34,0),MATCH(""&amp;$B24,Revenue!$B$3:$K$3,0)),"n/a")</f>
        <v>458</v>
      </c>
      <c r="E24" s="106">
        <f>IFERROR(INDEX('Operating Income'!$B$5:$K$34,MATCH($A24,'Operating Income'!$A$5:$A$34,0),MATCH(""&amp;$B24,'Operating Income'!$B$3:$K$3,0)),"n/a")</f>
        <v>116</v>
      </c>
      <c r="F24" s="107">
        <f>IFERROR(INDEX('Market Size'!$L$5:$L$34,MATCH($A24,'Market Size'!$A$5:$A$34,0)),"n/a")</f>
        <v>4921409</v>
      </c>
      <c r="G24" s="108">
        <f>IFERROR(INDEX('Market Size'!$B$38:$K$67,MATCH($A24,'Market Size'!$A$38:$A$67,0),MATCH(""&amp;($B24-1),'Market Size'!$B$36:$K$36,0)),"n/a")</f>
        <v>9</v>
      </c>
      <c r="H24" s="108">
        <f>IFERROR(INDEX(Arena!$B$38:$K$67,MATCH($A24,Arena!$A$38:$A$67,0),MATCH(""&amp;$B24,Arena!$B$36:$K$36,0)),"n/a")</f>
        <v>1995</v>
      </c>
      <c r="I24" s="136" t="str">
        <f>IFERROR(INDEX(Arena!$B$71:$K$100,MATCH($A24,Arena!$A$71:$A$100,0),MATCH(""&amp;$B24,Arena!$B$69:$K$69,0)),"n/a")</f>
        <v>N</v>
      </c>
      <c r="J24" s="137">
        <f>IF(ISNUMBER($H24),($B24-1)-$H24,"n/a")</f>
        <v>30</v>
      </c>
      <c r="K24" s="108">
        <f>IF($B24=2017,IFERROR(INDEX('Team Performance'!$B$241:$B$270,MATCH($A24,'Team Performance'!$A$241:$A$270,0)),"n/a"),IFERROR(INDEX('Team Performance'!$B$6:$K$35,MATCH($A24,'Team Performance'!$A$6:$A$35,0),MATCH(($B24-2)&amp;"-"&amp;RIGHT($B24-1,2),'Team Performance'!$B$5:$K$5,0)),"n/a"))</f>
        <v>61</v>
      </c>
      <c r="L24" s="108">
        <f>IF($B24=2017,IFERROR(INDEX('Team Performance'!$C$241:$C$270,MATCH($A24,'Team Performance'!$A$241:$A$270,0)),"n/a"),IFERROR(INDEX('Team Performance'!$B$39:$K$68,MATCH($A24,'Team Performance'!$A$39:$A$68,0),MATCH(($B24-2)&amp;"-"&amp;RIGHT($B24-1,2),'Team Performance'!$B$38:$K$38,0)),"n/a"))</f>
        <v>21</v>
      </c>
      <c r="M24" s="109">
        <f t="shared" si="1"/>
        <v>0.74390243902439024</v>
      </c>
      <c r="N24" s="108">
        <f>IF($B24=2017,IFERROR(INDEX('Team Performance'!$E$241:$E$270,MATCH($A24,'Team Performance'!$A$241:$A$270,0)),"n/a"),IFERROR(INDEX('Team Performance'!$B$140:$K$169,MATCH($A24,'Team Performance'!$A$140:$A$169,0),MATCH(($B24-2)&amp;"-"&amp;RIGHT($B24-1,2),'Team Performance'!$B$139:$K$139,0)),"n/a"))</f>
        <v>2</v>
      </c>
      <c r="O24" s="110">
        <f>IF($B24=2017,IFERROR(INDEX('Salary Cap'!$B$143:$B$172,MATCH($A24,'Salary Cap'!$A$143:$A$172,0)),"n/a"),IFERROR(INDEX('Salary Cap'!$B$10:$K$39,MATCH($A24,'Salary Cap'!$A$10:$A$39,0),MATCH(""&amp;($B24-1),'Salary Cap'!$B$9:$K$9,0)),"n/a"))</f>
        <v>193098445</v>
      </c>
      <c r="P24" s="115">
        <f>IF($B24=2017,IFERROR(INDEX('Salary Cap'!$C$143:$C$172,MATCH($A24,'Salary Cap'!$A$143:$A$172,0)),"n/a"),IFERROR(INDEX('Salary Cap'!$B$109:$K$138,MATCH($A24,'Salary Cap'!$A$109:$A$138,0),MATCH(""&amp;($B24-1),'Salary Cap'!$B$108:$K$108,0)),"n/a"))</f>
        <v>52558669</v>
      </c>
      <c r="Q24" s="138">
        <f>IF(OR($B24=2021,$B24=2022),1,0)</f>
        <v>0</v>
      </c>
    </row>
    <row r="25" spans="1:17" x14ac:dyDescent="0.2">
      <c r="A25" s="113" t="str" cm="1">
        <f t="array" ref="A25">INDEX('NBA Valuations'!$A$5:$A$34,INT((ROW()-5)/10)+1)</f>
        <v>Brooklyn Nets</v>
      </c>
      <c r="B25" s="105">
        <f t="shared" si="0"/>
        <v>2017</v>
      </c>
      <c r="C25" s="106">
        <f>IFERROR(INDEX('NBA Valuations'!$B$5:$K$34,MATCH($A25,'NBA Valuations'!$A$5:$A$34,0),MATCH(""&amp;$B25,'NBA Valuations'!$B$3:$K$3,0)),"n/a")</f>
        <v>1800</v>
      </c>
      <c r="D25" s="106">
        <f>IFERROR(INDEX(Revenue!$B$5:$K$34,MATCH($A25,Revenue!$A$5:$A$34,0),MATCH(""&amp;$B25,Revenue!$B$3:$K$3,0)),"n/a")</f>
        <v>223</v>
      </c>
      <c r="E25" s="106">
        <f>IFERROR(INDEX('Operating Income'!$B$5:$K$34,MATCH($A25,'Operating Income'!$A$5:$A$34,0),MATCH(""&amp;$B25,'Operating Income'!$B$3:$K$3,0)),"n/a")</f>
        <v>15.7</v>
      </c>
      <c r="F25" s="107">
        <f>IFERROR(INDEX('Market Size'!$L$5:$L$34,MATCH($A25,'Market Size'!$A$5:$A$34,0)),"n/a")</f>
        <v>19999993</v>
      </c>
      <c r="G25" s="108" t="str">
        <f>IFERROR(INDEX('Market Size'!$B$38:$K$67,MATCH($A25,'Market Size'!$A$38:$A$67,0),MATCH(""&amp;($B25-1),'Market Size'!$B$36:$K$36,0)),"n/a")</f>
        <v>n/a</v>
      </c>
      <c r="H25" s="108">
        <f>IFERROR(INDEX(Arena!$B$38:$K$67,MATCH($A25,Arena!$A$38:$A$67,0),MATCH(""&amp;$B25,Arena!$B$36:$K$36,0)),"n/a")</f>
        <v>2012</v>
      </c>
      <c r="I25" s="136" t="str">
        <f>IFERROR(INDEX(Arena!$B$71:$K$100,MATCH($A25,Arena!$A$71:$A$100,0),MATCH(""&amp;$B25,Arena!$B$69:$K$69,0)),"n/a")</f>
        <v>N</v>
      </c>
      <c r="J25" s="137">
        <f>IF(ISNUMBER($H25),($B25-1)-$H25,"n/a")</f>
        <v>4</v>
      </c>
      <c r="K25" s="108">
        <f>IF($B25=2017,IFERROR(INDEX('Team Performance'!$B$241:$B$270,MATCH($A25,'Team Performance'!$A$241:$A$270,0)),"n/a"),IFERROR(INDEX('Team Performance'!$B$6:$K$35,MATCH($A25,'Team Performance'!$A$6:$A$35,0),MATCH(($B25-2)&amp;"-"&amp;RIGHT($B25-1,2),'Team Performance'!$B$5:$K$5,0)),"n/a"))</f>
        <v>21</v>
      </c>
      <c r="L25" s="108">
        <f>IF($B25=2017,IFERROR(INDEX('Team Performance'!$C$241:$C$270,MATCH($A25,'Team Performance'!$A$241:$A$270,0)),"n/a"),IFERROR(INDEX('Team Performance'!$B$39:$K$68,MATCH($A25,'Team Performance'!$A$39:$A$68,0),MATCH(($B25-2)&amp;"-"&amp;RIGHT($B25-1,2),'Team Performance'!$B$38:$K$38,0)),"n/a"))</f>
        <v>61</v>
      </c>
      <c r="M25" s="109">
        <f t="shared" si="1"/>
        <v>0.25609756097560976</v>
      </c>
      <c r="N25" s="108">
        <f>IF($B25=2017,IFERROR(INDEX('Team Performance'!$E$241:$E$270,MATCH($A25,'Team Performance'!$A$241:$A$270,0)),"n/a"),IFERROR(INDEX('Team Performance'!$B$140:$K$169,MATCH($A25,'Team Performance'!$A$140:$A$169,0),MATCH(($B25-2)&amp;"-"&amp;RIGHT($B25-1,2),'Team Performance'!$B$139:$K$139,0)),"n/a"))</f>
        <v>0</v>
      </c>
      <c r="O25" s="110">
        <f>IF($B25=2017,IFERROR(INDEX('Salary Cap'!$B$143:$B$172,MATCH($A25,'Salary Cap'!$A$143:$A$172,0)),"n/a"),IFERROR(INDEX('Salary Cap'!$B$10:$K$39,MATCH($A25,'Salary Cap'!$A$10:$A$39,0),MATCH(""&amp;($B25-1),'Salary Cap'!$B$9:$K$9,0)),"n/a"))</f>
        <v>80503847</v>
      </c>
      <c r="P25" s="115">
        <f>IF($B25=2017,IFERROR(INDEX('Salary Cap'!$C$143:$C$172,MATCH($A25,'Salary Cap'!$A$143:$A$172,0)),"n/a"),IFERROR(INDEX('Salary Cap'!$B$109:$K$138,MATCH($A25,'Salary Cap'!$A$109:$A$138,0),MATCH(""&amp;($B25-1),'Salary Cap'!$B$108:$K$108,0)),"n/a"))</f>
        <v>0</v>
      </c>
      <c r="Q25" s="138">
        <f>IF(OR($B25=2021,$B25=2022),1,0)</f>
        <v>0</v>
      </c>
    </row>
    <row r="26" spans="1:17" x14ac:dyDescent="0.2">
      <c r="A26" s="113" t="str" cm="1">
        <f t="array" ref="A26">INDEX('NBA Valuations'!$A$5:$A$34,INT((ROW()-5)/10)+1)</f>
        <v>Brooklyn Nets</v>
      </c>
      <c r="B26" s="105">
        <f t="shared" si="0"/>
        <v>2018</v>
      </c>
      <c r="C26" s="106">
        <f>IFERROR(INDEX('NBA Valuations'!$B$5:$K$34,MATCH($A26,'NBA Valuations'!$A$5:$A$34,0),MATCH(""&amp;$B26,'NBA Valuations'!$B$3:$K$3,0)),"n/a")</f>
        <v>2300</v>
      </c>
      <c r="D26" s="106">
        <f>IFERROR(INDEX(Revenue!$B$5:$K$34,MATCH($A26,Revenue!$A$5:$A$34,0),MATCH(""&amp;$B26,Revenue!$B$3:$K$3,0)),"n/a")</f>
        <v>273</v>
      </c>
      <c r="E26" s="106">
        <f>IFERROR(INDEX('Operating Income'!$B$5:$K$34,MATCH($A26,'Operating Income'!$A$5:$A$34,0),MATCH(""&amp;$B26,'Operating Income'!$B$3:$K$3,0)),"n/a")</f>
        <v>52</v>
      </c>
      <c r="F26" s="107">
        <f>IFERROR(INDEX('Market Size'!$L$5:$L$34,MATCH($A26,'Market Size'!$A$5:$A$34,0)),"n/a")</f>
        <v>19999993</v>
      </c>
      <c r="G26" s="108" t="str">
        <f>IFERROR(INDEX('Market Size'!$B$38:$K$67,MATCH($A26,'Market Size'!$A$38:$A$67,0),MATCH(""&amp;($B26-1),'Market Size'!$B$36:$K$36,0)),"n/a")</f>
        <v>n/a</v>
      </c>
      <c r="H26" s="108">
        <f>IFERROR(INDEX(Arena!$B$38:$K$67,MATCH($A26,Arena!$A$38:$A$67,0),MATCH(""&amp;$B26,Arena!$B$36:$K$36,0)),"n/a")</f>
        <v>2012</v>
      </c>
      <c r="I26" s="136" t="str">
        <f>IFERROR(INDEX(Arena!$B$71:$K$100,MATCH($A26,Arena!$A$71:$A$100,0),MATCH(""&amp;$B26,Arena!$B$69:$K$69,0)),"n/a")</f>
        <v>N</v>
      </c>
      <c r="J26" s="137">
        <f>IF(ISNUMBER($H26),($B26-1)-$H26,"n/a")</f>
        <v>5</v>
      </c>
      <c r="K26" s="108">
        <f>IF($B26=2017,IFERROR(INDEX('Team Performance'!$B$241:$B$270,MATCH($A26,'Team Performance'!$A$241:$A$270,0)),"n/a"),IFERROR(INDEX('Team Performance'!$B$6:$K$35,MATCH($A26,'Team Performance'!$A$6:$A$35,0),MATCH(($B26-2)&amp;"-"&amp;RIGHT($B26-1,2),'Team Performance'!$B$5:$K$5,0)),"n/a"))</f>
        <v>20</v>
      </c>
      <c r="L26" s="108">
        <f>IF($B26=2017,IFERROR(INDEX('Team Performance'!$C$241:$C$270,MATCH($A26,'Team Performance'!$A$241:$A$270,0)),"n/a"),IFERROR(INDEX('Team Performance'!$B$39:$K$68,MATCH($A26,'Team Performance'!$A$39:$A$68,0),MATCH(($B26-2)&amp;"-"&amp;RIGHT($B26-1,2),'Team Performance'!$B$38:$K$38,0)),"n/a"))</f>
        <v>62</v>
      </c>
      <c r="M26" s="109">
        <f t="shared" si="1"/>
        <v>0.24390243902439024</v>
      </c>
      <c r="N26" s="108">
        <f>IF($B26=2017,IFERROR(INDEX('Team Performance'!$E$241:$E$270,MATCH($A26,'Team Performance'!$A$241:$A$270,0)),"n/a"),IFERROR(INDEX('Team Performance'!$B$140:$K$169,MATCH($A26,'Team Performance'!$A$140:$A$169,0),MATCH(($B26-2)&amp;"-"&amp;RIGHT($B26-1,2),'Team Performance'!$B$139:$K$139,0)),"n/a"))</f>
        <v>0</v>
      </c>
      <c r="O26" s="110">
        <f>IF($B26=2017,IFERROR(INDEX('Salary Cap'!$B$143:$B$172,MATCH($A26,'Salary Cap'!$A$143:$A$172,0)),"n/a"),IFERROR(INDEX('Salary Cap'!$B$10:$K$39,MATCH($A26,'Salary Cap'!$A$10:$A$39,0),MATCH(""&amp;($B26-1),'Salary Cap'!$B$9:$K$9,0)),"n/a"))</f>
        <v>83753138</v>
      </c>
      <c r="P26" s="115">
        <f>IF($B26=2017,IFERROR(INDEX('Salary Cap'!$C$143:$C$172,MATCH($A26,'Salary Cap'!$A$143:$A$172,0)),"n/a"),IFERROR(INDEX('Salary Cap'!$B$109:$K$138,MATCH($A26,'Salary Cap'!$A$109:$A$138,0),MATCH(""&amp;($B26-1),'Salary Cap'!$B$108:$K$108,0)),"n/a"))</f>
        <v>0</v>
      </c>
      <c r="Q26" s="138">
        <f>IF(OR($B26=2021,$B26=2022),1,0)</f>
        <v>0</v>
      </c>
    </row>
    <row r="27" spans="1:17" x14ac:dyDescent="0.2">
      <c r="A27" s="113" t="str" cm="1">
        <f t="array" ref="A27">INDEX('NBA Valuations'!$A$5:$A$34,INT((ROW()-5)/10)+1)</f>
        <v>Brooklyn Nets</v>
      </c>
      <c r="B27" s="105">
        <f t="shared" si="0"/>
        <v>2019</v>
      </c>
      <c r="C27" s="106">
        <f>IFERROR(INDEX('NBA Valuations'!$B$5:$K$34,MATCH($A27,'NBA Valuations'!$A$5:$A$34,0),MATCH(""&amp;$B27,'NBA Valuations'!$B$3:$K$3,0)),"n/a")</f>
        <v>2400</v>
      </c>
      <c r="D27" s="106">
        <f>IFERROR(INDEX(Revenue!$B$5:$K$34,MATCH($A27,Revenue!$A$5:$A$34,0),MATCH(""&amp;$B27,Revenue!$B$3:$K$3,0)),"n/a")</f>
        <v>290</v>
      </c>
      <c r="E27" s="106">
        <f>IFERROR(INDEX('Operating Income'!$B$5:$K$34,MATCH($A27,'Operating Income'!$A$5:$A$34,0),MATCH(""&amp;$B27,'Operating Income'!$B$3:$K$3,0)),"n/a")</f>
        <v>53</v>
      </c>
      <c r="F27" s="107">
        <f>IFERROR(INDEX('Market Size'!$L$5:$L$34,MATCH($A27,'Market Size'!$A$5:$A$34,0)),"n/a")</f>
        <v>19999993</v>
      </c>
      <c r="G27" s="108" t="str">
        <f>IFERROR(INDEX('Market Size'!$B$38:$K$67,MATCH($A27,'Market Size'!$A$38:$A$67,0),MATCH(""&amp;($B27-1),'Market Size'!$B$36:$K$36,0)),"n/a")</f>
        <v>n/a</v>
      </c>
      <c r="H27" s="108">
        <f>IFERROR(INDEX(Arena!$B$38:$K$67,MATCH($A27,Arena!$A$38:$A$67,0),MATCH(""&amp;$B27,Arena!$B$36:$K$36,0)),"n/a")</f>
        <v>2012</v>
      </c>
      <c r="I27" s="136" t="str">
        <f>IFERROR(INDEX(Arena!$B$71:$K$100,MATCH($A27,Arena!$A$71:$A$100,0),MATCH(""&amp;$B27,Arena!$B$69:$K$69,0)),"n/a")</f>
        <v>N</v>
      </c>
      <c r="J27" s="137">
        <f>IF(ISNUMBER($H27),($B27-1)-$H27,"n/a")</f>
        <v>6</v>
      </c>
      <c r="K27" s="108">
        <f>IF($B27=2017,IFERROR(INDEX('Team Performance'!$B$241:$B$270,MATCH($A27,'Team Performance'!$A$241:$A$270,0)),"n/a"),IFERROR(INDEX('Team Performance'!$B$6:$K$35,MATCH($A27,'Team Performance'!$A$6:$A$35,0),MATCH(($B27-2)&amp;"-"&amp;RIGHT($B27-1,2),'Team Performance'!$B$5:$K$5,0)),"n/a"))</f>
        <v>28</v>
      </c>
      <c r="L27" s="108">
        <f>IF($B27=2017,IFERROR(INDEX('Team Performance'!$C$241:$C$270,MATCH($A27,'Team Performance'!$A$241:$A$270,0)),"n/a"),IFERROR(INDEX('Team Performance'!$B$39:$K$68,MATCH($A27,'Team Performance'!$A$39:$A$68,0),MATCH(($B27-2)&amp;"-"&amp;RIGHT($B27-1,2),'Team Performance'!$B$38:$K$38,0)),"n/a"))</f>
        <v>54</v>
      </c>
      <c r="M27" s="109">
        <f t="shared" si="1"/>
        <v>0.34146341463414637</v>
      </c>
      <c r="N27" s="108">
        <f>IF($B27=2017,IFERROR(INDEX('Team Performance'!$E$241:$E$270,MATCH($A27,'Team Performance'!$A$241:$A$270,0)),"n/a"),IFERROR(INDEX('Team Performance'!$B$140:$K$169,MATCH($A27,'Team Performance'!$A$140:$A$169,0),MATCH(($B27-2)&amp;"-"&amp;RIGHT($B27-1,2),'Team Performance'!$B$139:$K$139,0)),"n/a"))</f>
        <v>0</v>
      </c>
      <c r="O27" s="110">
        <f>IF($B27=2017,IFERROR(INDEX('Salary Cap'!$B$143:$B$172,MATCH($A27,'Salary Cap'!$A$143:$A$172,0)),"n/a"),IFERROR(INDEX('Salary Cap'!$B$10:$K$39,MATCH($A27,'Salary Cap'!$A$10:$A$39,0),MATCH(""&amp;($B27-1),'Salary Cap'!$B$9:$K$9,0)),"n/a"))</f>
        <v>96123331</v>
      </c>
      <c r="P27" s="115">
        <f>IF($B27=2017,IFERROR(INDEX('Salary Cap'!$C$143:$C$172,MATCH($A27,'Salary Cap'!$A$143:$A$172,0)),"n/a"),IFERROR(INDEX('Salary Cap'!$B$109:$K$138,MATCH($A27,'Salary Cap'!$A$109:$A$138,0),MATCH(""&amp;($B27-1),'Salary Cap'!$B$108:$K$108,0)),"n/a"))</f>
        <v>0</v>
      </c>
      <c r="Q27" s="138">
        <f>IF(OR($B27=2021,$B27=2022),1,0)</f>
        <v>0</v>
      </c>
    </row>
    <row r="28" spans="1:17" x14ac:dyDescent="0.2">
      <c r="A28" s="113" t="str" cm="1">
        <f t="array" ref="A28">INDEX('NBA Valuations'!$A$5:$A$34,INT((ROW()-5)/10)+1)</f>
        <v>Brooklyn Nets</v>
      </c>
      <c r="B28" s="105">
        <f t="shared" si="0"/>
        <v>2020</v>
      </c>
      <c r="C28" s="106">
        <f>IFERROR(INDEX('NBA Valuations'!$B$5:$K$34,MATCH($A28,'NBA Valuations'!$A$5:$A$34,0),MATCH(""&amp;$B28,'NBA Valuations'!$B$3:$K$3,0)),"n/a")</f>
        <v>2500</v>
      </c>
      <c r="D28" s="106">
        <f>IFERROR(INDEX(Revenue!$B$5:$K$34,MATCH($A28,Revenue!$A$5:$A$34,0),MATCH(""&amp;$B28,Revenue!$B$3:$K$3,0)),"n/a")</f>
        <v>304</v>
      </c>
      <c r="E28" s="106">
        <f>IFERROR(INDEX('Operating Income'!$B$5:$K$34,MATCH($A28,'Operating Income'!$A$5:$A$34,0),MATCH(""&amp;$B28,'Operating Income'!$B$3:$K$3,0)),"n/a")</f>
        <v>42</v>
      </c>
      <c r="F28" s="107">
        <f>IFERROR(INDEX('Market Size'!$L$5:$L$34,MATCH($A28,'Market Size'!$A$5:$A$34,0)),"n/a")</f>
        <v>19999993</v>
      </c>
      <c r="G28" s="108" t="str">
        <f>IFERROR(INDEX('Market Size'!$B$38:$K$67,MATCH($A28,'Market Size'!$A$38:$A$67,0),MATCH(""&amp;($B28-1),'Market Size'!$B$36:$K$36,0)),"n/a")</f>
        <v>n/a</v>
      </c>
      <c r="H28" s="108">
        <f>IFERROR(INDEX(Arena!$B$38:$K$67,MATCH($A28,Arena!$A$38:$A$67,0),MATCH(""&amp;$B28,Arena!$B$36:$K$36,0)),"n/a")</f>
        <v>2012</v>
      </c>
      <c r="I28" s="136" t="str">
        <f>IFERROR(INDEX(Arena!$B$71:$K$100,MATCH($A28,Arena!$A$71:$A$100,0),MATCH(""&amp;$B28,Arena!$B$69:$K$69,0)),"n/a")</f>
        <v>N</v>
      </c>
      <c r="J28" s="137">
        <f>IF(ISNUMBER($H28),($B28-1)-$H28,"n/a")</f>
        <v>7</v>
      </c>
      <c r="K28" s="108">
        <f>IF($B28=2017,IFERROR(INDEX('Team Performance'!$B$241:$B$270,MATCH($A28,'Team Performance'!$A$241:$A$270,0)),"n/a"),IFERROR(INDEX('Team Performance'!$B$6:$K$35,MATCH($A28,'Team Performance'!$A$6:$A$35,0),MATCH(($B28-2)&amp;"-"&amp;RIGHT($B28-1,2),'Team Performance'!$B$5:$K$5,0)),"n/a"))</f>
        <v>42</v>
      </c>
      <c r="L28" s="108">
        <f>IF($B28=2017,IFERROR(INDEX('Team Performance'!$C$241:$C$270,MATCH($A28,'Team Performance'!$A$241:$A$270,0)),"n/a"),IFERROR(INDEX('Team Performance'!$B$39:$K$68,MATCH($A28,'Team Performance'!$A$39:$A$68,0),MATCH(($B28-2)&amp;"-"&amp;RIGHT($B28-1,2),'Team Performance'!$B$38:$K$38,0)),"n/a"))</f>
        <v>40</v>
      </c>
      <c r="M28" s="109">
        <f t="shared" si="1"/>
        <v>0.51219512195121952</v>
      </c>
      <c r="N28" s="108">
        <f>IF($B28=2017,IFERROR(INDEX('Team Performance'!$E$241:$E$270,MATCH($A28,'Team Performance'!$A$241:$A$270,0)),"n/a"),IFERROR(INDEX('Team Performance'!$B$140:$K$169,MATCH($A28,'Team Performance'!$A$140:$A$169,0),MATCH(($B28-2)&amp;"-"&amp;RIGHT($B28-1,2),'Team Performance'!$B$139:$K$139,0)),"n/a"))</f>
        <v>1</v>
      </c>
      <c r="O28" s="110">
        <f>IF($B28=2017,IFERROR(INDEX('Salary Cap'!$B$143:$B$172,MATCH($A28,'Salary Cap'!$A$143:$A$172,0)),"n/a"),IFERROR(INDEX('Salary Cap'!$B$10:$K$39,MATCH($A28,'Salary Cap'!$A$10:$A$39,0),MATCH(""&amp;($B28-1),'Salary Cap'!$B$9:$K$9,0)),"n/a"))</f>
        <v>117647794</v>
      </c>
      <c r="P28" s="115">
        <f>IF($B28=2017,IFERROR(INDEX('Salary Cap'!$C$143:$C$172,MATCH($A28,'Salary Cap'!$A$143:$A$172,0)),"n/a"),IFERROR(INDEX('Salary Cap'!$B$109:$K$138,MATCH($A28,'Salary Cap'!$A$109:$A$138,0),MATCH(""&amp;($B28-1),'Salary Cap'!$B$108:$K$108,0)),"n/a"))</f>
        <v>0</v>
      </c>
      <c r="Q28" s="138">
        <f>IF(OR($B28=2021,$B28=2022),1,0)</f>
        <v>0</v>
      </c>
    </row>
    <row r="29" spans="1:17" x14ac:dyDescent="0.2">
      <c r="A29" s="113" t="str" cm="1">
        <f t="array" ref="A29">INDEX('NBA Valuations'!$A$5:$A$34,INT((ROW()-5)/10)+1)</f>
        <v>Brooklyn Nets</v>
      </c>
      <c r="B29" s="105">
        <f t="shared" si="0"/>
        <v>2021</v>
      </c>
      <c r="C29" s="106">
        <f>IFERROR(INDEX('NBA Valuations'!$B$5:$K$34,MATCH($A29,'NBA Valuations'!$A$5:$A$34,0),MATCH(""&amp;$B29,'NBA Valuations'!$B$3:$K$3,0)),"n/a")</f>
        <v>2650</v>
      </c>
      <c r="D29" s="106">
        <f>IFERROR(INDEX(Revenue!$B$5:$K$34,MATCH($A29,Revenue!$A$5:$A$34,0),MATCH(""&amp;$B29,Revenue!$B$3:$K$3,0)),"n/a")</f>
        <v>280</v>
      </c>
      <c r="E29" s="106">
        <f>IFERROR(INDEX('Operating Income'!$B$5:$K$34,MATCH($A29,'Operating Income'!$A$5:$A$34,0),MATCH(""&amp;$B29,'Operating Income'!$B$3:$K$3,0)),"n/a")</f>
        <v>44</v>
      </c>
      <c r="F29" s="107">
        <f>IFERROR(INDEX('Market Size'!$L$5:$L$34,MATCH($A29,'Market Size'!$A$5:$A$34,0)),"n/a")</f>
        <v>19999993</v>
      </c>
      <c r="G29" s="108" t="str">
        <f>IFERROR(INDEX('Market Size'!$B$38:$K$67,MATCH($A29,'Market Size'!$A$38:$A$67,0),MATCH(""&amp;($B29-1),'Market Size'!$B$36:$K$36,0)),"n/a")</f>
        <v>n/a</v>
      </c>
      <c r="H29" s="108">
        <f>IFERROR(INDEX(Arena!$B$38:$K$67,MATCH($A29,Arena!$A$38:$A$67,0),MATCH(""&amp;$B29,Arena!$B$36:$K$36,0)),"n/a")</f>
        <v>2012</v>
      </c>
      <c r="I29" s="136" t="str">
        <f>IFERROR(INDEX(Arena!$B$71:$K$100,MATCH($A29,Arena!$A$71:$A$100,0),MATCH(""&amp;$B29,Arena!$B$69:$K$69,0)),"n/a")</f>
        <v>N</v>
      </c>
      <c r="J29" s="137">
        <f>IF(ISNUMBER($H29),($B29-1)-$H29,"n/a")</f>
        <v>8</v>
      </c>
      <c r="K29" s="108">
        <f>IF($B29=2017,IFERROR(INDEX('Team Performance'!$B$241:$B$270,MATCH($A29,'Team Performance'!$A$241:$A$270,0)),"n/a"),IFERROR(INDEX('Team Performance'!$B$6:$K$35,MATCH($A29,'Team Performance'!$A$6:$A$35,0),MATCH(($B29-2)&amp;"-"&amp;RIGHT($B29-1,2),'Team Performance'!$B$5:$K$5,0)),"n/a"))</f>
        <v>35</v>
      </c>
      <c r="L29" s="108">
        <f>IF($B29=2017,IFERROR(INDEX('Team Performance'!$C$241:$C$270,MATCH($A29,'Team Performance'!$A$241:$A$270,0)),"n/a"),IFERROR(INDEX('Team Performance'!$B$39:$K$68,MATCH($A29,'Team Performance'!$A$39:$A$68,0),MATCH(($B29-2)&amp;"-"&amp;RIGHT($B29-1,2),'Team Performance'!$B$38:$K$38,0)),"n/a"))</f>
        <v>37</v>
      </c>
      <c r="M29" s="109">
        <f t="shared" si="1"/>
        <v>0.4861111111111111</v>
      </c>
      <c r="N29" s="108">
        <f>IF($B29=2017,IFERROR(INDEX('Team Performance'!$E$241:$E$270,MATCH($A29,'Team Performance'!$A$241:$A$270,0)),"n/a"),IFERROR(INDEX('Team Performance'!$B$140:$K$169,MATCH($A29,'Team Performance'!$A$140:$A$169,0),MATCH(($B29-2)&amp;"-"&amp;RIGHT($B29-1,2),'Team Performance'!$B$139:$K$139,0)),"n/a"))</f>
        <v>1</v>
      </c>
      <c r="O29" s="110">
        <f>IF($B29=2017,IFERROR(INDEX('Salary Cap'!$B$143:$B$172,MATCH($A29,'Salary Cap'!$A$143:$A$172,0)),"n/a"),IFERROR(INDEX('Salary Cap'!$B$10:$K$39,MATCH($A29,'Salary Cap'!$A$10:$A$39,0),MATCH(""&amp;($B29-1),'Salary Cap'!$B$9:$K$9,0)),"n/a"))</f>
        <v>102674920</v>
      </c>
      <c r="P29" s="115">
        <f>IF($B29=2017,IFERROR(INDEX('Salary Cap'!$C$143:$C$172,MATCH($A29,'Salary Cap'!$A$143:$A$172,0)),"n/a"),IFERROR(INDEX('Salary Cap'!$B$109:$K$138,MATCH($A29,'Salary Cap'!$A$109:$A$138,0),MATCH(""&amp;($B29-1),'Salary Cap'!$B$108:$K$108,0)),"n/a"))</f>
        <v>0</v>
      </c>
      <c r="Q29" s="138">
        <f>IF(OR($B29=2021,$B29=2022),1,0)</f>
        <v>1</v>
      </c>
    </row>
    <row r="30" spans="1:17" x14ac:dyDescent="0.2">
      <c r="A30" s="113" t="str" cm="1">
        <f t="array" ref="A30">INDEX('NBA Valuations'!$A$5:$A$34,INT((ROW()-5)/10)+1)</f>
        <v>Brooklyn Nets</v>
      </c>
      <c r="B30" s="105">
        <f t="shared" si="0"/>
        <v>2022</v>
      </c>
      <c r="C30" s="106">
        <f>IFERROR(INDEX('NBA Valuations'!$B$5:$K$34,MATCH($A30,'NBA Valuations'!$A$5:$A$34,0),MATCH(""&amp;$B30,'NBA Valuations'!$B$3:$K$3,0)),"n/a")</f>
        <v>3200</v>
      </c>
      <c r="D30" s="106">
        <f>IFERROR(INDEX(Revenue!$B$5:$K$34,MATCH($A30,Revenue!$A$5:$A$34,0),MATCH(""&amp;$B30,Revenue!$B$3:$K$3,0)),"n/a")</f>
        <v>212</v>
      </c>
      <c r="E30" s="106">
        <f>IFERROR(INDEX('Operating Income'!$B$5:$K$34,MATCH($A30,'Operating Income'!$A$5:$A$34,0),MATCH(""&amp;$B30,'Operating Income'!$B$3:$K$3,0)),"n/a")</f>
        <v>-80</v>
      </c>
      <c r="F30" s="107">
        <f>IFERROR(INDEX('Market Size'!$L$5:$L$34,MATCH($A30,'Market Size'!$A$5:$A$34,0)),"n/a")</f>
        <v>19999993</v>
      </c>
      <c r="G30" s="108" t="str">
        <f>IFERROR(INDEX('Market Size'!$B$38:$K$67,MATCH($A30,'Market Size'!$A$38:$A$67,0),MATCH(""&amp;($B30-1),'Market Size'!$B$36:$K$36,0)),"n/a")</f>
        <v>n/a</v>
      </c>
      <c r="H30" s="108">
        <f>IFERROR(INDEX(Arena!$B$38:$K$67,MATCH($A30,Arena!$A$38:$A$67,0),MATCH(""&amp;$B30,Arena!$B$36:$K$36,0)),"n/a")</f>
        <v>2012</v>
      </c>
      <c r="I30" s="136" t="str">
        <f>IFERROR(INDEX(Arena!$B$71:$K$100,MATCH($A30,Arena!$A$71:$A$100,0),MATCH(""&amp;$B30,Arena!$B$69:$K$69,0)),"n/a")</f>
        <v>N</v>
      </c>
      <c r="J30" s="137">
        <f>IF(ISNUMBER($H30),($B30-1)-$H30,"n/a")</f>
        <v>9</v>
      </c>
      <c r="K30" s="108">
        <f>IF($B30=2017,IFERROR(INDEX('Team Performance'!$B$241:$B$270,MATCH($A30,'Team Performance'!$A$241:$A$270,0)),"n/a"),IFERROR(INDEX('Team Performance'!$B$6:$K$35,MATCH($A30,'Team Performance'!$A$6:$A$35,0),MATCH(($B30-2)&amp;"-"&amp;RIGHT($B30-1,2),'Team Performance'!$B$5:$K$5,0)),"n/a"))</f>
        <v>48</v>
      </c>
      <c r="L30" s="108">
        <f>IF($B30=2017,IFERROR(INDEX('Team Performance'!$C$241:$C$270,MATCH($A30,'Team Performance'!$A$241:$A$270,0)),"n/a"),IFERROR(INDEX('Team Performance'!$B$39:$K$68,MATCH($A30,'Team Performance'!$A$39:$A$68,0),MATCH(($B30-2)&amp;"-"&amp;RIGHT($B30-1,2),'Team Performance'!$B$38:$K$38,0)),"n/a"))</f>
        <v>24</v>
      </c>
      <c r="M30" s="109">
        <f t="shared" si="1"/>
        <v>0.66666666666666663</v>
      </c>
      <c r="N30" s="108">
        <f>IF($B30=2017,IFERROR(INDEX('Team Performance'!$E$241:$E$270,MATCH($A30,'Team Performance'!$A$241:$A$270,0)),"n/a"),IFERROR(INDEX('Team Performance'!$B$140:$K$169,MATCH($A30,'Team Performance'!$A$140:$A$169,0),MATCH(($B30-2)&amp;"-"&amp;RIGHT($B30-1,2),'Team Performance'!$B$139:$K$139,0)),"n/a"))</f>
        <v>2</v>
      </c>
      <c r="O30" s="110">
        <f>IF($B30=2017,IFERROR(INDEX('Salary Cap'!$B$143:$B$172,MATCH($A30,'Salary Cap'!$A$143:$A$172,0)),"n/a"),IFERROR(INDEX('Salary Cap'!$B$10:$K$39,MATCH($A30,'Salary Cap'!$A$10:$A$39,0),MATCH(""&amp;($B30-1),'Salary Cap'!$B$9:$K$9,0)),"n/a"))</f>
        <v>166175317</v>
      </c>
      <c r="P30" s="115">
        <f>IF($B30=2017,IFERROR(INDEX('Salary Cap'!$C$143:$C$172,MATCH($A30,'Salary Cap'!$A$143:$A$172,0)),"n/a"),IFERROR(INDEX('Salary Cap'!$B$109:$K$138,MATCH($A30,'Salary Cap'!$A$109:$A$138,0),MATCH(""&amp;($B30-1),'Salary Cap'!$B$108:$K$108,0)),"n/a"))</f>
        <v>61600000</v>
      </c>
      <c r="Q30" s="138">
        <f>IF(OR($B30=2021,$B30=2022),1,0)</f>
        <v>1</v>
      </c>
    </row>
    <row r="31" spans="1:17" x14ac:dyDescent="0.2">
      <c r="A31" s="113" t="str" cm="1">
        <f t="array" ref="A31">INDEX('NBA Valuations'!$A$5:$A$34,INT((ROW()-5)/10)+1)</f>
        <v>Brooklyn Nets</v>
      </c>
      <c r="B31" s="105">
        <f t="shared" si="0"/>
        <v>2023</v>
      </c>
      <c r="C31" s="106">
        <f>IFERROR(INDEX('NBA Valuations'!$B$5:$K$34,MATCH($A31,'NBA Valuations'!$A$5:$A$34,0),MATCH(""&amp;$B31,'NBA Valuations'!$B$3:$K$3,0)),"n/a")</f>
        <v>3500</v>
      </c>
      <c r="D31" s="106">
        <f>IFERROR(INDEX(Revenue!$B$5:$K$34,MATCH($A31,Revenue!$A$5:$A$34,0),MATCH(""&amp;$B31,Revenue!$B$3:$K$3,0)),"n/a")</f>
        <v>405</v>
      </c>
      <c r="E31" s="106">
        <f>IFERROR(INDEX('Operating Income'!$B$5:$K$34,MATCH($A31,'Operating Income'!$A$5:$A$34,0),MATCH(""&amp;$B31,'Operating Income'!$B$3:$K$3,0)),"n/a")</f>
        <v>-34</v>
      </c>
      <c r="F31" s="107">
        <f>IFERROR(INDEX('Market Size'!$L$5:$L$34,MATCH($A31,'Market Size'!$A$5:$A$34,0)),"n/a")</f>
        <v>19999993</v>
      </c>
      <c r="G31" s="108" t="str">
        <f>IFERROR(INDEX('Market Size'!$B$38:$K$67,MATCH($A31,'Market Size'!$A$38:$A$67,0),MATCH(""&amp;($B31-1),'Market Size'!$B$36:$K$36,0)),"n/a")</f>
        <v>n/a</v>
      </c>
      <c r="H31" s="108">
        <f>IFERROR(INDEX(Arena!$B$38:$K$67,MATCH($A31,Arena!$A$38:$A$67,0),MATCH(""&amp;$B31,Arena!$B$36:$K$36,0)),"n/a")</f>
        <v>2012</v>
      </c>
      <c r="I31" s="136" t="str">
        <f>IFERROR(INDEX(Arena!$B$71:$K$100,MATCH($A31,Arena!$A$71:$A$100,0),MATCH(""&amp;$B31,Arena!$B$69:$K$69,0)),"n/a")</f>
        <v>N</v>
      </c>
      <c r="J31" s="137">
        <f>IF(ISNUMBER($H31),($B31-1)-$H31,"n/a")</f>
        <v>10</v>
      </c>
      <c r="K31" s="108">
        <f>IF($B31=2017,IFERROR(INDEX('Team Performance'!$B$241:$B$270,MATCH($A31,'Team Performance'!$A$241:$A$270,0)),"n/a"),IFERROR(INDEX('Team Performance'!$B$6:$K$35,MATCH($A31,'Team Performance'!$A$6:$A$35,0),MATCH(($B31-2)&amp;"-"&amp;RIGHT($B31-1,2),'Team Performance'!$B$5:$K$5,0)),"n/a"))</f>
        <v>44</v>
      </c>
      <c r="L31" s="108">
        <f>IF($B31=2017,IFERROR(INDEX('Team Performance'!$C$241:$C$270,MATCH($A31,'Team Performance'!$A$241:$A$270,0)),"n/a"),IFERROR(INDEX('Team Performance'!$B$39:$K$68,MATCH($A31,'Team Performance'!$A$39:$A$68,0),MATCH(($B31-2)&amp;"-"&amp;RIGHT($B31-1,2),'Team Performance'!$B$38:$K$38,0)),"n/a"))</f>
        <v>38</v>
      </c>
      <c r="M31" s="109">
        <f t="shared" si="1"/>
        <v>0.53658536585365857</v>
      </c>
      <c r="N31" s="108">
        <f>IF($B31=2017,IFERROR(INDEX('Team Performance'!$E$241:$E$270,MATCH($A31,'Team Performance'!$A$241:$A$270,0)),"n/a"),IFERROR(INDEX('Team Performance'!$B$140:$K$169,MATCH($A31,'Team Performance'!$A$140:$A$169,0),MATCH(($B31-2)&amp;"-"&amp;RIGHT($B31-1,2),'Team Performance'!$B$139:$K$139,0)),"n/a"))</f>
        <v>1</v>
      </c>
      <c r="O31" s="110">
        <f>IF($B31=2017,IFERROR(INDEX('Salary Cap'!$B$143:$B$172,MATCH($A31,'Salary Cap'!$A$143:$A$172,0)),"n/a"),IFERROR(INDEX('Salary Cap'!$B$10:$K$39,MATCH($A31,'Salary Cap'!$A$10:$A$39,0),MATCH(""&amp;($B31-1),'Salary Cap'!$B$9:$K$9,0)),"n/a"))</f>
        <v>169286329</v>
      </c>
      <c r="P31" s="115">
        <f>IF($B31=2017,IFERROR(INDEX('Salary Cap'!$C$143:$C$172,MATCH($A31,'Salary Cap'!$A$143:$A$172,0)),"n/a"),IFERROR(INDEX('Salary Cap'!$B$109:$K$138,MATCH($A31,'Salary Cap'!$A$109:$A$138,0),MATCH(""&amp;($B31-1),'Salary Cap'!$B$108:$K$108,0)),"n/a"))</f>
        <v>97711261</v>
      </c>
      <c r="Q31" s="138">
        <f>IF(OR($B31=2021,$B31=2022),1,0)</f>
        <v>0</v>
      </c>
    </row>
    <row r="32" spans="1:17" x14ac:dyDescent="0.2">
      <c r="A32" s="113" t="str" cm="1">
        <f t="array" ref="A32">INDEX('NBA Valuations'!$A$5:$A$34,INT((ROW()-5)/10)+1)</f>
        <v>Brooklyn Nets</v>
      </c>
      <c r="B32" s="105">
        <f t="shared" si="0"/>
        <v>2024</v>
      </c>
      <c r="C32" s="106">
        <f>IFERROR(INDEX('NBA Valuations'!$B$5:$K$34,MATCH($A32,'NBA Valuations'!$A$5:$A$34,0),MATCH(""&amp;$B32,'NBA Valuations'!$B$3:$K$3,0)),"n/a")</f>
        <v>3850</v>
      </c>
      <c r="D32" s="106">
        <f>IFERROR(INDEX(Revenue!$B$5:$K$34,MATCH($A32,Revenue!$A$5:$A$34,0),MATCH(""&amp;$B32,Revenue!$B$3:$K$3,0)),"n/a")</f>
        <v>367</v>
      </c>
      <c r="E32" s="106">
        <f>IFERROR(INDEX('Operating Income'!$B$5:$K$34,MATCH($A32,'Operating Income'!$A$5:$A$34,0),MATCH(""&amp;$B32,'Operating Income'!$B$3:$K$3,0)),"n/a")</f>
        <v>-5.4</v>
      </c>
      <c r="F32" s="107">
        <f>IFERROR(INDEX('Market Size'!$L$5:$L$34,MATCH($A32,'Market Size'!$A$5:$A$34,0)),"n/a")</f>
        <v>19999993</v>
      </c>
      <c r="G32" s="108" t="str">
        <f>IFERROR(INDEX('Market Size'!$B$38:$K$67,MATCH($A32,'Market Size'!$A$38:$A$67,0),MATCH(""&amp;($B32-1),'Market Size'!$B$36:$K$36,0)),"n/a")</f>
        <v>n/a</v>
      </c>
      <c r="H32" s="108">
        <f>IFERROR(INDEX(Arena!$B$38:$K$67,MATCH($A32,Arena!$A$38:$A$67,0),MATCH(""&amp;$B32,Arena!$B$36:$K$36,0)),"n/a")</f>
        <v>2012</v>
      </c>
      <c r="I32" s="136" t="str">
        <f>IFERROR(INDEX(Arena!$B$71:$K$100,MATCH($A32,Arena!$A$71:$A$100,0),MATCH(""&amp;$B32,Arena!$B$69:$K$69,0)),"n/a")</f>
        <v>N</v>
      </c>
      <c r="J32" s="137">
        <f>IF(ISNUMBER($H32),($B32-1)-$H32,"n/a")</f>
        <v>11</v>
      </c>
      <c r="K32" s="108">
        <f>IF($B32=2017,IFERROR(INDEX('Team Performance'!$B$241:$B$270,MATCH($A32,'Team Performance'!$A$241:$A$270,0)),"n/a"),IFERROR(INDEX('Team Performance'!$B$6:$K$35,MATCH($A32,'Team Performance'!$A$6:$A$35,0),MATCH(($B32-2)&amp;"-"&amp;RIGHT($B32-1,2),'Team Performance'!$B$5:$K$5,0)),"n/a"))</f>
        <v>45</v>
      </c>
      <c r="L32" s="108">
        <f>IF($B32=2017,IFERROR(INDEX('Team Performance'!$C$241:$C$270,MATCH($A32,'Team Performance'!$A$241:$A$270,0)),"n/a"),IFERROR(INDEX('Team Performance'!$B$39:$K$68,MATCH($A32,'Team Performance'!$A$39:$A$68,0),MATCH(($B32-2)&amp;"-"&amp;RIGHT($B32-1,2),'Team Performance'!$B$38:$K$38,0)),"n/a"))</f>
        <v>37</v>
      </c>
      <c r="M32" s="109">
        <f t="shared" si="1"/>
        <v>0.54878048780487809</v>
      </c>
      <c r="N32" s="108">
        <f>IF($B32=2017,IFERROR(INDEX('Team Performance'!$E$241:$E$270,MATCH($A32,'Team Performance'!$A$241:$A$270,0)),"n/a"),IFERROR(INDEX('Team Performance'!$B$140:$K$169,MATCH($A32,'Team Performance'!$A$140:$A$169,0),MATCH(($B32-2)&amp;"-"&amp;RIGHT($B32-1,2),'Team Performance'!$B$139:$K$139,0)),"n/a"))</f>
        <v>1</v>
      </c>
      <c r="O32" s="110">
        <f>IF($B32=2017,IFERROR(INDEX('Salary Cap'!$B$143:$B$172,MATCH($A32,'Salary Cap'!$A$143:$A$172,0)),"n/a"),IFERROR(INDEX('Salary Cap'!$B$10:$K$39,MATCH($A32,'Salary Cap'!$A$10:$A$39,0),MATCH(""&amp;($B32-1),'Salary Cap'!$B$9:$K$9,0)),"n/a"))</f>
        <v>158370057</v>
      </c>
      <c r="P32" s="115">
        <f>IF($B32=2017,IFERROR(INDEX('Salary Cap'!$C$143:$C$172,MATCH($A32,'Salary Cap'!$A$143:$A$172,0)),"n/a"),IFERROR(INDEX('Salary Cap'!$B$109:$K$138,MATCH($A32,'Salary Cap'!$A$109:$A$138,0),MATCH(""&amp;($B32-1),'Salary Cap'!$B$108:$K$108,0)),"n/a"))</f>
        <v>12930350</v>
      </c>
      <c r="Q32" s="138">
        <f>IF(OR($B32=2021,$B32=2022),1,0)</f>
        <v>0</v>
      </c>
    </row>
    <row r="33" spans="1:17" x14ac:dyDescent="0.2">
      <c r="A33" s="113" t="str" cm="1">
        <f t="array" ref="A33">INDEX('NBA Valuations'!$A$5:$A$34,INT((ROW()-5)/10)+1)</f>
        <v>Brooklyn Nets</v>
      </c>
      <c r="B33" s="105">
        <f t="shared" si="0"/>
        <v>2025</v>
      </c>
      <c r="C33" s="106">
        <f>IFERROR(INDEX('NBA Valuations'!$B$5:$K$34,MATCH($A33,'NBA Valuations'!$A$5:$A$34,0),MATCH(""&amp;$B33,'NBA Valuations'!$B$3:$K$3,0)),"n/a")</f>
        <v>4800</v>
      </c>
      <c r="D33" s="106">
        <f>IFERROR(INDEX(Revenue!$B$5:$K$34,MATCH($A33,Revenue!$A$5:$A$34,0),MATCH(""&amp;$B33,Revenue!$B$3:$K$3,0)),"n/a")</f>
        <v>381</v>
      </c>
      <c r="E33" s="106">
        <f>IFERROR(INDEX('Operating Income'!$B$5:$K$34,MATCH($A33,'Operating Income'!$A$5:$A$34,0),MATCH(""&amp;$B33,'Operating Income'!$B$3:$K$3,0)),"n/a")</f>
        <v>43</v>
      </c>
      <c r="F33" s="107">
        <f>IFERROR(INDEX('Market Size'!$L$5:$L$34,MATCH($A33,'Market Size'!$A$5:$A$34,0)),"n/a")</f>
        <v>19999993</v>
      </c>
      <c r="G33" s="108">
        <f>IFERROR(INDEX('Market Size'!$B$38:$K$67,MATCH($A33,'Market Size'!$A$38:$A$67,0),MATCH(""&amp;($B33-1),'Market Size'!$B$36:$K$36,0)),"n/a")</f>
        <v>1</v>
      </c>
      <c r="H33" s="108">
        <f>IFERROR(INDEX(Arena!$B$38:$K$67,MATCH($A33,Arena!$A$38:$A$67,0),MATCH(""&amp;$B33,Arena!$B$36:$K$36,0)),"n/a")</f>
        <v>2012</v>
      </c>
      <c r="I33" s="136" t="str">
        <f>IFERROR(INDEX(Arena!$B$71:$K$100,MATCH($A33,Arena!$A$71:$A$100,0),MATCH(""&amp;$B33,Arena!$B$69:$K$69,0)),"n/a")</f>
        <v>N</v>
      </c>
      <c r="J33" s="137">
        <f>IF(ISNUMBER($H33),($B33-1)-$H33,"n/a")</f>
        <v>12</v>
      </c>
      <c r="K33" s="108">
        <f>IF($B33=2017,IFERROR(INDEX('Team Performance'!$B$241:$B$270,MATCH($A33,'Team Performance'!$A$241:$A$270,0)),"n/a"),IFERROR(INDEX('Team Performance'!$B$6:$K$35,MATCH($A33,'Team Performance'!$A$6:$A$35,0),MATCH(($B33-2)&amp;"-"&amp;RIGHT($B33-1,2),'Team Performance'!$B$5:$K$5,0)),"n/a"))</f>
        <v>32</v>
      </c>
      <c r="L33" s="108">
        <f>IF($B33=2017,IFERROR(INDEX('Team Performance'!$C$241:$C$270,MATCH($A33,'Team Performance'!$A$241:$A$270,0)),"n/a"),IFERROR(INDEX('Team Performance'!$B$39:$K$68,MATCH($A33,'Team Performance'!$A$39:$A$68,0),MATCH(($B33-2)&amp;"-"&amp;RIGHT($B33-1,2),'Team Performance'!$B$38:$K$38,0)),"n/a"))</f>
        <v>50</v>
      </c>
      <c r="M33" s="109">
        <f t="shared" si="1"/>
        <v>0.3902439024390244</v>
      </c>
      <c r="N33" s="108">
        <f>IF($B33=2017,IFERROR(INDEX('Team Performance'!$E$241:$E$270,MATCH($A33,'Team Performance'!$A$241:$A$270,0)),"n/a"),IFERROR(INDEX('Team Performance'!$B$140:$K$169,MATCH($A33,'Team Performance'!$A$140:$A$169,0),MATCH(($B33-2)&amp;"-"&amp;RIGHT($B33-1,2),'Team Performance'!$B$139:$K$139,0)),"n/a"))</f>
        <v>0</v>
      </c>
      <c r="O33" s="110">
        <f>IF($B33=2017,IFERROR(INDEX('Salary Cap'!$B$143:$B$172,MATCH($A33,'Salary Cap'!$A$143:$A$172,0)),"n/a"),IFERROR(INDEX('Salary Cap'!$B$10:$K$39,MATCH($A33,'Salary Cap'!$A$10:$A$39,0),MATCH(""&amp;($B33-1),'Salary Cap'!$B$9:$K$9,0)),"n/a"))</f>
        <v>151721032</v>
      </c>
      <c r="P33" s="115">
        <f>IF($B33=2017,IFERROR(INDEX('Salary Cap'!$C$143:$C$172,MATCH($A33,'Salary Cap'!$A$143:$A$172,0)),"n/a"),IFERROR(INDEX('Salary Cap'!$B$109:$K$138,MATCH($A33,'Salary Cap'!$A$109:$A$138,0),MATCH(""&amp;($B33-1),'Salary Cap'!$B$108:$K$108,0)),"n/a"))</f>
        <v>0</v>
      </c>
      <c r="Q33" s="138">
        <f>IF(OR($B33=2021,$B33=2022),1,0)</f>
        <v>0</v>
      </c>
    </row>
    <row r="34" spans="1:17" x14ac:dyDescent="0.2">
      <c r="A34" s="113" t="str" cm="1">
        <f t="array" ref="A34">INDEX('NBA Valuations'!$A$5:$A$34,INT((ROW()-5)/10)+1)</f>
        <v>Brooklyn Nets</v>
      </c>
      <c r="B34" s="105">
        <f t="shared" si="0"/>
        <v>2026</v>
      </c>
      <c r="C34" s="106">
        <f>IFERROR(INDEX('NBA Valuations'!$B$5:$K$34,MATCH($A34,'NBA Valuations'!$A$5:$A$34,0),MATCH(""&amp;$B34,'NBA Valuations'!$B$3:$K$3,0)),"n/a")</f>
        <v>5600</v>
      </c>
      <c r="D34" s="106">
        <f>IFERROR(INDEX(Revenue!$B$5:$K$34,MATCH($A34,Revenue!$A$5:$A$34,0),MATCH(""&amp;$B34,Revenue!$B$3:$K$3,0)),"n/a")</f>
        <v>402</v>
      </c>
      <c r="E34" s="106">
        <f>IFERROR(INDEX('Operating Income'!$B$5:$K$34,MATCH($A34,'Operating Income'!$A$5:$A$34,0),MATCH(""&amp;$B34,'Operating Income'!$B$3:$K$3,0)),"n/a")</f>
        <v>50</v>
      </c>
      <c r="F34" s="107">
        <f>IFERROR(INDEX('Market Size'!$L$5:$L$34,MATCH($A34,'Market Size'!$A$5:$A$34,0)),"n/a")</f>
        <v>19999993</v>
      </c>
      <c r="G34" s="108">
        <f>IFERROR(INDEX('Market Size'!$B$38:$K$67,MATCH($A34,'Market Size'!$A$38:$A$67,0),MATCH(""&amp;($B34-1),'Market Size'!$B$36:$K$36,0)),"n/a")</f>
        <v>1</v>
      </c>
      <c r="H34" s="108">
        <f>IFERROR(INDEX(Arena!$B$38:$K$67,MATCH($A34,Arena!$A$38:$A$67,0),MATCH(""&amp;$B34,Arena!$B$36:$K$36,0)),"n/a")</f>
        <v>2012</v>
      </c>
      <c r="I34" s="136" t="str">
        <f>IFERROR(INDEX(Arena!$B$71:$K$100,MATCH($A34,Arena!$A$71:$A$100,0),MATCH(""&amp;$B34,Arena!$B$69:$K$69,0)),"n/a")</f>
        <v>N</v>
      </c>
      <c r="J34" s="137">
        <f>IF(ISNUMBER($H34),($B34-1)-$H34,"n/a")</f>
        <v>13</v>
      </c>
      <c r="K34" s="108">
        <f>IF($B34=2017,IFERROR(INDEX('Team Performance'!$B$241:$B$270,MATCH($A34,'Team Performance'!$A$241:$A$270,0)),"n/a"),IFERROR(INDEX('Team Performance'!$B$6:$K$35,MATCH($A34,'Team Performance'!$A$6:$A$35,0),MATCH(($B34-2)&amp;"-"&amp;RIGHT($B34-1,2),'Team Performance'!$B$5:$K$5,0)),"n/a"))</f>
        <v>26</v>
      </c>
      <c r="L34" s="108">
        <f>IF($B34=2017,IFERROR(INDEX('Team Performance'!$C$241:$C$270,MATCH($A34,'Team Performance'!$A$241:$A$270,0)),"n/a"),IFERROR(INDEX('Team Performance'!$B$39:$K$68,MATCH($A34,'Team Performance'!$A$39:$A$68,0),MATCH(($B34-2)&amp;"-"&amp;RIGHT($B34-1,2),'Team Performance'!$B$38:$K$38,0)),"n/a"))</f>
        <v>56</v>
      </c>
      <c r="M34" s="109">
        <f t="shared" si="1"/>
        <v>0.31707317073170732</v>
      </c>
      <c r="N34" s="108">
        <f>IF($B34=2017,IFERROR(INDEX('Team Performance'!$E$241:$E$270,MATCH($A34,'Team Performance'!$A$241:$A$270,0)),"n/a"),IFERROR(INDEX('Team Performance'!$B$140:$K$169,MATCH($A34,'Team Performance'!$A$140:$A$169,0),MATCH(($B34-2)&amp;"-"&amp;RIGHT($B34-1,2),'Team Performance'!$B$139:$K$139,0)),"n/a"))</f>
        <v>0</v>
      </c>
      <c r="O34" s="110">
        <f>IF($B34=2017,IFERROR(INDEX('Salary Cap'!$B$143:$B$172,MATCH($A34,'Salary Cap'!$A$143:$A$172,0)),"n/a"),IFERROR(INDEX('Salary Cap'!$B$10:$K$39,MATCH($A34,'Salary Cap'!$A$10:$A$39,0),MATCH(""&amp;($B34-1),'Salary Cap'!$B$9:$K$9,0)),"n/a"))</f>
        <v>170497768</v>
      </c>
      <c r="P34" s="115">
        <f>IF($B34=2017,IFERROR(INDEX('Salary Cap'!$C$143:$C$172,MATCH($A34,'Salary Cap'!$A$143:$A$172,0)),"n/a"),IFERROR(INDEX('Salary Cap'!$B$109:$K$138,MATCH($A34,'Salary Cap'!$A$109:$A$138,0),MATCH(""&amp;($B34-1),'Salary Cap'!$B$108:$K$108,0)),"n/a"))</f>
        <v>0</v>
      </c>
      <c r="Q34" s="138">
        <f>IF(OR($B34=2021,$B34=2022),1,0)</f>
        <v>0</v>
      </c>
    </row>
    <row r="35" spans="1:17" x14ac:dyDescent="0.2">
      <c r="A35" s="113" t="str" cm="1">
        <f t="array" ref="A35">INDEX('NBA Valuations'!$A$5:$A$34,INT((ROW()-5)/10)+1)</f>
        <v>Charlotte Hornets</v>
      </c>
      <c r="B35" s="105">
        <f t="shared" si="0"/>
        <v>2017</v>
      </c>
      <c r="C35" s="106">
        <f>IFERROR(INDEX('NBA Valuations'!$B$5:$K$34,MATCH($A35,'NBA Valuations'!$A$5:$A$34,0),MATCH(""&amp;$B35,'NBA Valuations'!$B$3:$K$3,0)),"n/a")</f>
        <v>780</v>
      </c>
      <c r="D35" s="106">
        <f>IFERROR(INDEX(Revenue!$B$5:$K$34,MATCH($A35,Revenue!$A$5:$A$34,0),MATCH(""&amp;$B35,Revenue!$B$3:$K$3,0)),"n/a")</f>
        <v>158</v>
      </c>
      <c r="E35" s="106">
        <f>IFERROR(INDEX('Operating Income'!$B$5:$K$34,MATCH($A35,'Operating Income'!$A$5:$A$34,0),MATCH(""&amp;$B35,'Operating Income'!$B$3:$K$3,0)),"n/a")</f>
        <v>9.4</v>
      </c>
      <c r="F35" s="107">
        <f>IFERROR(INDEX('Market Size'!$L$5:$L$34,MATCH($A35,'Market Size'!$A$5:$A$34,0)),"n/a")</f>
        <v>2668342</v>
      </c>
      <c r="G35" s="108" t="str">
        <f>IFERROR(INDEX('Market Size'!$B$38:$K$67,MATCH($A35,'Market Size'!$A$38:$A$67,0),MATCH(""&amp;($B35-1),'Market Size'!$B$36:$K$36,0)),"n/a")</f>
        <v>n/a</v>
      </c>
      <c r="H35" s="108">
        <f>IFERROR(INDEX(Arena!$B$38:$K$67,MATCH($A35,Arena!$A$38:$A$67,0),MATCH(""&amp;$B35,Arena!$B$36:$K$36,0)),"n/a")</f>
        <v>2005</v>
      </c>
      <c r="I35" s="136" t="str">
        <f>IFERROR(INDEX(Arena!$B$71:$K$100,MATCH($A35,Arena!$A$71:$A$100,0),MATCH(""&amp;$B35,Arena!$B$69:$K$69,0)),"n/a")</f>
        <v>N</v>
      </c>
      <c r="J35" s="137">
        <f>IF(ISNUMBER($H35),($B35-1)-$H35,"n/a")</f>
        <v>11</v>
      </c>
      <c r="K35" s="108">
        <f>IF($B35=2017,IFERROR(INDEX('Team Performance'!$B$241:$B$270,MATCH($A35,'Team Performance'!$A$241:$A$270,0)),"n/a"),IFERROR(INDEX('Team Performance'!$B$6:$K$35,MATCH($A35,'Team Performance'!$A$6:$A$35,0),MATCH(($B35-2)&amp;"-"&amp;RIGHT($B35-1,2),'Team Performance'!$B$5:$K$5,0)),"n/a"))</f>
        <v>48</v>
      </c>
      <c r="L35" s="108">
        <f>IF($B35=2017,IFERROR(INDEX('Team Performance'!$C$241:$C$270,MATCH($A35,'Team Performance'!$A$241:$A$270,0)),"n/a"),IFERROR(INDEX('Team Performance'!$B$39:$K$68,MATCH($A35,'Team Performance'!$A$39:$A$68,0),MATCH(($B35-2)&amp;"-"&amp;RIGHT($B35-1,2),'Team Performance'!$B$38:$K$38,0)),"n/a"))</f>
        <v>34</v>
      </c>
      <c r="M35" s="109">
        <f t="shared" si="1"/>
        <v>0.58536585365853655</v>
      </c>
      <c r="N35" s="108">
        <f>IF($B35=2017,IFERROR(INDEX('Team Performance'!$E$241:$E$270,MATCH($A35,'Team Performance'!$A$241:$A$270,0)),"n/a"),IFERROR(INDEX('Team Performance'!$B$140:$K$169,MATCH($A35,'Team Performance'!$A$140:$A$169,0),MATCH(($B35-2)&amp;"-"&amp;RIGHT($B35-1,2),'Team Performance'!$B$139:$K$139,0)),"n/a"))</f>
        <v>1</v>
      </c>
      <c r="O35" s="110">
        <f>IF($B35=2017,IFERROR(INDEX('Salary Cap'!$B$143:$B$172,MATCH($A35,'Salary Cap'!$A$143:$A$172,0)),"n/a"),IFERROR(INDEX('Salary Cap'!$B$10:$K$39,MATCH($A35,'Salary Cap'!$A$10:$A$39,0),MATCH(""&amp;($B35-1),'Salary Cap'!$B$9:$K$9,0)),"n/a"))</f>
        <v>78532364</v>
      </c>
      <c r="P35" s="115">
        <f>IF($B35=2017,IFERROR(INDEX('Salary Cap'!$C$143:$C$172,MATCH($A35,'Salary Cap'!$A$143:$A$172,0)),"n/a"),IFERROR(INDEX('Salary Cap'!$B$109:$K$138,MATCH($A35,'Salary Cap'!$A$109:$A$138,0),MATCH(""&amp;($B35-1),'Salary Cap'!$B$108:$K$108,0)),"n/a"))</f>
        <v>0</v>
      </c>
      <c r="Q35" s="138">
        <f>IF(OR($B35=2021,$B35=2022),1,0)</f>
        <v>0</v>
      </c>
    </row>
    <row r="36" spans="1:17" x14ac:dyDescent="0.2">
      <c r="A36" s="113" t="str" cm="1">
        <f t="array" ref="A36">INDEX('NBA Valuations'!$A$5:$A$34,INT((ROW()-5)/10)+1)</f>
        <v>Charlotte Hornets</v>
      </c>
      <c r="B36" s="105">
        <f t="shared" si="0"/>
        <v>2018</v>
      </c>
      <c r="C36" s="106">
        <f>IFERROR(INDEX('NBA Valuations'!$B$5:$K$34,MATCH($A36,'NBA Valuations'!$A$5:$A$34,0),MATCH(""&amp;$B36,'NBA Valuations'!$B$3:$K$3,0)),"n/a")</f>
        <v>1100</v>
      </c>
      <c r="D36" s="106">
        <f>IFERROR(INDEX(Revenue!$B$5:$K$34,MATCH($A36,Revenue!$A$5:$A$34,0),MATCH(""&amp;$B36,Revenue!$B$3:$K$3,0)),"n/a")</f>
        <v>202</v>
      </c>
      <c r="E36" s="106">
        <f>IFERROR(INDEX('Operating Income'!$B$5:$K$34,MATCH($A36,'Operating Income'!$A$5:$A$34,0),MATCH(""&amp;$B36,'Operating Income'!$B$3:$K$3,0)),"n/a")</f>
        <v>21</v>
      </c>
      <c r="F36" s="107">
        <f>IFERROR(INDEX('Market Size'!$L$5:$L$34,MATCH($A36,'Market Size'!$A$5:$A$34,0)),"n/a")</f>
        <v>2668342</v>
      </c>
      <c r="G36" s="108" t="str">
        <f>IFERROR(INDEX('Market Size'!$B$38:$K$67,MATCH($A36,'Market Size'!$A$38:$A$67,0),MATCH(""&amp;($B36-1),'Market Size'!$B$36:$K$36,0)),"n/a")</f>
        <v>n/a</v>
      </c>
      <c r="H36" s="108">
        <f>IFERROR(INDEX(Arena!$B$38:$K$67,MATCH($A36,Arena!$A$38:$A$67,0),MATCH(""&amp;$B36,Arena!$B$36:$K$36,0)),"n/a")</f>
        <v>2005</v>
      </c>
      <c r="I36" s="136" t="str">
        <f>IFERROR(INDEX(Arena!$B$71:$K$100,MATCH($A36,Arena!$A$71:$A$100,0),MATCH(""&amp;$B36,Arena!$B$69:$K$69,0)),"n/a")</f>
        <v>N</v>
      </c>
      <c r="J36" s="137">
        <f>IF(ISNUMBER($H36),($B36-1)-$H36,"n/a")</f>
        <v>12</v>
      </c>
      <c r="K36" s="108">
        <f>IF($B36=2017,IFERROR(INDEX('Team Performance'!$B$241:$B$270,MATCH($A36,'Team Performance'!$A$241:$A$270,0)),"n/a"),IFERROR(INDEX('Team Performance'!$B$6:$K$35,MATCH($A36,'Team Performance'!$A$6:$A$35,0),MATCH(($B36-2)&amp;"-"&amp;RIGHT($B36-1,2),'Team Performance'!$B$5:$K$5,0)),"n/a"))</f>
        <v>36</v>
      </c>
      <c r="L36" s="108">
        <f>IF($B36=2017,IFERROR(INDEX('Team Performance'!$C$241:$C$270,MATCH($A36,'Team Performance'!$A$241:$A$270,0)),"n/a"),IFERROR(INDEX('Team Performance'!$B$39:$K$68,MATCH($A36,'Team Performance'!$A$39:$A$68,0),MATCH(($B36-2)&amp;"-"&amp;RIGHT($B36-1,2),'Team Performance'!$B$38:$K$38,0)),"n/a"))</f>
        <v>46</v>
      </c>
      <c r="M36" s="109">
        <f t="shared" si="1"/>
        <v>0.43902439024390244</v>
      </c>
      <c r="N36" s="108">
        <f>IF($B36=2017,IFERROR(INDEX('Team Performance'!$E$241:$E$270,MATCH($A36,'Team Performance'!$A$241:$A$270,0)),"n/a"),IFERROR(INDEX('Team Performance'!$B$140:$K$169,MATCH($A36,'Team Performance'!$A$140:$A$169,0),MATCH(($B36-2)&amp;"-"&amp;RIGHT($B36-1,2),'Team Performance'!$B$139:$K$139,0)),"n/a"))</f>
        <v>0</v>
      </c>
      <c r="O36" s="110">
        <f>IF($B36=2017,IFERROR(INDEX('Salary Cap'!$B$143:$B$172,MATCH($A36,'Salary Cap'!$A$143:$A$172,0)),"n/a"),IFERROR(INDEX('Salary Cap'!$B$10:$K$39,MATCH($A36,'Salary Cap'!$A$10:$A$39,0),MATCH(""&amp;($B36-1),'Salary Cap'!$B$9:$K$9,0)),"n/a"))</f>
        <v>102068166</v>
      </c>
      <c r="P36" s="115">
        <f>IF($B36=2017,IFERROR(INDEX('Salary Cap'!$C$143:$C$172,MATCH($A36,'Salary Cap'!$A$143:$A$172,0)),"n/a"),IFERROR(INDEX('Salary Cap'!$B$109:$K$138,MATCH($A36,'Salary Cap'!$A$109:$A$138,0),MATCH(""&amp;($B36-1),'Salary Cap'!$B$108:$K$108,0)),"n/a"))</f>
        <v>0</v>
      </c>
      <c r="Q36" s="138">
        <f>IF(OR($B36=2021,$B36=2022),1,0)</f>
        <v>0</v>
      </c>
    </row>
    <row r="37" spans="1:17" x14ac:dyDescent="0.2">
      <c r="A37" s="113" t="str" cm="1">
        <f t="array" ref="A37">INDEX('NBA Valuations'!$A$5:$A$34,INT((ROW()-5)/10)+1)</f>
        <v>Charlotte Hornets</v>
      </c>
      <c r="B37" s="105">
        <f t="shared" si="0"/>
        <v>2019</v>
      </c>
      <c r="C37" s="106">
        <f>IFERROR(INDEX('NBA Valuations'!$B$5:$K$34,MATCH($A37,'NBA Valuations'!$A$5:$A$34,0),MATCH(""&amp;$B37,'NBA Valuations'!$B$3:$K$3,0)),"n/a")</f>
        <v>1300</v>
      </c>
      <c r="D37" s="106">
        <f>IFERROR(INDEX(Revenue!$B$5:$K$34,MATCH($A37,Revenue!$A$5:$A$34,0),MATCH(""&amp;$B37,Revenue!$B$3:$K$3,0)),"n/a")</f>
        <v>213</v>
      </c>
      <c r="E37" s="106">
        <f>IFERROR(INDEX('Operating Income'!$B$5:$K$34,MATCH($A37,'Operating Income'!$A$5:$A$34,0),MATCH(""&amp;$B37,'Operating Income'!$B$3:$K$3,0)),"n/a")</f>
        <v>22</v>
      </c>
      <c r="F37" s="107">
        <f>IFERROR(INDEX('Market Size'!$L$5:$L$34,MATCH($A37,'Market Size'!$A$5:$A$34,0)),"n/a")</f>
        <v>2668342</v>
      </c>
      <c r="G37" s="108" t="str">
        <f>IFERROR(INDEX('Market Size'!$B$38:$K$67,MATCH($A37,'Market Size'!$A$38:$A$67,0),MATCH(""&amp;($B37-1),'Market Size'!$B$36:$K$36,0)),"n/a")</f>
        <v>n/a</v>
      </c>
      <c r="H37" s="108">
        <f>IFERROR(INDEX(Arena!$B$38:$K$67,MATCH($A37,Arena!$A$38:$A$67,0),MATCH(""&amp;$B37,Arena!$B$36:$K$36,0)),"n/a")</f>
        <v>2005</v>
      </c>
      <c r="I37" s="136" t="str">
        <f>IFERROR(INDEX(Arena!$B$71:$K$100,MATCH($A37,Arena!$A$71:$A$100,0),MATCH(""&amp;$B37,Arena!$B$69:$K$69,0)),"n/a")</f>
        <v>N</v>
      </c>
      <c r="J37" s="137">
        <f>IF(ISNUMBER($H37),($B37-1)-$H37,"n/a")</f>
        <v>13</v>
      </c>
      <c r="K37" s="108">
        <f>IF($B37=2017,IFERROR(INDEX('Team Performance'!$B$241:$B$270,MATCH($A37,'Team Performance'!$A$241:$A$270,0)),"n/a"),IFERROR(INDEX('Team Performance'!$B$6:$K$35,MATCH($A37,'Team Performance'!$A$6:$A$35,0),MATCH(($B37-2)&amp;"-"&amp;RIGHT($B37-1,2),'Team Performance'!$B$5:$K$5,0)),"n/a"))</f>
        <v>36</v>
      </c>
      <c r="L37" s="108">
        <f>IF($B37=2017,IFERROR(INDEX('Team Performance'!$C$241:$C$270,MATCH($A37,'Team Performance'!$A$241:$A$270,0)),"n/a"),IFERROR(INDEX('Team Performance'!$B$39:$K$68,MATCH($A37,'Team Performance'!$A$39:$A$68,0),MATCH(($B37-2)&amp;"-"&amp;RIGHT($B37-1,2),'Team Performance'!$B$38:$K$38,0)),"n/a"))</f>
        <v>46</v>
      </c>
      <c r="M37" s="109">
        <f t="shared" si="1"/>
        <v>0.43902439024390244</v>
      </c>
      <c r="N37" s="108">
        <f>IF($B37=2017,IFERROR(INDEX('Team Performance'!$E$241:$E$270,MATCH($A37,'Team Performance'!$A$241:$A$270,0)),"n/a"),IFERROR(INDEX('Team Performance'!$B$140:$K$169,MATCH($A37,'Team Performance'!$A$140:$A$169,0),MATCH(($B37-2)&amp;"-"&amp;RIGHT($B37-1,2),'Team Performance'!$B$139:$K$139,0)),"n/a"))</f>
        <v>0</v>
      </c>
      <c r="O37" s="110">
        <f>IF($B37=2017,IFERROR(INDEX('Salary Cap'!$B$143:$B$172,MATCH($A37,'Salary Cap'!$A$143:$A$172,0)),"n/a"),IFERROR(INDEX('Salary Cap'!$B$10:$K$39,MATCH($A37,'Salary Cap'!$A$10:$A$39,0),MATCH(""&amp;($B37-1),'Salary Cap'!$B$9:$K$9,0)),"n/a"))</f>
        <v>117228164</v>
      </c>
      <c r="P37" s="115">
        <f>IF($B37=2017,IFERROR(INDEX('Salary Cap'!$C$143:$C$172,MATCH($A37,'Salary Cap'!$A$143:$A$172,0)),"n/a"),IFERROR(INDEX('Salary Cap'!$B$109:$K$138,MATCH($A37,'Salary Cap'!$A$109:$A$138,0),MATCH(""&amp;($B37-1),'Salary Cap'!$B$108:$K$108,0)),"n/a"))</f>
        <v>0</v>
      </c>
      <c r="Q37" s="138">
        <f>IF(OR($B37=2021,$B37=2022),1,0)</f>
        <v>0</v>
      </c>
    </row>
    <row r="38" spans="1:17" x14ac:dyDescent="0.2">
      <c r="A38" s="113" t="str" cm="1">
        <f t="array" ref="A38">INDEX('NBA Valuations'!$A$5:$A$34,INT((ROW()-5)/10)+1)</f>
        <v>Charlotte Hornets</v>
      </c>
      <c r="B38" s="105">
        <f t="shared" si="0"/>
        <v>2020</v>
      </c>
      <c r="C38" s="106">
        <f>IFERROR(INDEX('NBA Valuations'!$B$5:$K$34,MATCH($A38,'NBA Valuations'!$A$5:$A$34,0),MATCH(""&amp;$B38,'NBA Valuations'!$B$3:$K$3,0)),"n/a")</f>
        <v>1500</v>
      </c>
      <c r="D38" s="106">
        <f>IFERROR(INDEX(Revenue!$B$5:$K$34,MATCH($A38,Revenue!$A$5:$A$34,0),MATCH(""&amp;$B38,Revenue!$B$3:$K$3,0)),"n/a")</f>
        <v>240</v>
      </c>
      <c r="E38" s="106">
        <f>IFERROR(INDEX('Operating Income'!$B$5:$K$34,MATCH($A38,'Operating Income'!$A$5:$A$34,0),MATCH(""&amp;$B38,'Operating Income'!$B$3:$K$3,0)),"n/a")</f>
        <v>39</v>
      </c>
      <c r="F38" s="107">
        <f>IFERROR(INDEX('Market Size'!$L$5:$L$34,MATCH($A38,'Market Size'!$A$5:$A$34,0)),"n/a")</f>
        <v>2668342</v>
      </c>
      <c r="G38" s="108" t="str">
        <f>IFERROR(INDEX('Market Size'!$B$38:$K$67,MATCH($A38,'Market Size'!$A$38:$A$67,0),MATCH(""&amp;($B38-1),'Market Size'!$B$36:$K$36,0)),"n/a")</f>
        <v>n/a</v>
      </c>
      <c r="H38" s="108">
        <f>IFERROR(INDEX(Arena!$B$38:$K$67,MATCH($A38,Arena!$A$38:$A$67,0),MATCH(""&amp;$B38,Arena!$B$36:$K$36,0)),"n/a")</f>
        <v>2005</v>
      </c>
      <c r="I38" s="136" t="str">
        <f>IFERROR(INDEX(Arena!$B$71:$K$100,MATCH($A38,Arena!$A$71:$A$100,0),MATCH(""&amp;$B38,Arena!$B$69:$K$69,0)),"n/a")</f>
        <v>N</v>
      </c>
      <c r="J38" s="137">
        <f>IF(ISNUMBER($H38),($B38-1)-$H38,"n/a")</f>
        <v>14</v>
      </c>
      <c r="K38" s="108">
        <f>IF($B38=2017,IFERROR(INDEX('Team Performance'!$B$241:$B$270,MATCH($A38,'Team Performance'!$A$241:$A$270,0)),"n/a"),IFERROR(INDEX('Team Performance'!$B$6:$K$35,MATCH($A38,'Team Performance'!$A$6:$A$35,0),MATCH(($B38-2)&amp;"-"&amp;RIGHT($B38-1,2),'Team Performance'!$B$5:$K$5,0)),"n/a"))</f>
        <v>39</v>
      </c>
      <c r="L38" s="108">
        <f>IF($B38=2017,IFERROR(INDEX('Team Performance'!$C$241:$C$270,MATCH($A38,'Team Performance'!$A$241:$A$270,0)),"n/a"),IFERROR(INDEX('Team Performance'!$B$39:$K$68,MATCH($A38,'Team Performance'!$A$39:$A$68,0),MATCH(($B38-2)&amp;"-"&amp;RIGHT($B38-1,2),'Team Performance'!$B$38:$K$38,0)),"n/a"))</f>
        <v>43</v>
      </c>
      <c r="M38" s="109">
        <f t="shared" si="1"/>
        <v>0.47560975609756095</v>
      </c>
      <c r="N38" s="108">
        <f>IF($B38=2017,IFERROR(INDEX('Team Performance'!$E$241:$E$270,MATCH($A38,'Team Performance'!$A$241:$A$270,0)),"n/a"),IFERROR(INDEX('Team Performance'!$B$140:$K$169,MATCH($A38,'Team Performance'!$A$140:$A$169,0),MATCH(($B38-2)&amp;"-"&amp;RIGHT($B38-1,2),'Team Performance'!$B$139:$K$139,0)),"n/a"))</f>
        <v>0</v>
      </c>
      <c r="O38" s="110">
        <f>IF($B38=2017,IFERROR(INDEX('Salary Cap'!$B$143:$B$172,MATCH($A38,'Salary Cap'!$A$143:$A$172,0)),"n/a"),IFERROR(INDEX('Salary Cap'!$B$10:$K$39,MATCH($A38,'Salary Cap'!$A$10:$A$39,0),MATCH(""&amp;($B38-1),'Salary Cap'!$B$9:$K$9,0)),"n/a"))</f>
        <v>121810182</v>
      </c>
      <c r="P38" s="115">
        <f>IF($B38=2017,IFERROR(INDEX('Salary Cap'!$C$143:$C$172,MATCH($A38,'Salary Cap'!$A$143:$A$172,0)),"n/a"),IFERROR(INDEX('Salary Cap'!$B$109:$K$138,MATCH($A38,'Salary Cap'!$A$109:$A$138,0),MATCH(""&amp;($B38-1),'Salary Cap'!$B$108:$K$108,0)),"n/a"))</f>
        <v>0</v>
      </c>
      <c r="Q38" s="138">
        <f>IF(OR($B38=2021,$B38=2022),1,0)</f>
        <v>0</v>
      </c>
    </row>
    <row r="39" spans="1:17" x14ac:dyDescent="0.2">
      <c r="A39" s="113" t="str" cm="1">
        <f t="array" ref="A39">INDEX('NBA Valuations'!$A$5:$A$34,INT((ROW()-5)/10)+1)</f>
        <v>Charlotte Hornets</v>
      </c>
      <c r="B39" s="105">
        <f t="shared" si="0"/>
        <v>2021</v>
      </c>
      <c r="C39" s="106">
        <f>IFERROR(INDEX('NBA Valuations'!$B$5:$K$34,MATCH($A39,'NBA Valuations'!$A$5:$A$34,0),MATCH(""&amp;$B39,'NBA Valuations'!$B$3:$K$3,0)),"n/a")</f>
        <v>1500</v>
      </c>
      <c r="D39" s="106">
        <f>IFERROR(INDEX(Revenue!$B$5:$K$34,MATCH($A39,Revenue!$A$5:$A$34,0),MATCH(""&amp;$B39,Revenue!$B$3:$K$3,0)),"n/a")</f>
        <v>215</v>
      </c>
      <c r="E39" s="106">
        <f>IFERROR(INDEX('Operating Income'!$B$5:$K$34,MATCH($A39,'Operating Income'!$A$5:$A$34,0),MATCH(""&amp;$B39,'Operating Income'!$B$3:$K$3,0)),"n/a")</f>
        <v>36</v>
      </c>
      <c r="F39" s="107">
        <f>IFERROR(INDEX('Market Size'!$L$5:$L$34,MATCH($A39,'Market Size'!$A$5:$A$34,0)),"n/a")</f>
        <v>2668342</v>
      </c>
      <c r="G39" s="108" t="str">
        <f>IFERROR(INDEX('Market Size'!$B$38:$K$67,MATCH($A39,'Market Size'!$A$38:$A$67,0),MATCH(""&amp;($B39-1),'Market Size'!$B$36:$K$36,0)),"n/a")</f>
        <v>n/a</v>
      </c>
      <c r="H39" s="108">
        <f>IFERROR(INDEX(Arena!$B$38:$K$67,MATCH($A39,Arena!$A$38:$A$67,0),MATCH(""&amp;$B39,Arena!$B$36:$K$36,0)),"n/a")</f>
        <v>2005</v>
      </c>
      <c r="I39" s="136" t="str">
        <f>IFERROR(INDEX(Arena!$B$71:$K$100,MATCH($A39,Arena!$A$71:$A$100,0),MATCH(""&amp;$B39,Arena!$B$69:$K$69,0)),"n/a")</f>
        <v>N</v>
      </c>
      <c r="J39" s="137">
        <f>IF(ISNUMBER($H39),($B39-1)-$H39,"n/a")</f>
        <v>15</v>
      </c>
      <c r="K39" s="108">
        <f>IF($B39=2017,IFERROR(INDEX('Team Performance'!$B$241:$B$270,MATCH($A39,'Team Performance'!$A$241:$A$270,0)),"n/a"),IFERROR(INDEX('Team Performance'!$B$6:$K$35,MATCH($A39,'Team Performance'!$A$6:$A$35,0),MATCH(($B39-2)&amp;"-"&amp;RIGHT($B39-1,2),'Team Performance'!$B$5:$K$5,0)),"n/a"))</f>
        <v>23</v>
      </c>
      <c r="L39" s="108">
        <f>IF($B39=2017,IFERROR(INDEX('Team Performance'!$C$241:$C$270,MATCH($A39,'Team Performance'!$A$241:$A$270,0)),"n/a"),IFERROR(INDEX('Team Performance'!$B$39:$K$68,MATCH($A39,'Team Performance'!$A$39:$A$68,0),MATCH(($B39-2)&amp;"-"&amp;RIGHT($B39-1,2),'Team Performance'!$B$38:$K$38,0)),"n/a"))</f>
        <v>42</v>
      </c>
      <c r="M39" s="109">
        <f t="shared" si="1"/>
        <v>0.35384615384615387</v>
      </c>
      <c r="N39" s="108">
        <f>IF($B39=2017,IFERROR(INDEX('Team Performance'!$E$241:$E$270,MATCH($A39,'Team Performance'!$A$241:$A$270,0)),"n/a"),IFERROR(INDEX('Team Performance'!$B$140:$K$169,MATCH($A39,'Team Performance'!$A$140:$A$169,0),MATCH(($B39-2)&amp;"-"&amp;RIGHT($B39-1,2),'Team Performance'!$B$139:$K$139,0)),"n/a"))</f>
        <v>0</v>
      </c>
      <c r="O39" s="110">
        <f>IF($B39=2017,IFERROR(INDEX('Salary Cap'!$B$143:$B$172,MATCH($A39,'Salary Cap'!$A$143:$A$172,0)),"n/a"),IFERROR(INDEX('Salary Cap'!$B$10:$K$39,MATCH($A39,'Salary Cap'!$A$10:$A$39,0),MATCH(""&amp;($B39-1),'Salary Cap'!$B$9:$K$9,0)),"n/a"))</f>
        <v>124096301</v>
      </c>
      <c r="P39" s="115">
        <f>IF($B39=2017,IFERROR(INDEX('Salary Cap'!$C$143:$C$172,MATCH($A39,'Salary Cap'!$A$143:$A$172,0)),"n/a"),IFERROR(INDEX('Salary Cap'!$B$109:$K$138,MATCH($A39,'Salary Cap'!$A$109:$A$138,0),MATCH(""&amp;($B39-1),'Salary Cap'!$B$108:$K$108,0)),"n/a"))</f>
        <v>0</v>
      </c>
      <c r="Q39" s="138">
        <f>IF(OR($B39=2021,$B39=2022),1,0)</f>
        <v>1</v>
      </c>
    </row>
    <row r="40" spans="1:17" x14ac:dyDescent="0.2">
      <c r="A40" s="113" t="str" cm="1">
        <f t="array" ref="A40">INDEX('NBA Valuations'!$A$5:$A$34,INT((ROW()-5)/10)+1)</f>
        <v>Charlotte Hornets</v>
      </c>
      <c r="B40" s="105">
        <f t="shared" si="0"/>
        <v>2022</v>
      </c>
      <c r="C40" s="106">
        <f>IFERROR(INDEX('NBA Valuations'!$B$5:$K$34,MATCH($A40,'NBA Valuations'!$A$5:$A$34,0),MATCH(""&amp;$B40,'NBA Valuations'!$B$3:$K$3,0)),"n/a")</f>
        <v>1575</v>
      </c>
      <c r="D40" s="106">
        <f>IFERROR(INDEX(Revenue!$B$5:$K$34,MATCH($A40,Revenue!$A$5:$A$34,0),MATCH(""&amp;$B40,Revenue!$B$3:$K$3,0)),"n/a")</f>
        <v>183</v>
      </c>
      <c r="E40" s="106">
        <f>IFERROR(INDEX('Operating Income'!$B$5:$K$34,MATCH($A40,'Operating Income'!$A$5:$A$34,0),MATCH(""&amp;$B40,'Operating Income'!$B$3:$K$3,0)),"n/a")</f>
        <v>34</v>
      </c>
      <c r="F40" s="107">
        <f>IFERROR(INDEX('Market Size'!$L$5:$L$34,MATCH($A40,'Market Size'!$A$5:$A$34,0)),"n/a")</f>
        <v>2668342</v>
      </c>
      <c r="G40" s="108" t="str">
        <f>IFERROR(INDEX('Market Size'!$B$38:$K$67,MATCH($A40,'Market Size'!$A$38:$A$67,0),MATCH(""&amp;($B40-1),'Market Size'!$B$36:$K$36,0)),"n/a")</f>
        <v>n/a</v>
      </c>
      <c r="H40" s="108">
        <f>IFERROR(INDEX(Arena!$B$38:$K$67,MATCH($A40,Arena!$A$38:$A$67,0),MATCH(""&amp;$B40,Arena!$B$36:$K$36,0)),"n/a")</f>
        <v>2005</v>
      </c>
      <c r="I40" s="136" t="str">
        <f>IFERROR(INDEX(Arena!$B$71:$K$100,MATCH($A40,Arena!$A$71:$A$100,0),MATCH(""&amp;$B40,Arena!$B$69:$K$69,0)),"n/a")</f>
        <v>N</v>
      </c>
      <c r="J40" s="137">
        <f>IF(ISNUMBER($H40),($B40-1)-$H40,"n/a")</f>
        <v>16</v>
      </c>
      <c r="K40" s="108">
        <f>IF($B40=2017,IFERROR(INDEX('Team Performance'!$B$241:$B$270,MATCH($A40,'Team Performance'!$A$241:$A$270,0)),"n/a"),IFERROR(INDEX('Team Performance'!$B$6:$K$35,MATCH($A40,'Team Performance'!$A$6:$A$35,0),MATCH(($B40-2)&amp;"-"&amp;RIGHT($B40-1,2),'Team Performance'!$B$5:$K$5,0)),"n/a"))</f>
        <v>33</v>
      </c>
      <c r="L40" s="108">
        <f>IF($B40=2017,IFERROR(INDEX('Team Performance'!$C$241:$C$270,MATCH($A40,'Team Performance'!$A$241:$A$270,0)),"n/a"),IFERROR(INDEX('Team Performance'!$B$39:$K$68,MATCH($A40,'Team Performance'!$A$39:$A$68,0),MATCH(($B40-2)&amp;"-"&amp;RIGHT($B40-1,2),'Team Performance'!$B$38:$K$38,0)),"n/a"))</f>
        <v>39</v>
      </c>
      <c r="M40" s="109">
        <f t="shared" si="1"/>
        <v>0.45833333333333331</v>
      </c>
      <c r="N40" s="108">
        <f>IF($B40=2017,IFERROR(INDEX('Team Performance'!$E$241:$E$270,MATCH($A40,'Team Performance'!$A$241:$A$270,0)),"n/a"),IFERROR(INDEX('Team Performance'!$B$140:$K$169,MATCH($A40,'Team Performance'!$A$140:$A$169,0),MATCH(($B40-2)&amp;"-"&amp;RIGHT($B40-1,2),'Team Performance'!$B$139:$K$139,0)),"n/a"))</f>
        <v>0</v>
      </c>
      <c r="O40" s="110">
        <f>IF($B40=2017,IFERROR(INDEX('Salary Cap'!$B$143:$B$172,MATCH($A40,'Salary Cap'!$A$143:$A$172,0)),"n/a"),IFERROR(INDEX('Salary Cap'!$B$10:$K$39,MATCH($A40,'Salary Cap'!$A$10:$A$39,0),MATCH(""&amp;($B40-1),'Salary Cap'!$B$9:$K$9,0)),"n/a"))</f>
        <v>107134070</v>
      </c>
      <c r="P40" s="115">
        <f>IF($B40=2017,IFERROR(INDEX('Salary Cap'!$C$143:$C$172,MATCH($A40,'Salary Cap'!$A$143:$A$172,0)),"n/a"),IFERROR(INDEX('Salary Cap'!$B$109:$K$138,MATCH($A40,'Salary Cap'!$A$109:$A$138,0),MATCH(""&amp;($B40-1),'Salary Cap'!$B$108:$K$108,0)),"n/a"))</f>
        <v>0</v>
      </c>
      <c r="Q40" s="138">
        <f>IF(OR($B40=2021,$B40=2022),1,0)</f>
        <v>1</v>
      </c>
    </row>
    <row r="41" spans="1:17" x14ac:dyDescent="0.2">
      <c r="A41" s="113" t="str" cm="1">
        <f t="array" ref="A41">INDEX('NBA Valuations'!$A$5:$A$34,INT((ROW()-5)/10)+1)</f>
        <v>Charlotte Hornets</v>
      </c>
      <c r="B41" s="105">
        <f t="shared" si="0"/>
        <v>2023</v>
      </c>
      <c r="C41" s="106">
        <f>IFERROR(INDEX('NBA Valuations'!$B$5:$K$34,MATCH($A41,'NBA Valuations'!$A$5:$A$34,0),MATCH(""&amp;$B41,'NBA Valuations'!$B$3:$K$3,0)),"n/a")</f>
        <v>1700</v>
      </c>
      <c r="D41" s="106">
        <f>IFERROR(INDEX(Revenue!$B$5:$K$34,MATCH($A41,Revenue!$A$5:$A$34,0),MATCH(""&amp;$B41,Revenue!$B$3:$K$3,0)),"n/a")</f>
        <v>269</v>
      </c>
      <c r="E41" s="106">
        <f>IFERROR(INDEX('Operating Income'!$B$5:$K$34,MATCH($A41,'Operating Income'!$A$5:$A$34,0),MATCH(""&amp;$B41,'Operating Income'!$B$3:$K$3,0)),"n/a")</f>
        <v>94</v>
      </c>
      <c r="F41" s="107">
        <f>IFERROR(INDEX('Market Size'!$L$5:$L$34,MATCH($A41,'Market Size'!$A$5:$A$34,0)),"n/a")</f>
        <v>2668342</v>
      </c>
      <c r="G41" s="108" t="str">
        <f>IFERROR(INDEX('Market Size'!$B$38:$K$67,MATCH($A41,'Market Size'!$A$38:$A$67,0),MATCH(""&amp;($B41-1),'Market Size'!$B$36:$K$36,0)),"n/a")</f>
        <v>n/a</v>
      </c>
      <c r="H41" s="108">
        <f>IFERROR(INDEX(Arena!$B$38:$K$67,MATCH($A41,Arena!$A$38:$A$67,0),MATCH(""&amp;$B41,Arena!$B$36:$K$36,0)),"n/a")</f>
        <v>2005</v>
      </c>
      <c r="I41" s="136" t="str">
        <f>IFERROR(INDEX(Arena!$B$71:$K$100,MATCH($A41,Arena!$A$71:$A$100,0),MATCH(""&amp;$B41,Arena!$B$69:$K$69,0)),"n/a")</f>
        <v>N</v>
      </c>
      <c r="J41" s="137">
        <f>IF(ISNUMBER($H41),($B41-1)-$H41,"n/a")</f>
        <v>17</v>
      </c>
      <c r="K41" s="108">
        <f>IF($B41=2017,IFERROR(INDEX('Team Performance'!$B$241:$B$270,MATCH($A41,'Team Performance'!$A$241:$A$270,0)),"n/a"),IFERROR(INDEX('Team Performance'!$B$6:$K$35,MATCH($A41,'Team Performance'!$A$6:$A$35,0),MATCH(($B41-2)&amp;"-"&amp;RIGHT($B41-1,2),'Team Performance'!$B$5:$K$5,0)),"n/a"))</f>
        <v>43</v>
      </c>
      <c r="L41" s="108">
        <f>IF($B41=2017,IFERROR(INDEX('Team Performance'!$C$241:$C$270,MATCH($A41,'Team Performance'!$A$241:$A$270,0)),"n/a"),IFERROR(INDEX('Team Performance'!$B$39:$K$68,MATCH($A41,'Team Performance'!$A$39:$A$68,0),MATCH(($B41-2)&amp;"-"&amp;RIGHT($B41-1,2),'Team Performance'!$B$38:$K$38,0)),"n/a"))</f>
        <v>39</v>
      </c>
      <c r="M41" s="109">
        <f t="shared" si="1"/>
        <v>0.52439024390243905</v>
      </c>
      <c r="N41" s="108">
        <f>IF($B41=2017,IFERROR(INDEX('Team Performance'!$E$241:$E$270,MATCH($A41,'Team Performance'!$A$241:$A$270,0)),"n/a"),IFERROR(INDEX('Team Performance'!$B$140:$K$169,MATCH($A41,'Team Performance'!$A$140:$A$169,0),MATCH(($B41-2)&amp;"-"&amp;RIGHT($B41-1,2),'Team Performance'!$B$139:$K$139,0)),"n/a"))</f>
        <v>0</v>
      </c>
      <c r="O41" s="110">
        <f>IF($B41=2017,IFERROR(INDEX('Salary Cap'!$B$143:$B$172,MATCH($A41,'Salary Cap'!$A$143:$A$172,0)),"n/a"),IFERROR(INDEX('Salary Cap'!$B$10:$K$39,MATCH($A41,'Salary Cap'!$A$10:$A$39,0),MATCH(""&amp;($B41-1),'Salary Cap'!$B$9:$K$9,0)),"n/a"))</f>
        <v>120990744</v>
      </c>
      <c r="P41" s="115">
        <f>IF($B41=2017,IFERROR(INDEX('Salary Cap'!$C$143:$C$172,MATCH($A41,'Salary Cap'!$A$143:$A$172,0)),"n/a"),IFERROR(INDEX('Salary Cap'!$B$109:$K$138,MATCH($A41,'Salary Cap'!$A$109:$A$138,0),MATCH(""&amp;($B41-1),'Salary Cap'!$B$108:$K$108,0)),"n/a"))</f>
        <v>0</v>
      </c>
      <c r="Q41" s="138">
        <f>IF(OR($B41=2021,$B41=2022),1,0)</f>
        <v>0</v>
      </c>
    </row>
    <row r="42" spans="1:17" x14ac:dyDescent="0.2">
      <c r="A42" s="113" t="str" cm="1">
        <f t="array" ref="A42">INDEX('NBA Valuations'!$A$5:$A$34,INT((ROW()-5)/10)+1)</f>
        <v>Charlotte Hornets</v>
      </c>
      <c r="B42" s="105">
        <f t="shared" si="0"/>
        <v>2024</v>
      </c>
      <c r="C42" s="106">
        <f>IFERROR(INDEX('NBA Valuations'!$B$5:$K$34,MATCH($A42,'NBA Valuations'!$A$5:$A$34,0),MATCH(""&amp;$B42,'NBA Valuations'!$B$3:$K$3,0)),"n/a")</f>
        <v>3000</v>
      </c>
      <c r="D42" s="106">
        <f>IFERROR(INDEX(Revenue!$B$5:$K$34,MATCH($A42,Revenue!$A$5:$A$34,0),MATCH(""&amp;$B42,Revenue!$B$3:$K$3,0)),"n/a")</f>
        <v>269</v>
      </c>
      <c r="E42" s="106">
        <f>IFERROR(INDEX('Operating Income'!$B$5:$K$34,MATCH($A42,'Operating Income'!$A$5:$A$34,0),MATCH(""&amp;$B42,'Operating Income'!$B$3:$K$3,0)),"n/a")</f>
        <v>35</v>
      </c>
      <c r="F42" s="107">
        <f>IFERROR(INDEX('Market Size'!$L$5:$L$34,MATCH($A42,'Market Size'!$A$5:$A$34,0)),"n/a")</f>
        <v>2668342</v>
      </c>
      <c r="G42" s="108" t="str">
        <f>IFERROR(INDEX('Market Size'!$B$38:$K$67,MATCH($A42,'Market Size'!$A$38:$A$67,0),MATCH(""&amp;($B42-1),'Market Size'!$B$36:$K$36,0)),"n/a")</f>
        <v>n/a</v>
      </c>
      <c r="H42" s="108">
        <f>IFERROR(INDEX(Arena!$B$38:$K$67,MATCH($A42,Arena!$A$38:$A$67,0),MATCH(""&amp;$B42,Arena!$B$36:$K$36,0)),"n/a")</f>
        <v>2005</v>
      </c>
      <c r="I42" s="136" t="str">
        <f>IFERROR(INDEX(Arena!$B$71:$K$100,MATCH($A42,Arena!$A$71:$A$100,0),MATCH(""&amp;$B42,Arena!$B$69:$K$69,0)),"n/a")</f>
        <v>N</v>
      </c>
      <c r="J42" s="137">
        <f>IF(ISNUMBER($H42),($B42-1)-$H42,"n/a")</f>
        <v>18</v>
      </c>
      <c r="K42" s="108">
        <f>IF($B42=2017,IFERROR(INDEX('Team Performance'!$B$241:$B$270,MATCH($A42,'Team Performance'!$A$241:$A$270,0)),"n/a"),IFERROR(INDEX('Team Performance'!$B$6:$K$35,MATCH($A42,'Team Performance'!$A$6:$A$35,0),MATCH(($B42-2)&amp;"-"&amp;RIGHT($B42-1,2),'Team Performance'!$B$5:$K$5,0)),"n/a"))</f>
        <v>27</v>
      </c>
      <c r="L42" s="108">
        <f>IF($B42=2017,IFERROR(INDEX('Team Performance'!$C$241:$C$270,MATCH($A42,'Team Performance'!$A$241:$A$270,0)),"n/a"),IFERROR(INDEX('Team Performance'!$B$39:$K$68,MATCH($A42,'Team Performance'!$A$39:$A$68,0),MATCH(($B42-2)&amp;"-"&amp;RIGHT($B42-1,2),'Team Performance'!$B$38:$K$38,0)),"n/a"))</f>
        <v>55</v>
      </c>
      <c r="M42" s="109">
        <f t="shared" si="1"/>
        <v>0.32926829268292684</v>
      </c>
      <c r="N42" s="108">
        <f>IF($B42=2017,IFERROR(INDEX('Team Performance'!$E$241:$E$270,MATCH($A42,'Team Performance'!$A$241:$A$270,0)),"n/a"),IFERROR(INDEX('Team Performance'!$B$140:$K$169,MATCH($A42,'Team Performance'!$A$140:$A$169,0),MATCH(($B42-2)&amp;"-"&amp;RIGHT($B42-1,2),'Team Performance'!$B$139:$K$139,0)),"n/a"))</f>
        <v>0</v>
      </c>
      <c r="O42" s="110">
        <f>IF($B42=2017,IFERROR(INDEX('Salary Cap'!$B$143:$B$172,MATCH($A42,'Salary Cap'!$A$143:$A$172,0)),"n/a"),IFERROR(INDEX('Salary Cap'!$B$10:$K$39,MATCH($A42,'Salary Cap'!$A$10:$A$39,0),MATCH(""&amp;($B42-1),'Salary Cap'!$B$9:$K$9,0)),"n/a"))</f>
        <v>124552439</v>
      </c>
      <c r="P42" s="115">
        <f>IF($B42=2017,IFERROR(INDEX('Salary Cap'!$C$143:$C$172,MATCH($A42,'Salary Cap'!$A$143:$A$172,0)),"n/a"),IFERROR(INDEX('Salary Cap'!$B$109:$K$138,MATCH($A42,'Salary Cap'!$A$109:$A$138,0),MATCH(""&amp;($B42-1),'Salary Cap'!$B$108:$K$108,0)),"n/a"))</f>
        <v>0</v>
      </c>
      <c r="Q42" s="138">
        <f>IF(OR($B42=2021,$B42=2022),1,0)</f>
        <v>0</v>
      </c>
    </row>
    <row r="43" spans="1:17" x14ac:dyDescent="0.2">
      <c r="A43" s="113" t="str" cm="1">
        <f t="array" ref="A43">INDEX('NBA Valuations'!$A$5:$A$34,INT((ROW()-5)/10)+1)</f>
        <v>Charlotte Hornets</v>
      </c>
      <c r="B43" s="105">
        <f t="shared" si="0"/>
        <v>2025</v>
      </c>
      <c r="C43" s="106">
        <f>IFERROR(INDEX('NBA Valuations'!$B$5:$K$34,MATCH($A43,'NBA Valuations'!$A$5:$A$34,0),MATCH(""&amp;$B43,'NBA Valuations'!$B$3:$K$3,0)),"n/a")</f>
        <v>3300</v>
      </c>
      <c r="D43" s="106">
        <f>IFERROR(INDEX(Revenue!$B$5:$K$34,MATCH($A43,Revenue!$A$5:$A$34,0),MATCH(""&amp;$B43,Revenue!$B$3:$K$3,0)),"n/a")</f>
        <v>308</v>
      </c>
      <c r="E43" s="106">
        <f>IFERROR(INDEX('Operating Income'!$B$5:$K$34,MATCH($A43,'Operating Income'!$A$5:$A$34,0),MATCH(""&amp;$B43,'Operating Income'!$B$3:$K$3,0)),"n/a")</f>
        <v>84</v>
      </c>
      <c r="F43" s="107">
        <f>IFERROR(INDEX('Market Size'!$L$5:$L$34,MATCH($A43,'Market Size'!$A$5:$A$34,0)),"n/a")</f>
        <v>2668342</v>
      </c>
      <c r="G43" s="108">
        <f>IFERROR(INDEX('Market Size'!$B$38:$K$67,MATCH($A43,'Market Size'!$A$38:$A$67,0),MATCH(""&amp;($B43-1),'Market Size'!$B$36:$K$36,0)),"n/a")</f>
        <v>21</v>
      </c>
      <c r="H43" s="108">
        <f>IFERROR(INDEX(Arena!$B$38:$K$67,MATCH($A43,Arena!$A$38:$A$67,0),MATCH(""&amp;$B43,Arena!$B$36:$K$36,0)),"n/a")</f>
        <v>2005</v>
      </c>
      <c r="I43" s="136" t="str">
        <f>IFERROR(INDEX(Arena!$B$71:$K$100,MATCH($A43,Arena!$A$71:$A$100,0),MATCH(""&amp;$B43,Arena!$B$69:$K$69,0)),"n/a")</f>
        <v>N</v>
      </c>
      <c r="J43" s="137">
        <f>IF(ISNUMBER($H43),($B43-1)-$H43,"n/a")</f>
        <v>19</v>
      </c>
      <c r="K43" s="108">
        <f>IF($B43=2017,IFERROR(INDEX('Team Performance'!$B$241:$B$270,MATCH($A43,'Team Performance'!$A$241:$A$270,0)),"n/a"),IFERROR(INDEX('Team Performance'!$B$6:$K$35,MATCH($A43,'Team Performance'!$A$6:$A$35,0),MATCH(($B43-2)&amp;"-"&amp;RIGHT($B43-1,2),'Team Performance'!$B$5:$K$5,0)),"n/a"))</f>
        <v>21</v>
      </c>
      <c r="L43" s="108">
        <f>IF($B43=2017,IFERROR(INDEX('Team Performance'!$C$241:$C$270,MATCH($A43,'Team Performance'!$A$241:$A$270,0)),"n/a"),IFERROR(INDEX('Team Performance'!$B$39:$K$68,MATCH($A43,'Team Performance'!$A$39:$A$68,0),MATCH(($B43-2)&amp;"-"&amp;RIGHT($B43-1,2),'Team Performance'!$B$38:$K$38,0)),"n/a"))</f>
        <v>61</v>
      </c>
      <c r="M43" s="109">
        <f t="shared" si="1"/>
        <v>0.25609756097560976</v>
      </c>
      <c r="N43" s="108">
        <f>IF($B43=2017,IFERROR(INDEX('Team Performance'!$E$241:$E$270,MATCH($A43,'Team Performance'!$A$241:$A$270,0)),"n/a"),IFERROR(INDEX('Team Performance'!$B$140:$K$169,MATCH($A43,'Team Performance'!$A$140:$A$169,0),MATCH(($B43-2)&amp;"-"&amp;RIGHT($B43-1,2),'Team Performance'!$B$139:$K$139,0)),"n/a"))</f>
        <v>0</v>
      </c>
      <c r="O43" s="110">
        <f>IF($B43=2017,IFERROR(INDEX('Salary Cap'!$B$143:$B$172,MATCH($A43,'Salary Cap'!$A$143:$A$172,0)),"n/a"),IFERROR(INDEX('Salary Cap'!$B$10:$K$39,MATCH($A43,'Salary Cap'!$A$10:$A$39,0),MATCH(""&amp;($B43-1),'Salary Cap'!$B$9:$K$9,0)),"n/a"))</f>
        <v>137159325</v>
      </c>
      <c r="P43" s="115">
        <f>IF($B43=2017,IFERROR(INDEX('Salary Cap'!$C$143:$C$172,MATCH($A43,'Salary Cap'!$A$143:$A$172,0)),"n/a"),IFERROR(INDEX('Salary Cap'!$B$109:$K$138,MATCH($A43,'Salary Cap'!$A$109:$A$138,0),MATCH(""&amp;($B43-1),'Salary Cap'!$B$108:$K$108,0)),"n/a"))</f>
        <v>0</v>
      </c>
      <c r="Q43" s="138">
        <f>IF(OR($B43=2021,$B43=2022),1,0)</f>
        <v>0</v>
      </c>
    </row>
    <row r="44" spans="1:17" x14ac:dyDescent="0.2">
      <c r="A44" s="113" t="str" cm="1">
        <f t="array" ref="A44">INDEX('NBA Valuations'!$A$5:$A$34,INT((ROW()-5)/10)+1)</f>
        <v>Charlotte Hornets</v>
      </c>
      <c r="B44" s="105">
        <f t="shared" si="0"/>
        <v>2026</v>
      </c>
      <c r="C44" s="106">
        <f>IFERROR(INDEX('NBA Valuations'!$B$5:$K$34,MATCH($A44,'NBA Valuations'!$A$5:$A$34,0),MATCH(""&amp;$B44,'NBA Valuations'!$B$3:$K$3,0)),"n/a")</f>
        <v>3800</v>
      </c>
      <c r="D44" s="106">
        <f>IFERROR(INDEX(Revenue!$B$5:$K$34,MATCH($A44,Revenue!$A$5:$A$34,0),MATCH(""&amp;$B44,Revenue!$B$3:$K$3,0)),"n/a")</f>
        <v>328</v>
      </c>
      <c r="E44" s="106">
        <f>IFERROR(INDEX('Operating Income'!$B$5:$K$34,MATCH($A44,'Operating Income'!$A$5:$A$34,0),MATCH(""&amp;$B44,'Operating Income'!$B$3:$K$3,0)),"n/a")</f>
        <v>82</v>
      </c>
      <c r="F44" s="107">
        <f>IFERROR(INDEX('Market Size'!$L$5:$L$34,MATCH($A44,'Market Size'!$A$5:$A$34,0)),"n/a")</f>
        <v>2668342</v>
      </c>
      <c r="G44" s="108">
        <f>IFERROR(INDEX('Market Size'!$B$38:$K$67,MATCH($A44,'Market Size'!$A$38:$A$67,0),MATCH(""&amp;($B44-1),'Market Size'!$B$36:$K$36,0)),"n/a")</f>
        <v>21</v>
      </c>
      <c r="H44" s="108">
        <f>IFERROR(INDEX(Arena!$B$38:$K$67,MATCH($A44,Arena!$A$38:$A$67,0),MATCH(""&amp;$B44,Arena!$B$36:$K$36,0)),"n/a")</f>
        <v>2005</v>
      </c>
      <c r="I44" s="136" t="str">
        <f>IFERROR(INDEX(Arena!$B$71:$K$100,MATCH($A44,Arena!$A$71:$A$100,0),MATCH(""&amp;$B44,Arena!$B$69:$K$69,0)),"n/a")</f>
        <v>N</v>
      </c>
      <c r="J44" s="137">
        <f>IF(ISNUMBER($H44),($B44-1)-$H44,"n/a")</f>
        <v>20</v>
      </c>
      <c r="K44" s="108">
        <f>IF($B44=2017,IFERROR(INDEX('Team Performance'!$B$241:$B$270,MATCH($A44,'Team Performance'!$A$241:$A$270,0)),"n/a"),IFERROR(INDEX('Team Performance'!$B$6:$K$35,MATCH($A44,'Team Performance'!$A$6:$A$35,0),MATCH(($B44-2)&amp;"-"&amp;RIGHT($B44-1,2),'Team Performance'!$B$5:$K$5,0)),"n/a"))</f>
        <v>19</v>
      </c>
      <c r="L44" s="108">
        <f>IF($B44=2017,IFERROR(INDEX('Team Performance'!$C$241:$C$270,MATCH($A44,'Team Performance'!$A$241:$A$270,0)),"n/a"),IFERROR(INDEX('Team Performance'!$B$39:$K$68,MATCH($A44,'Team Performance'!$A$39:$A$68,0),MATCH(($B44-2)&amp;"-"&amp;RIGHT($B44-1,2),'Team Performance'!$B$38:$K$38,0)),"n/a"))</f>
        <v>63</v>
      </c>
      <c r="M44" s="109">
        <f t="shared" si="1"/>
        <v>0.23170731707317074</v>
      </c>
      <c r="N44" s="108">
        <f>IF($B44=2017,IFERROR(INDEX('Team Performance'!$E$241:$E$270,MATCH($A44,'Team Performance'!$A$241:$A$270,0)),"n/a"),IFERROR(INDEX('Team Performance'!$B$140:$K$169,MATCH($A44,'Team Performance'!$A$140:$A$169,0),MATCH(($B44-2)&amp;"-"&amp;RIGHT($B44-1,2),'Team Performance'!$B$139:$K$139,0)),"n/a"))</f>
        <v>0</v>
      </c>
      <c r="O44" s="110">
        <f>IF($B44=2017,IFERROR(INDEX('Salary Cap'!$B$143:$B$172,MATCH($A44,'Salary Cap'!$A$143:$A$172,0)),"n/a"),IFERROR(INDEX('Salary Cap'!$B$10:$K$39,MATCH($A44,'Salary Cap'!$A$10:$A$39,0),MATCH(""&amp;($B44-1),'Salary Cap'!$B$9:$K$9,0)),"n/a"))</f>
        <v>167307747</v>
      </c>
      <c r="P44" s="115">
        <f>IF($B44=2017,IFERROR(INDEX('Salary Cap'!$C$143:$C$172,MATCH($A44,'Salary Cap'!$A$143:$A$172,0)),"n/a"),IFERROR(INDEX('Salary Cap'!$B$109:$K$138,MATCH($A44,'Salary Cap'!$A$109:$A$138,0),MATCH(""&amp;($B44-1),'Salary Cap'!$B$108:$K$108,0)),"n/a"))</f>
        <v>0</v>
      </c>
      <c r="Q44" s="138">
        <f>IF(OR($B44=2021,$B44=2022),1,0)</f>
        <v>0</v>
      </c>
    </row>
    <row r="45" spans="1:17" x14ac:dyDescent="0.2">
      <c r="A45" s="113" t="str" cm="1">
        <f t="array" ref="A45">INDEX('NBA Valuations'!$A$5:$A$34,INT((ROW()-5)/10)+1)</f>
        <v>Chicago Bulls</v>
      </c>
      <c r="B45" s="105">
        <f t="shared" si="0"/>
        <v>2017</v>
      </c>
      <c r="C45" s="106">
        <f>IFERROR(INDEX('NBA Valuations'!$B$5:$K$34,MATCH($A45,'NBA Valuations'!$A$5:$A$34,0),MATCH(""&amp;$B45,'NBA Valuations'!$B$3:$K$3,0)),"n/a")</f>
        <v>2500</v>
      </c>
      <c r="D45" s="106">
        <f>IFERROR(INDEX(Revenue!$B$5:$K$34,MATCH($A45,Revenue!$A$5:$A$34,0),MATCH(""&amp;$B45,Revenue!$B$3:$K$3,0)),"n/a")</f>
        <v>232</v>
      </c>
      <c r="E45" s="106">
        <f>IFERROR(INDEX('Operating Income'!$B$5:$K$34,MATCH($A45,'Operating Income'!$A$5:$A$34,0),MATCH(""&amp;$B45,'Operating Income'!$B$3:$K$3,0)),"n/a")</f>
        <v>45.5</v>
      </c>
      <c r="F45" s="107">
        <f>IFERROR(INDEX('Market Size'!$L$5:$L$34,MATCH($A45,'Market Size'!$A$5:$A$34,0)),"n/a")</f>
        <v>9435971</v>
      </c>
      <c r="G45" s="108" t="str">
        <f>IFERROR(INDEX('Market Size'!$B$38:$K$67,MATCH($A45,'Market Size'!$A$38:$A$67,0),MATCH(""&amp;($B45-1),'Market Size'!$B$36:$K$36,0)),"n/a")</f>
        <v>n/a</v>
      </c>
      <c r="H45" s="108">
        <f>IFERROR(INDEX(Arena!$B$38:$K$67,MATCH($A45,Arena!$A$38:$A$67,0),MATCH(""&amp;$B45,Arena!$B$36:$K$36,0)),"n/a")</f>
        <v>1994</v>
      </c>
      <c r="I45" s="136" t="str">
        <f>IFERROR(INDEX(Arena!$B$71:$K$100,MATCH($A45,Arena!$A$71:$A$100,0),MATCH(""&amp;$B45,Arena!$B$69:$K$69,0)),"n/a")</f>
        <v>Y</v>
      </c>
      <c r="J45" s="137">
        <f>IF(ISNUMBER($H45),($B45-1)-$H45,"n/a")</f>
        <v>22</v>
      </c>
      <c r="K45" s="108">
        <f>IF($B45=2017,IFERROR(INDEX('Team Performance'!$B$241:$B$270,MATCH($A45,'Team Performance'!$A$241:$A$270,0)),"n/a"),IFERROR(INDEX('Team Performance'!$B$6:$K$35,MATCH($A45,'Team Performance'!$A$6:$A$35,0),MATCH(($B45-2)&amp;"-"&amp;RIGHT($B45-1,2),'Team Performance'!$B$5:$K$5,0)),"n/a"))</f>
        <v>42</v>
      </c>
      <c r="L45" s="108">
        <f>IF($B45=2017,IFERROR(INDEX('Team Performance'!$C$241:$C$270,MATCH($A45,'Team Performance'!$A$241:$A$270,0)),"n/a"),IFERROR(INDEX('Team Performance'!$B$39:$K$68,MATCH($A45,'Team Performance'!$A$39:$A$68,0),MATCH(($B45-2)&amp;"-"&amp;RIGHT($B45-1,2),'Team Performance'!$B$38:$K$38,0)),"n/a"))</f>
        <v>40</v>
      </c>
      <c r="M45" s="109">
        <f t="shared" si="1"/>
        <v>0.51219512195121952</v>
      </c>
      <c r="N45" s="108">
        <f>IF($B45=2017,IFERROR(INDEX('Team Performance'!$E$241:$E$270,MATCH($A45,'Team Performance'!$A$241:$A$270,0)),"n/a"),IFERROR(INDEX('Team Performance'!$B$140:$K$169,MATCH($A45,'Team Performance'!$A$140:$A$169,0),MATCH(($B45-2)&amp;"-"&amp;RIGHT($B45-1,2),'Team Performance'!$B$139:$K$139,0)),"n/a"))</f>
        <v>0</v>
      </c>
      <c r="O45" s="110">
        <f>IF($B45=2017,IFERROR(INDEX('Salary Cap'!$B$143:$B$172,MATCH($A45,'Salary Cap'!$A$143:$A$172,0)),"n/a"),IFERROR(INDEX('Salary Cap'!$B$10:$K$39,MATCH($A45,'Salary Cap'!$A$10:$A$39,0),MATCH(""&amp;($B45-1),'Salary Cap'!$B$9:$K$9,0)),"n/a"))</f>
        <v>102184130</v>
      </c>
      <c r="P45" s="115">
        <f>IF($B45=2017,IFERROR(INDEX('Salary Cap'!$C$143:$C$172,MATCH($A45,'Salary Cap'!$A$143:$A$172,0)),"n/a"),IFERROR(INDEX('Salary Cap'!$B$109:$K$138,MATCH($A45,'Salary Cap'!$A$109:$A$138,0),MATCH(""&amp;($B45-1),'Salary Cap'!$B$108:$K$108,0)),"n/a"))</f>
        <v>36693423</v>
      </c>
      <c r="Q45" s="138">
        <f>IF(OR($B45=2021,$B45=2022),1,0)</f>
        <v>0</v>
      </c>
    </row>
    <row r="46" spans="1:17" x14ac:dyDescent="0.2">
      <c r="A46" s="113" t="str" cm="1">
        <f t="array" ref="A46">INDEX('NBA Valuations'!$A$5:$A$34,INT((ROW()-5)/10)+1)</f>
        <v>Chicago Bulls</v>
      </c>
      <c r="B46" s="105">
        <f t="shared" si="0"/>
        <v>2018</v>
      </c>
      <c r="C46" s="106">
        <f>IFERROR(INDEX('NBA Valuations'!$B$5:$K$34,MATCH($A46,'NBA Valuations'!$A$5:$A$34,0),MATCH(""&amp;$B46,'NBA Valuations'!$B$3:$K$3,0)),"n/a")</f>
        <v>2600</v>
      </c>
      <c r="D46" s="106">
        <f>IFERROR(INDEX(Revenue!$B$5:$K$34,MATCH($A46,Revenue!$A$5:$A$34,0),MATCH(""&amp;$B46,Revenue!$B$3:$K$3,0)),"n/a")</f>
        <v>281</v>
      </c>
      <c r="E46" s="106">
        <f>IFERROR(INDEX('Operating Income'!$B$5:$K$34,MATCH($A46,'Operating Income'!$A$5:$A$34,0),MATCH(""&amp;$B46,'Operating Income'!$B$3:$K$3,0)),"n/a")</f>
        <v>95</v>
      </c>
      <c r="F46" s="107">
        <f>IFERROR(INDEX('Market Size'!$L$5:$L$34,MATCH($A46,'Market Size'!$A$5:$A$34,0)),"n/a")</f>
        <v>9435971</v>
      </c>
      <c r="G46" s="108" t="str">
        <f>IFERROR(INDEX('Market Size'!$B$38:$K$67,MATCH($A46,'Market Size'!$A$38:$A$67,0),MATCH(""&amp;($B46-1),'Market Size'!$B$36:$K$36,0)),"n/a")</f>
        <v>n/a</v>
      </c>
      <c r="H46" s="108">
        <f>IFERROR(INDEX(Arena!$B$38:$K$67,MATCH($A46,Arena!$A$38:$A$67,0),MATCH(""&amp;$B46,Arena!$B$36:$K$36,0)),"n/a")</f>
        <v>1994</v>
      </c>
      <c r="I46" s="136" t="str">
        <f>IFERROR(INDEX(Arena!$B$71:$K$100,MATCH($A46,Arena!$A$71:$A$100,0),MATCH(""&amp;$B46,Arena!$B$69:$K$69,0)),"n/a")</f>
        <v>Y</v>
      </c>
      <c r="J46" s="137">
        <f>IF(ISNUMBER($H46),($B46-1)-$H46,"n/a")</f>
        <v>23</v>
      </c>
      <c r="K46" s="108">
        <f>IF($B46=2017,IFERROR(INDEX('Team Performance'!$B$241:$B$270,MATCH($A46,'Team Performance'!$A$241:$A$270,0)),"n/a"),IFERROR(INDEX('Team Performance'!$B$6:$K$35,MATCH($A46,'Team Performance'!$A$6:$A$35,0),MATCH(($B46-2)&amp;"-"&amp;RIGHT($B46-1,2),'Team Performance'!$B$5:$K$5,0)),"n/a"))</f>
        <v>41</v>
      </c>
      <c r="L46" s="108">
        <f>IF($B46=2017,IFERROR(INDEX('Team Performance'!$C$241:$C$270,MATCH($A46,'Team Performance'!$A$241:$A$270,0)),"n/a"),IFERROR(INDEX('Team Performance'!$B$39:$K$68,MATCH($A46,'Team Performance'!$A$39:$A$68,0),MATCH(($B46-2)&amp;"-"&amp;RIGHT($B46-1,2),'Team Performance'!$B$38:$K$38,0)),"n/a"))</f>
        <v>41</v>
      </c>
      <c r="M46" s="109">
        <f t="shared" si="1"/>
        <v>0.5</v>
      </c>
      <c r="N46" s="108">
        <f>IF($B46=2017,IFERROR(INDEX('Team Performance'!$E$241:$E$270,MATCH($A46,'Team Performance'!$A$241:$A$270,0)),"n/a"),IFERROR(INDEX('Team Performance'!$B$140:$K$169,MATCH($A46,'Team Performance'!$A$140:$A$169,0),MATCH(($B46-2)&amp;"-"&amp;RIGHT($B46-1,2),'Team Performance'!$B$139:$K$139,0)),"n/a"))</f>
        <v>1</v>
      </c>
      <c r="O46" s="110">
        <f>IF($B46=2017,IFERROR(INDEX('Salary Cap'!$B$143:$B$172,MATCH($A46,'Salary Cap'!$A$143:$A$172,0)),"n/a"),IFERROR(INDEX('Salary Cap'!$B$10:$K$39,MATCH($A46,'Salary Cap'!$A$10:$A$39,0),MATCH(""&amp;($B46-1),'Salary Cap'!$B$9:$K$9,0)),"n/a"))</f>
        <v>93281333</v>
      </c>
      <c r="P46" s="115">
        <f>IF($B46=2017,IFERROR(INDEX('Salary Cap'!$C$143:$C$172,MATCH($A46,'Salary Cap'!$A$143:$A$172,0)),"n/a"),IFERROR(INDEX('Salary Cap'!$B$109:$K$138,MATCH($A46,'Salary Cap'!$A$109:$A$138,0),MATCH(""&amp;($B46-1),'Salary Cap'!$B$108:$K$108,0)),"n/a"))</f>
        <v>0</v>
      </c>
      <c r="Q46" s="138">
        <f>IF(OR($B46=2021,$B46=2022),1,0)</f>
        <v>0</v>
      </c>
    </row>
    <row r="47" spans="1:17" x14ac:dyDescent="0.2">
      <c r="A47" s="113" t="str" cm="1">
        <f t="array" ref="A47">INDEX('NBA Valuations'!$A$5:$A$34,INT((ROW()-5)/10)+1)</f>
        <v>Chicago Bulls</v>
      </c>
      <c r="B47" s="105">
        <f t="shared" si="0"/>
        <v>2019</v>
      </c>
      <c r="C47" s="106">
        <f>IFERROR(INDEX('NBA Valuations'!$B$5:$K$34,MATCH($A47,'NBA Valuations'!$A$5:$A$34,0),MATCH(""&amp;$B47,'NBA Valuations'!$B$3:$K$3,0)),"n/a")</f>
        <v>2900</v>
      </c>
      <c r="D47" s="106">
        <f>IFERROR(INDEX(Revenue!$B$5:$K$34,MATCH($A47,Revenue!$A$5:$A$34,0),MATCH(""&amp;$B47,Revenue!$B$3:$K$3,0)),"n/a")</f>
        <v>287</v>
      </c>
      <c r="E47" s="106">
        <f>IFERROR(INDEX('Operating Income'!$B$5:$K$34,MATCH($A47,'Operating Income'!$A$5:$A$34,0),MATCH(""&amp;$B47,'Operating Income'!$B$3:$K$3,0)),"n/a")</f>
        <v>114</v>
      </c>
      <c r="F47" s="107">
        <f>IFERROR(INDEX('Market Size'!$L$5:$L$34,MATCH($A47,'Market Size'!$A$5:$A$34,0)),"n/a")</f>
        <v>9435971</v>
      </c>
      <c r="G47" s="108" t="str">
        <f>IFERROR(INDEX('Market Size'!$B$38:$K$67,MATCH($A47,'Market Size'!$A$38:$A$67,0),MATCH(""&amp;($B47-1),'Market Size'!$B$36:$K$36,0)),"n/a")</f>
        <v>n/a</v>
      </c>
      <c r="H47" s="108">
        <f>IFERROR(INDEX(Arena!$B$38:$K$67,MATCH($A47,Arena!$A$38:$A$67,0),MATCH(""&amp;$B47,Arena!$B$36:$K$36,0)),"n/a")</f>
        <v>1994</v>
      </c>
      <c r="I47" s="136" t="str">
        <f>IFERROR(INDEX(Arena!$B$71:$K$100,MATCH($A47,Arena!$A$71:$A$100,0),MATCH(""&amp;$B47,Arena!$B$69:$K$69,0)),"n/a")</f>
        <v>Y</v>
      </c>
      <c r="J47" s="137">
        <f>IF(ISNUMBER($H47),($B47-1)-$H47,"n/a")</f>
        <v>24</v>
      </c>
      <c r="K47" s="108">
        <f>IF($B47=2017,IFERROR(INDEX('Team Performance'!$B$241:$B$270,MATCH($A47,'Team Performance'!$A$241:$A$270,0)),"n/a"),IFERROR(INDEX('Team Performance'!$B$6:$K$35,MATCH($A47,'Team Performance'!$A$6:$A$35,0),MATCH(($B47-2)&amp;"-"&amp;RIGHT($B47-1,2),'Team Performance'!$B$5:$K$5,0)),"n/a"))</f>
        <v>27</v>
      </c>
      <c r="L47" s="108">
        <f>IF($B47=2017,IFERROR(INDEX('Team Performance'!$C$241:$C$270,MATCH($A47,'Team Performance'!$A$241:$A$270,0)),"n/a"),IFERROR(INDEX('Team Performance'!$B$39:$K$68,MATCH($A47,'Team Performance'!$A$39:$A$68,0),MATCH(($B47-2)&amp;"-"&amp;RIGHT($B47-1,2),'Team Performance'!$B$38:$K$38,0)),"n/a"))</f>
        <v>55</v>
      </c>
      <c r="M47" s="109">
        <f t="shared" si="1"/>
        <v>0.32926829268292684</v>
      </c>
      <c r="N47" s="108">
        <f>IF($B47=2017,IFERROR(INDEX('Team Performance'!$E$241:$E$270,MATCH($A47,'Team Performance'!$A$241:$A$270,0)),"n/a"),IFERROR(INDEX('Team Performance'!$B$140:$K$169,MATCH($A47,'Team Performance'!$A$140:$A$169,0),MATCH(($B47-2)&amp;"-"&amp;RIGHT($B47-1,2),'Team Performance'!$B$139:$K$139,0)),"n/a"))</f>
        <v>0</v>
      </c>
      <c r="O47" s="110">
        <f>IF($B47=2017,IFERROR(INDEX('Salary Cap'!$B$143:$B$172,MATCH($A47,'Salary Cap'!$A$143:$A$172,0)),"n/a"),IFERROR(INDEX('Salary Cap'!$B$10:$K$39,MATCH($A47,'Salary Cap'!$A$10:$A$39,0),MATCH(""&amp;($B47-1),'Salary Cap'!$B$9:$K$9,0)),"n/a"))</f>
        <v>90105625</v>
      </c>
      <c r="P47" s="115">
        <f>IF($B47=2017,IFERROR(INDEX('Salary Cap'!$C$143:$C$172,MATCH($A47,'Salary Cap'!$A$143:$A$172,0)),"n/a"),IFERROR(INDEX('Salary Cap'!$B$109:$K$138,MATCH($A47,'Salary Cap'!$A$109:$A$138,0),MATCH(""&amp;($B47-1),'Salary Cap'!$B$108:$K$108,0)),"n/a"))</f>
        <v>0</v>
      </c>
      <c r="Q47" s="138">
        <f>IF(OR($B47=2021,$B47=2022),1,0)</f>
        <v>0</v>
      </c>
    </row>
    <row r="48" spans="1:17" x14ac:dyDescent="0.2">
      <c r="A48" s="113" t="str" cm="1">
        <f t="array" ref="A48">INDEX('NBA Valuations'!$A$5:$A$34,INT((ROW()-5)/10)+1)</f>
        <v>Chicago Bulls</v>
      </c>
      <c r="B48" s="105">
        <f t="shared" si="0"/>
        <v>2020</v>
      </c>
      <c r="C48" s="106">
        <f>IFERROR(INDEX('NBA Valuations'!$B$5:$K$34,MATCH($A48,'NBA Valuations'!$A$5:$A$34,0),MATCH(""&amp;$B48,'NBA Valuations'!$B$3:$K$3,0)),"n/a")</f>
        <v>3200</v>
      </c>
      <c r="D48" s="106">
        <f>IFERROR(INDEX(Revenue!$B$5:$K$34,MATCH($A48,Revenue!$A$5:$A$34,0),MATCH(""&amp;$B48,Revenue!$B$3:$K$3,0)),"n/a")</f>
        <v>301</v>
      </c>
      <c r="E48" s="106">
        <f>IFERROR(INDEX('Operating Income'!$B$5:$K$34,MATCH($A48,'Operating Income'!$A$5:$A$34,0),MATCH(""&amp;$B48,'Operating Income'!$B$3:$K$3,0)),"n/a")</f>
        <v>103</v>
      </c>
      <c r="F48" s="107">
        <f>IFERROR(INDEX('Market Size'!$L$5:$L$34,MATCH($A48,'Market Size'!$A$5:$A$34,0)),"n/a")</f>
        <v>9435971</v>
      </c>
      <c r="G48" s="108" t="str">
        <f>IFERROR(INDEX('Market Size'!$B$38:$K$67,MATCH($A48,'Market Size'!$A$38:$A$67,0),MATCH(""&amp;($B48-1),'Market Size'!$B$36:$K$36,0)),"n/a")</f>
        <v>n/a</v>
      </c>
      <c r="H48" s="108">
        <f>IFERROR(INDEX(Arena!$B$38:$K$67,MATCH($A48,Arena!$A$38:$A$67,0),MATCH(""&amp;$B48,Arena!$B$36:$K$36,0)),"n/a")</f>
        <v>1994</v>
      </c>
      <c r="I48" s="136" t="str">
        <f>IFERROR(INDEX(Arena!$B$71:$K$100,MATCH($A48,Arena!$A$71:$A$100,0),MATCH(""&amp;$B48,Arena!$B$69:$K$69,0)),"n/a")</f>
        <v>Y</v>
      </c>
      <c r="J48" s="137">
        <f>IF(ISNUMBER($H48),($B48-1)-$H48,"n/a")</f>
        <v>25</v>
      </c>
      <c r="K48" s="108">
        <f>IF($B48=2017,IFERROR(INDEX('Team Performance'!$B$241:$B$270,MATCH($A48,'Team Performance'!$A$241:$A$270,0)),"n/a"),IFERROR(INDEX('Team Performance'!$B$6:$K$35,MATCH($A48,'Team Performance'!$A$6:$A$35,0),MATCH(($B48-2)&amp;"-"&amp;RIGHT($B48-1,2),'Team Performance'!$B$5:$K$5,0)),"n/a"))</f>
        <v>22</v>
      </c>
      <c r="L48" s="108">
        <f>IF($B48=2017,IFERROR(INDEX('Team Performance'!$C$241:$C$270,MATCH($A48,'Team Performance'!$A$241:$A$270,0)),"n/a"),IFERROR(INDEX('Team Performance'!$B$39:$K$68,MATCH($A48,'Team Performance'!$A$39:$A$68,0),MATCH(($B48-2)&amp;"-"&amp;RIGHT($B48-1,2),'Team Performance'!$B$38:$K$38,0)),"n/a"))</f>
        <v>60</v>
      </c>
      <c r="M48" s="109">
        <f t="shared" si="1"/>
        <v>0.26829268292682928</v>
      </c>
      <c r="N48" s="108">
        <f>IF($B48=2017,IFERROR(INDEX('Team Performance'!$E$241:$E$270,MATCH($A48,'Team Performance'!$A$241:$A$270,0)),"n/a"),IFERROR(INDEX('Team Performance'!$B$140:$K$169,MATCH($A48,'Team Performance'!$A$140:$A$169,0),MATCH(($B48-2)&amp;"-"&amp;RIGHT($B48-1,2),'Team Performance'!$B$139:$K$139,0)),"n/a"))</f>
        <v>0</v>
      </c>
      <c r="O48" s="110">
        <f>IF($B48=2017,IFERROR(INDEX('Salary Cap'!$B$143:$B$172,MATCH($A48,'Salary Cap'!$A$143:$A$172,0)),"n/a"),IFERROR(INDEX('Salary Cap'!$B$10:$K$39,MATCH($A48,'Salary Cap'!$A$10:$A$39,0),MATCH(""&amp;($B48-1),'Salary Cap'!$B$9:$K$9,0)),"n/a"))</f>
        <v>112026072</v>
      </c>
      <c r="P48" s="115">
        <f>IF($B48=2017,IFERROR(INDEX('Salary Cap'!$C$143:$C$172,MATCH($A48,'Salary Cap'!$A$143:$A$172,0)),"n/a"),IFERROR(INDEX('Salary Cap'!$B$109:$K$138,MATCH($A48,'Salary Cap'!$A$109:$A$138,0),MATCH(""&amp;($B48-1),'Salary Cap'!$B$108:$K$108,0)),"n/a"))</f>
        <v>0</v>
      </c>
      <c r="Q48" s="138">
        <f>IF(OR($B48=2021,$B48=2022),1,0)</f>
        <v>0</v>
      </c>
    </row>
    <row r="49" spans="1:17" x14ac:dyDescent="0.2">
      <c r="A49" s="113" t="str" cm="1">
        <f t="array" ref="A49">INDEX('NBA Valuations'!$A$5:$A$34,INT((ROW()-5)/10)+1)</f>
        <v>Chicago Bulls</v>
      </c>
      <c r="B49" s="105">
        <f t="shared" si="0"/>
        <v>2021</v>
      </c>
      <c r="C49" s="106">
        <f>IFERROR(INDEX('NBA Valuations'!$B$5:$K$34,MATCH($A49,'NBA Valuations'!$A$5:$A$34,0),MATCH(""&amp;$B49,'NBA Valuations'!$B$3:$K$3,0)),"n/a")</f>
        <v>3300</v>
      </c>
      <c r="D49" s="106">
        <f>IFERROR(INDEX(Revenue!$B$5:$K$34,MATCH($A49,Revenue!$A$5:$A$34,0),MATCH(""&amp;$B49,Revenue!$B$3:$K$3,0)),"n/a")</f>
        <v>300</v>
      </c>
      <c r="E49" s="106">
        <f>IFERROR(INDEX('Operating Income'!$B$5:$K$34,MATCH($A49,'Operating Income'!$A$5:$A$34,0),MATCH(""&amp;$B49,'Operating Income'!$B$3:$K$3,0)),"n/a")</f>
        <v>115</v>
      </c>
      <c r="F49" s="107">
        <f>IFERROR(INDEX('Market Size'!$L$5:$L$34,MATCH($A49,'Market Size'!$A$5:$A$34,0)),"n/a")</f>
        <v>9435971</v>
      </c>
      <c r="G49" s="108" t="str">
        <f>IFERROR(INDEX('Market Size'!$B$38:$K$67,MATCH($A49,'Market Size'!$A$38:$A$67,0),MATCH(""&amp;($B49-1),'Market Size'!$B$36:$K$36,0)),"n/a")</f>
        <v>n/a</v>
      </c>
      <c r="H49" s="108">
        <f>IFERROR(INDEX(Arena!$B$38:$K$67,MATCH($A49,Arena!$A$38:$A$67,0),MATCH(""&amp;$B49,Arena!$B$36:$K$36,0)),"n/a")</f>
        <v>1994</v>
      </c>
      <c r="I49" s="136" t="str">
        <f>IFERROR(INDEX(Arena!$B$71:$K$100,MATCH($A49,Arena!$A$71:$A$100,0),MATCH(""&amp;$B49,Arena!$B$69:$K$69,0)),"n/a")</f>
        <v>Y</v>
      </c>
      <c r="J49" s="137">
        <f>IF(ISNUMBER($H49),($B49-1)-$H49,"n/a")</f>
        <v>26</v>
      </c>
      <c r="K49" s="108">
        <f>IF($B49=2017,IFERROR(INDEX('Team Performance'!$B$241:$B$270,MATCH($A49,'Team Performance'!$A$241:$A$270,0)),"n/a"),IFERROR(INDEX('Team Performance'!$B$6:$K$35,MATCH($A49,'Team Performance'!$A$6:$A$35,0),MATCH(($B49-2)&amp;"-"&amp;RIGHT($B49-1,2),'Team Performance'!$B$5:$K$5,0)),"n/a"))</f>
        <v>22</v>
      </c>
      <c r="L49" s="108">
        <f>IF($B49=2017,IFERROR(INDEX('Team Performance'!$C$241:$C$270,MATCH($A49,'Team Performance'!$A$241:$A$270,0)),"n/a"),IFERROR(INDEX('Team Performance'!$B$39:$K$68,MATCH($A49,'Team Performance'!$A$39:$A$68,0),MATCH(($B49-2)&amp;"-"&amp;RIGHT($B49-1,2),'Team Performance'!$B$38:$K$38,0)),"n/a"))</f>
        <v>43</v>
      </c>
      <c r="M49" s="109">
        <f t="shared" si="1"/>
        <v>0.33846153846153848</v>
      </c>
      <c r="N49" s="108">
        <f>IF($B49=2017,IFERROR(INDEX('Team Performance'!$E$241:$E$270,MATCH($A49,'Team Performance'!$A$241:$A$270,0)),"n/a"),IFERROR(INDEX('Team Performance'!$B$140:$K$169,MATCH($A49,'Team Performance'!$A$140:$A$169,0),MATCH(($B49-2)&amp;"-"&amp;RIGHT($B49-1,2),'Team Performance'!$B$139:$K$139,0)),"n/a"))</f>
        <v>0</v>
      </c>
      <c r="O49" s="110">
        <f>IF($B49=2017,IFERROR(INDEX('Salary Cap'!$B$143:$B$172,MATCH($A49,'Salary Cap'!$A$143:$A$172,0)),"n/a"),IFERROR(INDEX('Salary Cap'!$B$10:$K$39,MATCH($A49,'Salary Cap'!$A$10:$A$39,0),MATCH(""&amp;($B49-1),'Salary Cap'!$B$9:$K$9,0)),"n/a"))</f>
        <v>113208742</v>
      </c>
      <c r="P49" s="115">
        <f>IF($B49=2017,IFERROR(INDEX('Salary Cap'!$C$143:$C$172,MATCH($A49,'Salary Cap'!$A$143:$A$172,0)),"n/a"),IFERROR(INDEX('Salary Cap'!$B$109:$K$138,MATCH($A49,'Salary Cap'!$A$109:$A$138,0),MATCH(""&amp;($B49-1),'Salary Cap'!$B$108:$K$108,0)),"n/a"))</f>
        <v>0</v>
      </c>
      <c r="Q49" s="138">
        <f>IF(OR($B49=2021,$B49=2022),1,0)</f>
        <v>1</v>
      </c>
    </row>
    <row r="50" spans="1:17" x14ac:dyDescent="0.2">
      <c r="A50" s="113" t="str" cm="1">
        <f t="array" ref="A50">INDEX('NBA Valuations'!$A$5:$A$34,INT((ROW()-5)/10)+1)</f>
        <v>Chicago Bulls</v>
      </c>
      <c r="B50" s="105">
        <f t="shared" si="0"/>
        <v>2022</v>
      </c>
      <c r="C50" s="106">
        <f>IFERROR(INDEX('NBA Valuations'!$B$5:$K$34,MATCH($A50,'NBA Valuations'!$A$5:$A$34,0),MATCH(""&amp;$B50,'NBA Valuations'!$B$3:$K$3,0)),"n/a")</f>
        <v>3650</v>
      </c>
      <c r="D50" s="106">
        <f>IFERROR(INDEX(Revenue!$B$5:$K$34,MATCH($A50,Revenue!$A$5:$A$34,0),MATCH(""&amp;$B50,Revenue!$B$3:$K$3,0)),"n/a")</f>
        <v>213</v>
      </c>
      <c r="E50" s="106">
        <f>IFERROR(INDEX('Operating Income'!$B$5:$K$34,MATCH($A50,'Operating Income'!$A$5:$A$34,0),MATCH(""&amp;$B50,'Operating Income'!$B$3:$K$3,0)),"n/a")</f>
        <v>39</v>
      </c>
      <c r="F50" s="107">
        <f>IFERROR(INDEX('Market Size'!$L$5:$L$34,MATCH($A50,'Market Size'!$A$5:$A$34,0)),"n/a")</f>
        <v>9435971</v>
      </c>
      <c r="G50" s="108" t="str">
        <f>IFERROR(INDEX('Market Size'!$B$38:$K$67,MATCH($A50,'Market Size'!$A$38:$A$67,0),MATCH(""&amp;($B50-1),'Market Size'!$B$36:$K$36,0)),"n/a")</f>
        <v>n/a</v>
      </c>
      <c r="H50" s="108">
        <f>IFERROR(INDEX(Arena!$B$38:$K$67,MATCH($A50,Arena!$A$38:$A$67,0),MATCH(""&amp;$B50,Arena!$B$36:$K$36,0)),"n/a")</f>
        <v>1994</v>
      </c>
      <c r="I50" s="136" t="str">
        <f>IFERROR(INDEX(Arena!$B$71:$K$100,MATCH($A50,Arena!$A$71:$A$100,0),MATCH(""&amp;$B50,Arena!$B$69:$K$69,0)),"n/a")</f>
        <v>Y</v>
      </c>
      <c r="J50" s="137">
        <f>IF(ISNUMBER($H50),($B50-1)-$H50,"n/a")</f>
        <v>27</v>
      </c>
      <c r="K50" s="108">
        <f>IF($B50=2017,IFERROR(INDEX('Team Performance'!$B$241:$B$270,MATCH($A50,'Team Performance'!$A$241:$A$270,0)),"n/a"),IFERROR(INDEX('Team Performance'!$B$6:$K$35,MATCH($A50,'Team Performance'!$A$6:$A$35,0),MATCH(($B50-2)&amp;"-"&amp;RIGHT($B50-1,2),'Team Performance'!$B$5:$K$5,0)),"n/a"))</f>
        <v>31</v>
      </c>
      <c r="L50" s="108">
        <f>IF($B50=2017,IFERROR(INDEX('Team Performance'!$C$241:$C$270,MATCH($A50,'Team Performance'!$A$241:$A$270,0)),"n/a"),IFERROR(INDEX('Team Performance'!$B$39:$K$68,MATCH($A50,'Team Performance'!$A$39:$A$68,0),MATCH(($B50-2)&amp;"-"&amp;RIGHT($B50-1,2),'Team Performance'!$B$38:$K$38,0)),"n/a"))</f>
        <v>41</v>
      </c>
      <c r="M50" s="109">
        <f t="shared" si="1"/>
        <v>0.43055555555555558</v>
      </c>
      <c r="N50" s="108">
        <f>IF($B50=2017,IFERROR(INDEX('Team Performance'!$E$241:$E$270,MATCH($A50,'Team Performance'!$A$241:$A$270,0)),"n/a"),IFERROR(INDEX('Team Performance'!$B$140:$K$169,MATCH($A50,'Team Performance'!$A$140:$A$169,0),MATCH(($B50-2)&amp;"-"&amp;RIGHT($B50-1,2),'Team Performance'!$B$139:$K$139,0)),"n/a"))</f>
        <v>0</v>
      </c>
      <c r="O50" s="110">
        <f>IF($B50=2017,IFERROR(INDEX('Salary Cap'!$B$143:$B$172,MATCH($A50,'Salary Cap'!$A$143:$A$172,0)),"n/a"),IFERROR(INDEX('Salary Cap'!$B$10:$K$39,MATCH($A50,'Salary Cap'!$A$10:$A$39,0),MATCH(""&amp;($B50-1),'Salary Cap'!$B$9:$K$9,0)),"n/a"))</f>
        <v>128065350</v>
      </c>
      <c r="P50" s="115">
        <f>IF($B50=2017,IFERROR(INDEX('Salary Cap'!$C$143:$C$172,MATCH($A50,'Salary Cap'!$A$143:$A$172,0)),"n/a"),IFERROR(INDEX('Salary Cap'!$B$109:$K$138,MATCH($A50,'Salary Cap'!$A$109:$A$138,0),MATCH(""&amp;($B50-1),'Salary Cap'!$B$108:$K$108,0)),"n/a"))</f>
        <v>0</v>
      </c>
      <c r="Q50" s="138">
        <f>IF(OR($B50=2021,$B50=2022),1,0)</f>
        <v>1</v>
      </c>
    </row>
    <row r="51" spans="1:17" x14ac:dyDescent="0.2">
      <c r="A51" s="113" t="str" cm="1">
        <f t="array" ref="A51">INDEX('NBA Valuations'!$A$5:$A$34,INT((ROW()-5)/10)+1)</f>
        <v>Chicago Bulls</v>
      </c>
      <c r="B51" s="105">
        <f t="shared" si="0"/>
        <v>2023</v>
      </c>
      <c r="C51" s="106">
        <f>IFERROR(INDEX('NBA Valuations'!$B$5:$K$34,MATCH($A51,'NBA Valuations'!$A$5:$A$34,0),MATCH(""&amp;$B51,'NBA Valuations'!$B$3:$K$3,0)),"n/a")</f>
        <v>4100</v>
      </c>
      <c r="D51" s="106">
        <f>IFERROR(INDEX(Revenue!$B$5:$K$34,MATCH($A51,Revenue!$A$5:$A$34,0),MATCH(""&amp;$B51,Revenue!$B$3:$K$3,0)),"n/a")</f>
        <v>352</v>
      </c>
      <c r="E51" s="106">
        <f>IFERROR(INDEX('Operating Income'!$B$5:$K$34,MATCH($A51,'Operating Income'!$A$5:$A$34,0),MATCH(""&amp;$B51,'Operating Income'!$B$3:$K$3,0)),"n/a")</f>
        <v>135</v>
      </c>
      <c r="F51" s="107">
        <f>IFERROR(INDEX('Market Size'!$L$5:$L$34,MATCH($A51,'Market Size'!$A$5:$A$34,0)),"n/a")</f>
        <v>9435971</v>
      </c>
      <c r="G51" s="108" t="str">
        <f>IFERROR(INDEX('Market Size'!$B$38:$K$67,MATCH($A51,'Market Size'!$A$38:$A$67,0),MATCH(""&amp;($B51-1),'Market Size'!$B$36:$K$36,0)),"n/a")</f>
        <v>n/a</v>
      </c>
      <c r="H51" s="108">
        <f>IFERROR(INDEX(Arena!$B$38:$K$67,MATCH($A51,Arena!$A$38:$A$67,0),MATCH(""&amp;$B51,Arena!$B$36:$K$36,0)),"n/a")</f>
        <v>1994</v>
      </c>
      <c r="I51" s="136" t="str">
        <f>IFERROR(INDEX(Arena!$B$71:$K$100,MATCH($A51,Arena!$A$71:$A$100,0),MATCH(""&amp;$B51,Arena!$B$69:$K$69,0)),"n/a")</f>
        <v>Y</v>
      </c>
      <c r="J51" s="137">
        <f>IF(ISNUMBER($H51),($B51-1)-$H51,"n/a")</f>
        <v>28</v>
      </c>
      <c r="K51" s="108">
        <f>IF($B51=2017,IFERROR(INDEX('Team Performance'!$B$241:$B$270,MATCH($A51,'Team Performance'!$A$241:$A$270,0)),"n/a"),IFERROR(INDEX('Team Performance'!$B$6:$K$35,MATCH($A51,'Team Performance'!$A$6:$A$35,0),MATCH(($B51-2)&amp;"-"&amp;RIGHT($B51-1,2),'Team Performance'!$B$5:$K$5,0)),"n/a"))</f>
        <v>46</v>
      </c>
      <c r="L51" s="108">
        <f>IF($B51=2017,IFERROR(INDEX('Team Performance'!$C$241:$C$270,MATCH($A51,'Team Performance'!$A$241:$A$270,0)),"n/a"),IFERROR(INDEX('Team Performance'!$B$39:$K$68,MATCH($A51,'Team Performance'!$A$39:$A$68,0),MATCH(($B51-2)&amp;"-"&amp;RIGHT($B51-1,2),'Team Performance'!$B$38:$K$38,0)),"n/a"))</f>
        <v>36</v>
      </c>
      <c r="M51" s="109">
        <f t="shared" si="1"/>
        <v>0.56097560975609762</v>
      </c>
      <c r="N51" s="108">
        <f>IF($B51=2017,IFERROR(INDEX('Team Performance'!$E$241:$E$270,MATCH($A51,'Team Performance'!$A$241:$A$270,0)),"n/a"),IFERROR(INDEX('Team Performance'!$B$140:$K$169,MATCH($A51,'Team Performance'!$A$140:$A$169,0),MATCH(($B51-2)&amp;"-"&amp;RIGHT($B51-1,2),'Team Performance'!$B$139:$K$139,0)),"n/a"))</f>
        <v>1</v>
      </c>
      <c r="O51" s="110">
        <f>IF($B51=2017,IFERROR(INDEX('Salary Cap'!$B$143:$B$172,MATCH($A51,'Salary Cap'!$A$143:$A$172,0)),"n/a"),IFERROR(INDEX('Salary Cap'!$B$10:$K$39,MATCH($A51,'Salary Cap'!$A$10:$A$39,0),MATCH(""&amp;($B51-1),'Salary Cap'!$B$9:$K$9,0)),"n/a"))</f>
        <v>134629608</v>
      </c>
      <c r="P51" s="115">
        <f>IF($B51=2017,IFERROR(INDEX('Salary Cap'!$C$143:$C$172,MATCH($A51,'Salary Cap'!$A$143:$A$172,0)),"n/a"),IFERROR(INDEX('Salary Cap'!$B$109:$K$138,MATCH($A51,'Salary Cap'!$A$109:$A$138,0),MATCH(""&amp;($B51-1),'Salary Cap'!$B$108:$K$108,0)),"n/a"))</f>
        <v>0</v>
      </c>
      <c r="Q51" s="138">
        <f>IF(OR($B51=2021,$B51=2022),1,0)</f>
        <v>0</v>
      </c>
    </row>
    <row r="52" spans="1:17" x14ac:dyDescent="0.2">
      <c r="A52" s="113" t="str" cm="1">
        <f t="array" ref="A52">INDEX('NBA Valuations'!$A$5:$A$34,INT((ROW()-5)/10)+1)</f>
        <v>Chicago Bulls</v>
      </c>
      <c r="B52" s="105">
        <f t="shared" si="0"/>
        <v>2024</v>
      </c>
      <c r="C52" s="106">
        <f>IFERROR(INDEX('NBA Valuations'!$B$5:$K$34,MATCH($A52,'NBA Valuations'!$A$5:$A$34,0),MATCH(""&amp;$B52,'NBA Valuations'!$B$3:$K$3,0)),"n/a")</f>
        <v>4600</v>
      </c>
      <c r="D52" s="106">
        <f>IFERROR(INDEX(Revenue!$B$5:$K$34,MATCH($A52,Revenue!$A$5:$A$34,0),MATCH(""&amp;$B52,Revenue!$B$3:$K$3,0)),"n/a")</f>
        <v>372</v>
      </c>
      <c r="E52" s="106">
        <f>IFERROR(INDEX('Operating Income'!$B$5:$K$34,MATCH($A52,'Operating Income'!$A$5:$A$34,0),MATCH(""&amp;$B52,'Operating Income'!$B$3:$K$3,0)),"n/a")</f>
        <v>115</v>
      </c>
      <c r="F52" s="107">
        <f>IFERROR(INDEX('Market Size'!$L$5:$L$34,MATCH($A52,'Market Size'!$A$5:$A$34,0)),"n/a")</f>
        <v>9435971</v>
      </c>
      <c r="G52" s="108" t="str">
        <f>IFERROR(INDEX('Market Size'!$B$38:$K$67,MATCH($A52,'Market Size'!$A$38:$A$67,0),MATCH(""&amp;($B52-1),'Market Size'!$B$36:$K$36,0)),"n/a")</f>
        <v>n/a</v>
      </c>
      <c r="H52" s="108">
        <f>IFERROR(INDEX(Arena!$B$38:$K$67,MATCH($A52,Arena!$A$38:$A$67,0),MATCH(""&amp;$B52,Arena!$B$36:$K$36,0)),"n/a")</f>
        <v>1994</v>
      </c>
      <c r="I52" s="136" t="str">
        <f>IFERROR(INDEX(Arena!$B$71:$K$100,MATCH($A52,Arena!$A$71:$A$100,0),MATCH(""&amp;$B52,Arena!$B$69:$K$69,0)),"n/a")</f>
        <v>Y</v>
      </c>
      <c r="J52" s="137">
        <f>IF(ISNUMBER($H52),($B52-1)-$H52,"n/a")</f>
        <v>29</v>
      </c>
      <c r="K52" s="108">
        <f>IF($B52=2017,IFERROR(INDEX('Team Performance'!$B$241:$B$270,MATCH($A52,'Team Performance'!$A$241:$A$270,0)),"n/a"),IFERROR(INDEX('Team Performance'!$B$6:$K$35,MATCH($A52,'Team Performance'!$A$6:$A$35,0),MATCH(($B52-2)&amp;"-"&amp;RIGHT($B52-1,2),'Team Performance'!$B$5:$K$5,0)),"n/a"))</f>
        <v>40</v>
      </c>
      <c r="L52" s="108">
        <f>IF($B52=2017,IFERROR(INDEX('Team Performance'!$C$241:$C$270,MATCH($A52,'Team Performance'!$A$241:$A$270,0)),"n/a"),IFERROR(INDEX('Team Performance'!$B$39:$K$68,MATCH($A52,'Team Performance'!$A$39:$A$68,0),MATCH(($B52-2)&amp;"-"&amp;RIGHT($B52-1,2),'Team Performance'!$B$38:$K$38,0)),"n/a"))</f>
        <v>42</v>
      </c>
      <c r="M52" s="109">
        <f t="shared" si="1"/>
        <v>0.48780487804878048</v>
      </c>
      <c r="N52" s="108">
        <f>IF($B52=2017,IFERROR(INDEX('Team Performance'!$E$241:$E$270,MATCH($A52,'Team Performance'!$A$241:$A$270,0)),"n/a"),IFERROR(INDEX('Team Performance'!$B$140:$K$169,MATCH($A52,'Team Performance'!$A$140:$A$169,0),MATCH(($B52-2)&amp;"-"&amp;RIGHT($B52-1,2),'Team Performance'!$B$139:$K$139,0)),"n/a"))</f>
        <v>0</v>
      </c>
      <c r="O52" s="110">
        <f>IF($B52=2017,IFERROR(INDEX('Salary Cap'!$B$143:$B$172,MATCH($A52,'Salary Cap'!$A$143:$A$172,0)),"n/a"),IFERROR(INDEX('Salary Cap'!$B$10:$K$39,MATCH($A52,'Salary Cap'!$A$10:$A$39,0),MATCH(""&amp;($B52-1),'Salary Cap'!$B$9:$K$9,0)),"n/a"))</f>
        <v>149464753</v>
      </c>
      <c r="P52" s="115">
        <f>IF($B52=2017,IFERROR(INDEX('Salary Cap'!$C$143:$C$172,MATCH($A52,'Salary Cap'!$A$143:$A$172,0)),"n/a"),IFERROR(INDEX('Salary Cap'!$B$109:$K$138,MATCH($A52,'Salary Cap'!$A$109:$A$138,0),MATCH(""&amp;($B52-1),'Salary Cap'!$B$108:$K$108,0)),"n/a"))</f>
        <v>0</v>
      </c>
      <c r="Q52" s="138">
        <f>IF(OR($B52=2021,$B52=2022),1,0)</f>
        <v>0</v>
      </c>
    </row>
    <row r="53" spans="1:17" x14ac:dyDescent="0.2">
      <c r="A53" s="113" t="str" cm="1">
        <f t="array" ref="A53">INDEX('NBA Valuations'!$A$5:$A$34,INT((ROW()-5)/10)+1)</f>
        <v>Chicago Bulls</v>
      </c>
      <c r="B53" s="105">
        <f t="shared" si="0"/>
        <v>2025</v>
      </c>
      <c r="C53" s="106">
        <f>IFERROR(INDEX('NBA Valuations'!$B$5:$K$34,MATCH($A53,'NBA Valuations'!$A$5:$A$34,0),MATCH(""&amp;$B53,'NBA Valuations'!$B$3:$K$3,0)),"n/a")</f>
        <v>5000</v>
      </c>
      <c r="D53" s="106">
        <f>IFERROR(INDEX(Revenue!$B$5:$K$34,MATCH($A53,Revenue!$A$5:$A$34,0),MATCH(""&amp;$B53,Revenue!$B$3:$K$3,0)),"n/a")</f>
        <v>414</v>
      </c>
      <c r="E53" s="106">
        <f>IFERROR(INDEX('Operating Income'!$B$5:$K$34,MATCH($A53,'Operating Income'!$A$5:$A$34,0),MATCH(""&amp;$B53,'Operating Income'!$B$3:$K$3,0)),"n/a")</f>
        <v>140</v>
      </c>
      <c r="F53" s="107">
        <f>IFERROR(INDEX('Market Size'!$L$5:$L$34,MATCH($A53,'Market Size'!$A$5:$A$34,0)),"n/a")</f>
        <v>9435971</v>
      </c>
      <c r="G53" s="108">
        <f>IFERROR(INDEX('Market Size'!$B$38:$K$67,MATCH($A53,'Market Size'!$A$38:$A$67,0),MATCH(""&amp;($B53-1),'Market Size'!$B$36:$K$36,0)),"n/a")</f>
        <v>3</v>
      </c>
      <c r="H53" s="108">
        <f>IFERROR(INDEX(Arena!$B$38:$K$67,MATCH($A53,Arena!$A$38:$A$67,0),MATCH(""&amp;$B53,Arena!$B$36:$K$36,0)),"n/a")</f>
        <v>1994</v>
      </c>
      <c r="I53" s="136" t="str">
        <f>IFERROR(INDEX(Arena!$B$71:$K$100,MATCH($A53,Arena!$A$71:$A$100,0),MATCH(""&amp;$B53,Arena!$B$69:$K$69,0)),"n/a")</f>
        <v>Y</v>
      </c>
      <c r="J53" s="137">
        <f>IF(ISNUMBER($H53),($B53-1)-$H53,"n/a")</f>
        <v>30</v>
      </c>
      <c r="K53" s="108">
        <f>IF($B53=2017,IFERROR(INDEX('Team Performance'!$B$241:$B$270,MATCH($A53,'Team Performance'!$A$241:$A$270,0)),"n/a"),IFERROR(INDEX('Team Performance'!$B$6:$K$35,MATCH($A53,'Team Performance'!$A$6:$A$35,0),MATCH(($B53-2)&amp;"-"&amp;RIGHT($B53-1,2),'Team Performance'!$B$5:$K$5,0)),"n/a"))</f>
        <v>39</v>
      </c>
      <c r="L53" s="108">
        <f>IF($B53=2017,IFERROR(INDEX('Team Performance'!$C$241:$C$270,MATCH($A53,'Team Performance'!$A$241:$A$270,0)),"n/a"),IFERROR(INDEX('Team Performance'!$B$39:$K$68,MATCH($A53,'Team Performance'!$A$39:$A$68,0),MATCH(($B53-2)&amp;"-"&amp;RIGHT($B53-1,2),'Team Performance'!$B$38:$K$38,0)),"n/a"))</f>
        <v>43</v>
      </c>
      <c r="M53" s="109">
        <f t="shared" si="1"/>
        <v>0.47560975609756095</v>
      </c>
      <c r="N53" s="108">
        <f>IF($B53=2017,IFERROR(INDEX('Team Performance'!$E$241:$E$270,MATCH($A53,'Team Performance'!$A$241:$A$270,0)),"n/a"),IFERROR(INDEX('Team Performance'!$B$140:$K$169,MATCH($A53,'Team Performance'!$A$140:$A$169,0),MATCH(($B53-2)&amp;"-"&amp;RIGHT($B53-1,2),'Team Performance'!$B$139:$K$139,0)),"n/a"))</f>
        <v>0</v>
      </c>
      <c r="O53" s="110">
        <f>IF($B53=2017,IFERROR(INDEX('Salary Cap'!$B$143:$B$172,MATCH($A53,'Salary Cap'!$A$143:$A$172,0)),"n/a"),IFERROR(INDEX('Salary Cap'!$B$10:$K$39,MATCH($A53,'Salary Cap'!$A$10:$A$39,0),MATCH(""&amp;($B53-1),'Salary Cap'!$B$9:$K$9,0)),"n/a"))</f>
        <v>164432853</v>
      </c>
      <c r="P53" s="115">
        <f>IF($B53=2017,IFERROR(INDEX('Salary Cap'!$C$143:$C$172,MATCH($A53,'Salary Cap'!$A$143:$A$172,0)),"n/a"),IFERROR(INDEX('Salary Cap'!$B$109:$K$138,MATCH($A53,'Salary Cap'!$A$109:$A$138,0),MATCH(""&amp;($B53-1),'Salary Cap'!$B$108:$K$108,0)),"n/a"))</f>
        <v>0</v>
      </c>
      <c r="Q53" s="138">
        <f>IF(OR($B53=2021,$B53=2022),1,0)</f>
        <v>0</v>
      </c>
    </row>
    <row r="54" spans="1:17" x14ac:dyDescent="0.2">
      <c r="A54" s="113" t="str" cm="1">
        <f t="array" ref="A54">INDEX('NBA Valuations'!$A$5:$A$34,INT((ROW()-5)/10)+1)</f>
        <v>Chicago Bulls</v>
      </c>
      <c r="B54" s="105">
        <f t="shared" si="0"/>
        <v>2026</v>
      </c>
      <c r="C54" s="106">
        <f>IFERROR(INDEX('NBA Valuations'!$B$5:$K$34,MATCH($A54,'NBA Valuations'!$A$5:$A$34,0),MATCH(""&amp;$B54,'NBA Valuations'!$B$3:$K$3,0)),"n/a")</f>
        <v>6000</v>
      </c>
      <c r="D54" s="106">
        <f>IFERROR(INDEX(Revenue!$B$5:$K$34,MATCH($A54,Revenue!$A$5:$A$34,0),MATCH(""&amp;$B54,Revenue!$B$3:$K$3,0)),"n/a")</f>
        <v>434</v>
      </c>
      <c r="E54" s="106">
        <f>IFERROR(INDEX('Operating Income'!$B$5:$K$34,MATCH($A54,'Operating Income'!$A$5:$A$34,0),MATCH(""&amp;$B54,'Operating Income'!$B$3:$K$3,0)),"n/a")</f>
        <v>160</v>
      </c>
      <c r="F54" s="107">
        <f>IFERROR(INDEX('Market Size'!$L$5:$L$34,MATCH($A54,'Market Size'!$A$5:$A$34,0)),"n/a")</f>
        <v>9435971</v>
      </c>
      <c r="G54" s="108">
        <f>IFERROR(INDEX('Market Size'!$B$38:$K$67,MATCH($A54,'Market Size'!$A$38:$A$67,0),MATCH(""&amp;($B54-1),'Market Size'!$B$36:$K$36,0)),"n/a")</f>
        <v>3</v>
      </c>
      <c r="H54" s="108">
        <f>IFERROR(INDEX(Arena!$B$38:$K$67,MATCH($A54,Arena!$A$38:$A$67,0),MATCH(""&amp;$B54,Arena!$B$36:$K$36,0)),"n/a")</f>
        <v>1994</v>
      </c>
      <c r="I54" s="136" t="str">
        <f>IFERROR(INDEX(Arena!$B$71:$K$100,MATCH($A54,Arena!$A$71:$A$100,0),MATCH(""&amp;$B54,Arena!$B$69:$K$69,0)),"n/a")</f>
        <v>Y</v>
      </c>
      <c r="J54" s="137">
        <f>IF(ISNUMBER($H54),($B54-1)-$H54,"n/a")</f>
        <v>31</v>
      </c>
      <c r="K54" s="108">
        <f>IF($B54=2017,IFERROR(INDEX('Team Performance'!$B$241:$B$270,MATCH($A54,'Team Performance'!$A$241:$A$270,0)),"n/a"),IFERROR(INDEX('Team Performance'!$B$6:$K$35,MATCH($A54,'Team Performance'!$A$6:$A$35,0),MATCH(($B54-2)&amp;"-"&amp;RIGHT($B54-1,2),'Team Performance'!$B$5:$K$5,0)),"n/a"))</f>
        <v>39</v>
      </c>
      <c r="L54" s="108">
        <f>IF($B54=2017,IFERROR(INDEX('Team Performance'!$C$241:$C$270,MATCH($A54,'Team Performance'!$A$241:$A$270,0)),"n/a"),IFERROR(INDEX('Team Performance'!$B$39:$K$68,MATCH($A54,'Team Performance'!$A$39:$A$68,0),MATCH(($B54-2)&amp;"-"&amp;RIGHT($B54-1,2),'Team Performance'!$B$38:$K$38,0)),"n/a"))</f>
        <v>43</v>
      </c>
      <c r="M54" s="109">
        <f t="shared" si="1"/>
        <v>0.47560975609756095</v>
      </c>
      <c r="N54" s="108">
        <f>IF($B54=2017,IFERROR(INDEX('Team Performance'!$E$241:$E$270,MATCH($A54,'Team Performance'!$A$241:$A$270,0)),"n/a"),IFERROR(INDEX('Team Performance'!$B$140:$K$169,MATCH($A54,'Team Performance'!$A$140:$A$169,0),MATCH(($B54-2)&amp;"-"&amp;RIGHT($B54-1,2),'Team Performance'!$B$139:$K$139,0)),"n/a"))</f>
        <v>0</v>
      </c>
      <c r="O54" s="110">
        <f>IF($B54=2017,IFERROR(INDEX('Salary Cap'!$B$143:$B$172,MATCH($A54,'Salary Cap'!$A$143:$A$172,0)),"n/a"),IFERROR(INDEX('Salary Cap'!$B$10:$K$39,MATCH($A54,'Salary Cap'!$A$10:$A$39,0),MATCH(""&amp;($B54-1),'Salary Cap'!$B$9:$K$9,0)),"n/a"))</f>
        <v>165919354</v>
      </c>
      <c r="P54" s="115">
        <f>IF($B54=2017,IFERROR(INDEX('Salary Cap'!$C$143:$C$172,MATCH($A54,'Salary Cap'!$A$143:$A$172,0)),"n/a"),IFERROR(INDEX('Salary Cap'!$B$109:$K$138,MATCH($A54,'Salary Cap'!$A$109:$A$138,0),MATCH(""&amp;($B54-1),'Salary Cap'!$B$108:$K$108,0)),"n/a"))</f>
        <v>0</v>
      </c>
      <c r="Q54" s="138">
        <f>IF(OR($B54=2021,$B54=2022),1,0)</f>
        <v>0</v>
      </c>
    </row>
    <row r="55" spans="1:17" x14ac:dyDescent="0.2">
      <c r="A55" s="113" t="str" cm="1">
        <f t="array" ref="A55">INDEX('NBA Valuations'!$A$5:$A$34,INT((ROW()-5)/10)+1)</f>
        <v>Cleveland Cavaliers</v>
      </c>
      <c r="B55" s="105">
        <f t="shared" si="0"/>
        <v>2017</v>
      </c>
      <c r="C55" s="106">
        <f>IFERROR(INDEX('NBA Valuations'!$B$5:$K$34,MATCH($A55,'NBA Valuations'!$A$5:$A$34,0),MATCH(""&amp;$B55,'NBA Valuations'!$B$3:$K$3,0)),"n/a")</f>
        <v>1200</v>
      </c>
      <c r="D55" s="106">
        <f>IFERROR(INDEX(Revenue!$B$5:$K$34,MATCH($A55,Revenue!$A$5:$A$34,0),MATCH(""&amp;$B55,Revenue!$B$3:$K$3,0)),"n/a")</f>
        <v>233</v>
      </c>
      <c r="E55" s="106">
        <f>IFERROR(INDEX('Operating Income'!$B$5:$K$34,MATCH($A55,'Operating Income'!$A$5:$A$34,0),MATCH(""&amp;$B55,'Operating Income'!$B$3:$K$3,0)),"n/a")</f>
        <v>-40.200000000000003</v>
      </c>
      <c r="F55" s="107">
        <f>IFERROR(INDEX('Market Size'!$L$5:$L$34,MATCH($A55,'Market Size'!$A$5:$A$34,0)),"n/a")</f>
        <v>2184166</v>
      </c>
      <c r="G55" s="108" t="str">
        <f>IFERROR(INDEX('Market Size'!$B$38:$K$67,MATCH($A55,'Market Size'!$A$38:$A$67,0),MATCH(""&amp;($B55-1),'Market Size'!$B$36:$K$36,0)),"n/a")</f>
        <v>n/a</v>
      </c>
      <c r="H55" s="108">
        <f>IFERROR(INDEX(Arena!$B$38:$K$67,MATCH($A55,Arena!$A$38:$A$67,0),MATCH(""&amp;$B55,Arena!$B$36:$K$36,0)),"n/a")</f>
        <v>1994</v>
      </c>
      <c r="I55" s="136" t="str">
        <f>IFERROR(INDEX(Arena!$B$71:$K$100,MATCH($A55,Arena!$A$71:$A$100,0),MATCH(""&amp;$B55,Arena!$B$69:$K$69,0)),"n/a")</f>
        <v>N</v>
      </c>
      <c r="J55" s="137">
        <f>IF(ISNUMBER($H55),($B55-1)-$H55,"n/a")</f>
        <v>22</v>
      </c>
      <c r="K55" s="108">
        <f>IF($B55=2017,IFERROR(INDEX('Team Performance'!$B$241:$B$270,MATCH($A55,'Team Performance'!$A$241:$A$270,0)),"n/a"),IFERROR(INDEX('Team Performance'!$B$6:$K$35,MATCH($A55,'Team Performance'!$A$6:$A$35,0),MATCH(($B55-2)&amp;"-"&amp;RIGHT($B55-1,2),'Team Performance'!$B$5:$K$5,0)),"n/a"))</f>
        <v>57</v>
      </c>
      <c r="L55" s="108">
        <f>IF($B55=2017,IFERROR(INDEX('Team Performance'!$C$241:$C$270,MATCH($A55,'Team Performance'!$A$241:$A$270,0)),"n/a"),IFERROR(INDEX('Team Performance'!$B$39:$K$68,MATCH($A55,'Team Performance'!$A$39:$A$68,0),MATCH(($B55-2)&amp;"-"&amp;RIGHT($B55-1,2),'Team Performance'!$B$38:$K$38,0)),"n/a"))</f>
        <v>25</v>
      </c>
      <c r="M55" s="109">
        <f t="shared" si="1"/>
        <v>0.69512195121951215</v>
      </c>
      <c r="N55" s="108">
        <f>IF($B55=2017,IFERROR(INDEX('Team Performance'!$E$241:$E$270,MATCH($A55,'Team Performance'!$A$241:$A$270,0)),"n/a"),IFERROR(INDEX('Team Performance'!$B$140:$K$169,MATCH($A55,'Team Performance'!$A$140:$A$169,0),MATCH(($B55-2)&amp;"-"&amp;RIGHT($B55-1,2),'Team Performance'!$B$139:$K$139,0)),"n/a"))</f>
        <v>5</v>
      </c>
      <c r="O55" s="110">
        <f>IF($B55=2017,IFERROR(INDEX('Salary Cap'!$B$143:$B$172,MATCH($A55,'Salary Cap'!$A$143:$A$172,0)),"n/a"),IFERROR(INDEX('Salary Cap'!$B$10:$K$39,MATCH($A55,'Salary Cap'!$A$10:$A$39,0),MATCH(""&amp;($B55-1),'Salary Cap'!$B$9:$K$9,0)),"n/a"))</f>
        <v>107028354</v>
      </c>
      <c r="P55" s="115">
        <f>IF($B55=2017,IFERROR(INDEX('Salary Cap'!$C$143:$C$172,MATCH($A55,'Salary Cap'!$A$143:$A$172,0)),"n/a"),IFERROR(INDEX('Salary Cap'!$B$109:$K$138,MATCH($A55,'Salary Cap'!$A$109:$A$138,0),MATCH(""&amp;($B55-1),'Salary Cap'!$B$108:$K$108,0)),"n/a"))</f>
        <v>53581328</v>
      </c>
      <c r="Q55" s="138">
        <f>IF(OR($B55=2021,$B55=2022),1,0)</f>
        <v>0</v>
      </c>
    </row>
    <row r="56" spans="1:17" x14ac:dyDescent="0.2">
      <c r="A56" s="113" t="str" cm="1">
        <f t="array" ref="A56">INDEX('NBA Valuations'!$A$5:$A$34,INT((ROW()-5)/10)+1)</f>
        <v>Cleveland Cavaliers</v>
      </c>
      <c r="B56" s="105">
        <f t="shared" si="0"/>
        <v>2018</v>
      </c>
      <c r="C56" s="106">
        <f>IFERROR(INDEX('NBA Valuations'!$B$5:$K$34,MATCH($A56,'NBA Valuations'!$A$5:$A$34,0),MATCH(""&amp;$B56,'NBA Valuations'!$B$3:$K$3,0)),"n/a")</f>
        <v>1300</v>
      </c>
      <c r="D56" s="106">
        <f>IFERROR(INDEX(Revenue!$B$5:$K$34,MATCH($A56,Revenue!$A$5:$A$34,0),MATCH(""&amp;$B56,Revenue!$B$3:$K$3,0)),"n/a")</f>
        <v>280</v>
      </c>
      <c r="E56" s="106">
        <f>IFERROR(INDEX('Operating Income'!$B$5:$K$34,MATCH($A56,'Operating Income'!$A$5:$A$34,0),MATCH(""&amp;$B56,'Operating Income'!$B$3:$K$3,0)),"n/a")</f>
        <v>-6.2</v>
      </c>
      <c r="F56" s="107">
        <f>IFERROR(INDEX('Market Size'!$L$5:$L$34,MATCH($A56,'Market Size'!$A$5:$A$34,0)),"n/a")</f>
        <v>2184166</v>
      </c>
      <c r="G56" s="108" t="str">
        <f>IFERROR(INDEX('Market Size'!$B$38:$K$67,MATCH($A56,'Market Size'!$A$38:$A$67,0),MATCH(""&amp;($B56-1),'Market Size'!$B$36:$K$36,0)),"n/a")</f>
        <v>n/a</v>
      </c>
      <c r="H56" s="108">
        <f>IFERROR(INDEX(Arena!$B$38:$K$67,MATCH($A56,Arena!$A$38:$A$67,0),MATCH(""&amp;$B56,Arena!$B$36:$K$36,0)),"n/a")</f>
        <v>1994</v>
      </c>
      <c r="I56" s="136" t="str">
        <f>IFERROR(INDEX(Arena!$B$71:$K$100,MATCH($A56,Arena!$A$71:$A$100,0),MATCH(""&amp;$B56,Arena!$B$69:$K$69,0)),"n/a")</f>
        <v>N</v>
      </c>
      <c r="J56" s="137">
        <f>IF(ISNUMBER($H56),($B56-1)-$H56,"n/a")</f>
        <v>23</v>
      </c>
      <c r="K56" s="108">
        <f>IF($B56=2017,IFERROR(INDEX('Team Performance'!$B$241:$B$270,MATCH($A56,'Team Performance'!$A$241:$A$270,0)),"n/a"),IFERROR(INDEX('Team Performance'!$B$6:$K$35,MATCH($A56,'Team Performance'!$A$6:$A$35,0),MATCH(($B56-2)&amp;"-"&amp;RIGHT($B56-1,2),'Team Performance'!$B$5:$K$5,0)),"n/a"))</f>
        <v>51</v>
      </c>
      <c r="L56" s="108">
        <f>IF($B56=2017,IFERROR(INDEX('Team Performance'!$C$241:$C$270,MATCH($A56,'Team Performance'!$A$241:$A$270,0)),"n/a"),IFERROR(INDEX('Team Performance'!$B$39:$K$68,MATCH($A56,'Team Performance'!$A$39:$A$68,0),MATCH(($B56-2)&amp;"-"&amp;RIGHT($B56-1,2),'Team Performance'!$B$38:$K$38,0)),"n/a"))</f>
        <v>31</v>
      </c>
      <c r="M56" s="109">
        <f t="shared" si="1"/>
        <v>0.62195121951219512</v>
      </c>
      <c r="N56" s="108">
        <f>IF($B56=2017,IFERROR(INDEX('Team Performance'!$E$241:$E$270,MATCH($A56,'Team Performance'!$A$241:$A$270,0)),"n/a"),IFERROR(INDEX('Team Performance'!$B$140:$K$169,MATCH($A56,'Team Performance'!$A$140:$A$169,0),MATCH(($B56-2)&amp;"-"&amp;RIGHT($B56-1,2),'Team Performance'!$B$139:$K$139,0)),"n/a"))</f>
        <v>4</v>
      </c>
      <c r="O56" s="110">
        <f>IF($B56=2017,IFERROR(INDEX('Salary Cap'!$B$143:$B$172,MATCH($A56,'Salary Cap'!$A$143:$A$172,0)),"n/a"),IFERROR(INDEX('Salary Cap'!$B$10:$K$39,MATCH($A56,'Salary Cap'!$A$10:$A$39,0),MATCH(""&amp;($B56-1),'Salary Cap'!$B$9:$K$9,0)),"n/a"))</f>
        <v>126590785</v>
      </c>
      <c r="P56" s="115">
        <f>IF($B56=2017,IFERROR(INDEX('Salary Cap'!$C$143:$C$172,MATCH($A56,'Salary Cap'!$A$143:$A$172,0)),"n/a"),IFERROR(INDEX('Salary Cap'!$B$109:$K$138,MATCH($A56,'Salary Cap'!$A$109:$A$138,0),MATCH(""&amp;($B56-1),'Salary Cap'!$B$108:$K$108,0)),"n/a"))</f>
        <v>24773953</v>
      </c>
      <c r="Q56" s="138">
        <f>IF(OR($B56=2021,$B56=2022),1,0)</f>
        <v>0</v>
      </c>
    </row>
    <row r="57" spans="1:17" x14ac:dyDescent="0.2">
      <c r="A57" s="113" t="str" cm="1">
        <f t="array" ref="A57">INDEX('NBA Valuations'!$A$5:$A$34,INT((ROW()-5)/10)+1)</f>
        <v>Cleveland Cavaliers</v>
      </c>
      <c r="B57" s="105">
        <f t="shared" si="0"/>
        <v>2019</v>
      </c>
      <c r="C57" s="106">
        <f>IFERROR(INDEX('NBA Valuations'!$B$5:$K$34,MATCH($A57,'NBA Valuations'!$A$5:$A$34,0),MATCH(""&amp;$B57,'NBA Valuations'!$B$3:$K$3,0)),"n/a")</f>
        <v>1300</v>
      </c>
      <c r="D57" s="106">
        <f>IFERROR(INDEX(Revenue!$B$5:$K$34,MATCH($A57,Revenue!$A$5:$A$34,0),MATCH(""&amp;$B57,Revenue!$B$3:$K$3,0)),"n/a")</f>
        <v>302</v>
      </c>
      <c r="E57" s="106">
        <f>IFERROR(INDEX('Operating Income'!$B$5:$K$34,MATCH($A57,'Operating Income'!$A$5:$A$34,0),MATCH(""&amp;$B57,'Operating Income'!$B$3:$K$3,0)),"n/a")</f>
        <v>-13</v>
      </c>
      <c r="F57" s="107">
        <f>IFERROR(INDEX('Market Size'!$L$5:$L$34,MATCH($A57,'Market Size'!$A$5:$A$34,0)),"n/a")</f>
        <v>2184166</v>
      </c>
      <c r="G57" s="108" t="str">
        <f>IFERROR(INDEX('Market Size'!$B$38:$K$67,MATCH($A57,'Market Size'!$A$38:$A$67,0),MATCH(""&amp;($B57-1),'Market Size'!$B$36:$K$36,0)),"n/a")</f>
        <v>n/a</v>
      </c>
      <c r="H57" s="108">
        <f>IFERROR(INDEX(Arena!$B$38:$K$67,MATCH($A57,Arena!$A$38:$A$67,0),MATCH(""&amp;$B57,Arena!$B$36:$K$36,0)),"n/a")</f>
        <v>1994</v>
      </c>
      <c r="I57" s="136" t="str">
        <f>IFERROR(INDEX(Arena!$B$71:$K$100,MATCH($A57,Arena!$A$71:$A$100,0),MATCH(""&amp;$B57,Arena!$B$69:$K$69,0)),"n/a")</f>
        <v>N</v>
      </c>
      <c r="J57" s="137">
        <f>IF(ISNUMBER($H57),($B57-1)-$H57,"n/a")</f>
        <v>24</v>
      </c>
      <c r="K57" s="108">
        <f>IF($B57=2017,IFERROR(INDEX('Team Performance'!$B$241:$B$270,MATCH($A57,'Team Performance'!$A$241:$A$270,0)),"n/a"),IFERROR(INDEX('Team Performance'!$B$6:$K$35,MATCH($A57,'Team Performance'!$A$6:$A$35,0),MATCH(($B57-2)&amp;"-"&amp;RIGHT($B57-1,2),'Team Performance'!$B$5:$K$5,0)),"n/a"))</f>
        <v>50</v>
      </c>
      <c r="L57" s="108">
        <f>IF($B57=2017,IFERROR(INDEX('Team Performance'!$C$241:$C$270,MATCH($A57,'Team Performance'!$A$241:$A$270,0)),"n/a"),IFERROR(INDEX('Team Performance'!$B$39:$K$68,MATCH($A57,'Team Performance'!$A$39:$A$68,0),MATCH(($B57-2)&amp;"-"&amp;RIGHT($B57-1,2),'Team Performance'!$B$38:$K$38,0)),"n/a"))</f>
        <v>32</v>
      </c>
      <c r="M57" s="109">
        <f t="shared" si="1"/>
        <v>0.6097560975609756</v>
      </c>
      <c r="N57" s="108">
        <f>IF($B57=2017,IFERROR(INDEX('Team Performance'!$E$241:$E$270,MATCH($A57,'Team Performance'!$A$241:$A$270,0)),"n/a"),IFERROR(INDEX('Team Performance'!$B$140:$K$169,MATCH($A57,'Team Performance'!$A$140:$A$169,0),MATCH(($B57-2)&amp;"-"&amp;RIGHT($B57-1,2),'Team Performance'!$B$139:$K$139,0)),"n/a"))</f>
        <v>4</v>
      </c>
      <c r="O57" s="110">
        <f>IF($B57=2017,IFERROR(INDEX('Salary Cap'!$B$143:$B$172,MATCH($A57,'Salary Cap'!$A$143:$A$172,0)),"n/a"),IFERROR(INDEX('Salary Cap'!$B$10:$K$39,MATCH($A57,'Salary Cap'!$A$10:$A$39,0),MATCH(""&amp;($B57-1),'Salary Cap'!$B$9:$K$9,0)),"n/a"))</f>
        <v>135980450</v>
      </c>
      <c r="P57" s="115">
        <f>IF($B57=2017,IFERROR(INDEX('Salary Cap'!$C$143:$C$172,MATCH($A57,'Salary Cap'!$A$143:$A$172,0)),"n/a"),IFERROR(INDEX('Salary Cap'!$B$109:$K$138,MATCH($A57,'Salary Cap'!$A$109:$A$138,0),MATCH(""&amp;($B57-1),'Salary Cap'!$B$108:$K$108,0)),"n/a"))</f>
        <v>50700000</v>
      </c>
      <c r="Q57" s="138">
        <f>IF(OR($B57=2021,$B57=2022),1,0)</f>
        <v>0</v>
      </c>
    </row>
    <row r="58" spans="1:17" x14ac:dyDescent="0.2">
      <c r="A58" s="113" t="str" cm="1">
        <f t="array" ref="A58">INDEX('NBA Valuations'!$A$5:$A$34,INT((ROW()-5)/10)+1)</f>
        <v>Cleveland Cavaliers</v>
      </c>
      <c r="B58" s="105">
        <f t="shared" si="0"/>
        <v>2020</v>
      </c>
      <c r="C58" s="106">
        <f>IFERROR(INDEX('NBA Valuations'!$B$5:$K$34,MATCH($A58,'NBA Valuations'!$A$5:$A$34,0),MATCH(""&amp;$B58,'NBA Valuations'!$B$3:$K$3,0)),"n/a")</f>
        <v>1500</v>
      </c>
      <c r="D58" s="106">
        <f>IFERROR(INDEX(Revenue!$B$5:$K$34,MATCH($A58,Revenue!$A$5:$A$34,0),MATCH(""&amp;$B58,Revenue!$B$3:$K$3,0)),"n/a")</f>
        <v>300</v>
      </c>
      <c r="E58" s="106">
        <f>IFERROR(INDEX('Operating Income'!$B$5:$K$34,MATCH($A58,'Operating Income'!$A$5:$A$34,0),MATCH(""&amp;$B58,'Operating Income'!$B$3:$K$3,0)),"n/a")</f>
        <v>39</v>
      </c>
      <c r="F58" s="107">
        <f>IFERROR(INDEX('Market Size'!$L$5:$L$34,MATCH($A58,'Market Size'!$A$5:$A$34,0)),"n/a")</f>
        <v>2184166</v>
      </c>
      <c r="G58" s="108" t="str">
        <f>IFERROR(INDEX('Market Size'!$B$38:$K$67,MATCH($A58,'Market Size'!$A$38:$A$67,0),MATCH(""&amp;($B58-1),'Market Size'!$B$36:$K$36,0)),"n/a")</f>
        <v>n/a</v>
      </c>
      <c r="H58" s="108">
        <f>IFERROR(INDEX(Arena!$B$38:$K$67,MATCH($A58,Arena!$A$38:$A$67,0),MATCH(""&amp;$B58,Arena!$B$36:$K$36,0)),"n/a")</f>
        <v>1994</v>
      </c>
      <c r="I58" s="136" t="str">
        <f>IFERROR(INDEX(Arena!$B$71:$K$100,MATCH($A58,Arena!$A$71:$A$100,0),MATCH(""&amp;$B58,Arena!$B$69:$K$69,0)),"n/a")</f>
        <v>N</v>
      </c>
      <c r="J58" s="137">
        <f>IF(ISNUMBER($H58),($B58-1)-$H58,"n/a")</f>
        <v>25</v>
      </c>
      <c r="K58" s="108">
        <f>IF($B58=2017,IFERROR(INDEX('Team Performance'!$B$241:$B$270,MATCH($A58,'Team Performance'!$A$241:$A$270,0)),"n/a"),IFERROR(INDEX('Team Performance'!$B$6:$K$35,MATCH($A58,'Team Performance'!$A$6:$A$35,0),MATCH(($B58-2)&amp;"-"&amp;RIGHT($B58-1,2),'Team Performance'!$B$5:$K$5,0)),"n/a"))</f>
        <v>19</v>
      </c>
      <c r="L58" s="108">
        <f>IF($B58=2017,IFERROR(INDEX('Team Performance'!$C$241:$C$270,MATCH($A58,'Team Performance'!$A$241:$A$270,0)),"n/a"),IFERROR(INDEX('Team Performance'!$B$39:$K$68,MATCH($A58,'Team Performance'!$A$39:$A$68,0),MATCH(($B58-2)&amp;"-"&amp;RIGHT($B58-1,2),'Team Performance'!$B$38:$K$38,0)),"n/a"))</f>
        <v>63</v>
      </c>
      <c r="M58" s="109">
        <f t="shared" si="1"/>
        <v>0.23170731707317074</v>
      </c>
      <c r="N58" s="108">
        <f>IF($B58=2017,IFERROR(INDEX('Team Performance'!$E$241:$E$270,MATCH($A58,'Team Performance'!$A$241:$A$270,0)),"n/a"),IFERROR(INDEX('Team Performance'!$B$140:$K$169,MATCH($A58,'Team Performance'!$A$140:$A$169,0),MATCH(($B58-2)&amp;"-"&amp;RIGHT($B58-1,2),'Team Performance'!$B$139:$K$139,0)),"n/a"))</f>
        <v>0</v>
      </c>
      <c r="O58" s="110">
        <f>IF($B58=2017,IFERROR(INDEX('Salary Cap'!$B$143:$B$172,MATCH($A58,'Salary Cap'!$A$143:$A$172,0)),"n/a"),IFERROR(INDEX('Salary Cap'!$B$10:$K$39,MATCH($A58,'Salary Cap'!$A$10:$A$39,0),MATCH(""&amp;($B58-1),'Salary Cap'!$B$9:$K$9,0)),"n/a"))</f>
        <v>123697967</v>
      </c>
      <c r="P58" s="115">
        <f>IF($B58=2017,IFERROR(INDEX('Salary Cap'!$C$143:$C$172,MATCH($A58,'Salary Cap'!$A$143:$A$172,0)),"n/a"),IFERROR(INDEX('Salary Cap'!$B$109:$K$138,MATCH($A58,'Salary Cap'!$A$109:$A$138,0),MATCH(""&amp;($B58-1),'Salary Cap'!$B$108:$K$108,0)),"n/a"))</f>
        <v>0</v>
      </c>
      <c r="Q58" s="138">
        <f>IF(OR($B58=2021,$B58=2022),1,0)</f>
        <v>0</v>
      </c>
    </row>
    <row r="59" spans="1:17" x14ac:dyDescent="0.2">
      <c r="A59" s="113" t="str" cm="1">
        <f t="array" ref="A59">INDEX('NBA Valuations'!$A$5:$A$34,INT((ROW()-5)/10)+1)</f>
        <v>Cleveland Cavaliers</v>
      </c>
      <c r="B59" s="105">
        <f t="shared" si="0"/>
        <v>2021</v>
      </c>
      <c r="C59" s="106">
        <f>IFERROR(INDEX('NBA Valuations'!$B$5:$K$34,MATCH($A59,'NBA Valuations'!$A$5:$A$34,0),MATCH(""&amp;$B59,'NBA Valuations'!$B$3:$K$3,0)),"n/a")</f>
        <v>1560</v>
      </c>
      <c r="D59" s="106">
        <f>IFERROR(INDEX(Revenue!$B$5:$K$34,MATCH($A59,Revenue!$A$5:$A$34,0),MATCH(""&amp;$B59,Revenue!$B$3:$K$3,0)),"n/a")</f>
        <v>269</v>
      </c>
      <c r="E59" s="106">
        <f>IFERROR(INDEX('Operating Income'!$B$5:$K$34,MATCH($A59,'Operating Income'!$A$5:$A$34,0),MATCH(""&amp;$B59,'Operating Income'!$B$3:$K$3,0)),"n/a")</f>
        <v>46</v>
      </c>
      <c r="F59" s="107">
        <f>IFERROR(INDEX('Market Size'!$L$5:$L$34,MATCH($A59,'Market Size'!$A$5:$A$34,0)),"n/a")</f>
        <v>2184166</v>
      </c>
      <c r="G59" s="108" t="str">
        <f>IFERROR(INDEX('Market Size'!$B$38:$K$67,MATCH($A59,'Market Size'!$A$38:$A$67,0),MATCH(""&amp;($B59-1),'Market Size'!$B$36:$K$36,0)),"n/a")</f>
        <v>n/a</v>
      </c>
      <c r="H59" s="108">
        <f>IFERROR(INDEX(Arena!$B$38:$K$67,MATCH($A59,Arena!$A$38:$A$67,0),MATCH(""&amp;$B59,Arena!$B$36:$K$36,0)),"n/a")</f>
        <v>1994</v>
      </c>
      <c r="I59" s="136" t="str">
        <f>IFERROR(INDEX(Arena!$B$71:$K$100,MATCH($A59,Arena!$A$71:$A$100,0),MATCH(""&amp;$B59,Arena!$B$69:$K$69,0)),"n/a")</f>
        <v>N</v>
      </c>
      <c r="J59" s="137">
        <f>IF(ISNUMBER($H59),($B59-1)-$H59,"n/a")</f>
        <v>26</v>
      </c>
      <c r="K59" s="108">
        <f>IF($B59=2017,IFERROR(INDEX('Team Performance'!$B$241:$B$270,MATCH($A59,'Team Performance'!$A$241:$A$270,0)),"n/a"),IFERROR(INDEX('Team Performance'!$B$6:$K$35,MATCH($A59,'Team Performance'!$A$6:$A$35,0),MATCH(($B59-2)&amp;"-"&amp;RIGHT($B59-1,2),'Team Performance'!$B$5:$K$5,0)),"n/a"))</f>
        <v>19</v>
      </c>
      <c r="L59" s="108">
        <f>IF($B59=2017,IFERROR(INDEX('Team Performance'!$C$241:$C$270,MATCH($A59,'Team Performance'!$A$241:$A$270,0)),"n/a"),IFERROR(INDEX('Team Performance'!$B$39:$K$68,MATCH($A59,'Team Performance'!$A$39:$A$68,0),MATCH(($B59-2)&amp;"-"&amp;RIGHT($B59-1,2),'Team Performance'!$B$38:$K$38,0)),"n/a"))</f>
        <v>46</v>
      </c>
      <c r="M59" s="109">
        <f t="shared" si="1"/>
        <v>0.29230769230769232</v>
      </c>
      <c r="N59" s="108">
        <f>IF($B59=2017,IFERROR(INDEX('Team Performance'!$E$241:$E$270,MATCH($A59,'Team Performance'!$A$241:$A$270,0)),"n/a"),IFERROR(INDEX('Team Performance'!$B$140:$K$169,MATCH($A59,'Team Performance'!$A$140:$A$169,0),MATCH(($B59-2)&amp;"-"&amp;RIGHT($B59-1,2),'Team Performance'!$B$139:$K$139,0)),"n/a"))</f>
        <v>0</v>
      </c>
      <c r="O59" s="110">
        <f>IF($B59=2017,IFERROR(INDEX('Salary Cap'!$B$143:$B$172,MATCH($A59,'Salary Cap'!$A$143:$A$172,0)),"n/a"),IFERROR(INDEX('Salary Cap'!$B$10:$K$39,MATCH($A59,'Salary Cap'!$A$10:$A$39,0),MATCH(""&amp;($B59-1),'Salary Cap'!$B$9:$K$9,0)),"n/a"))</f>
        <v>132181946</v>
      </c>
      <c r="P59" s="115">
        <f>IF($B59=2017,IFERROR(INDEX('Salary Cap'!$C$143:$C$172,MATCH($A59,'Salary Cap'!$A$143:$A$172,0)),"n/a"),IFERROR(INDEX('Salary Cap'!$B$109:$K$138,MATCH($A59,'Salary Cap'!$A$109:$A$138,0),MATCH(""&amp;($B59-1),'Salary Cap'!$B$108:$K$108,0)),"n/a"))</f>
        <v>0</v>
      </c>
      <c r="Q59" s="138">
        <f>IF(OR($B59=2021,$B59=2022),1,0)</f>
        <v>1</v>
      </c>
    </row>
    <row r="60" spans="1:17" x14ac:dyDescent="0.2">
      <c r="A60" s="113" t="str" cm="1">
        <f t="array" ref="A60">INDEX('NBA Valuations'!$A$5:$A$34,INT((ROW()-5)/10)+1)</f>
        <v>Cleveland Cavaliers</v>
      </c>
      <c r="B60" s="105">
        <f t="shared" si="0"/>
        <v>2022</v>
      </c>
      <c r="C60" s="106">
        <f>IFERROR(INDEX('NBA Valuations'!$B$5:$K$34,MATCH($A60,'NBA Valuations'!$A$5:$A$34,0),MATCH(""&amp;$B60,'NBA Valuations'!$B$3:$K$3,0)),"n/a")</f>
        <v>1650</v>
      </c>
      <c r="D60" s="106">
        <f>IFERROR(INDEX(Revenue!$B$5:$K$34,MATCH($A60,Revenue!$A$5:$A$34,0),MATCH(""&amp;$B60,Revenue!$B$3:$K$3,0)),"n/a")</f>
        <v>211</v>
      </c>
      <c r="E60" s="106">
        <f>IFERROR(INDEX('Operating Income'!$B$5:$K$34,MATCH($A60,'Operating Income'!$A$5:$A$34,0),MATCH(""&amp;$B60,'Operating Income'!$B$3:$K$3,0)),"n/a")</f>
        <v>11</v>
      </c>
      <c r="F60" s="107">
        <f>IFERROR(INDEX('Market Size'!$L$5:$L$34,MATCH($A60,'Market Size'!$A$5:$A$34,0)),"n/a")</f>
        <v>2184166</v>
      </c>
      <c r="G60" s="108" t="str">
        <f>IFERROR(INDEX('Market Size'!$B$38:$K$67,MATCH($A60,'Market Size'!$A$38:$A$67,0),MATCH(""&amp;($B60-1),'Market Size'!$B$36:$K$36,0)),"n/a")</f>
        <v>n/a</v>
      </c>
      <c r="H60" s="108">
        <f>IFERROR(INDEX(Arena!$B$38:$K$67,MATCH($A60,Arena!$A$38:$A$67,0),MATCH(""&amp;$B60,Arena!$B$36:$K$36,0)),"n/a")</f>
        <v>1994</v>
      </c>
      <c r="I60" s="136" t="str">
        <f>IFERROR(INDEX(Arena!$B$71:$K$100,MATCH($A60,Arena!$A$71:$A$100,0),MATCH(""&amp;$B60,Arena!$B$69:$K$69,0)),"n/a")</f>
        <v>N</v>
      </c>
      <c r="J60" s="137">
        <f>IF(ISNUMBER($H60),($B60-1)-$H60,"n/a")</f>
        <v>27</v>
      </c>
      <c r="K60" s="108">
        <f>IF($B60=2017,IFERROR(INDEX('Team Performance'!$B$241:$B$270,MATCH($A60,'Team Performance'!$A$241:$A$270,0)),"n/a"),IFERROR(INDEX('Team Performance'!$B$6:$K$35,MATCH($A60,'Team Performance'!$A$6:$A$35,0),MATCH(($B60-2)&amp;"-"&amp;RIGHT($B60-1,2),'Team Performance'!$B$5:$K$5,0)),"n/a"))</f>
        <v>22</v>
      </c>
      <c r="L60" s="108">
        <f>IF($B60=2017,IFERROR(INDEX('Team Performance'!$C$241:$C$270,MATCH($A60,'Team Performance'!$A$241:$A$270,0)),"n/a"),IFERROR(INDEX('Team Performance'!$B$39:$K$68,MATCH($A60,'Team Performance'!$A$39:$A$68,0),MATCH(($B60-2)&amp;"-"&amp;RIGHT($B60-1,2),'Team Performance'!$B$38:$K$38,0)),"n/a"))</f>
        <v>50</v>
      </c>
      <c r="M60" s="109">
        <f t="shared" si="1"/>
        <v>0.30555555555555558</v>
      </c>
      <c r="N60" s="108">
        <f>IF($B60=2017,IFERROR(INDEX('Team Performance'!$E$241:$E$270,MATCH($A60,'Team Performance'!$A$241:$A$270,0)),"n/a"),IFERROR(INDEX('Team Performance'!$B$140:$K$169,MATCH($A60,'Team Performance'!$A$140:$A$169,0),MATCH(($B60-2)&amp;"-"&amp;RIGHT($B60-1,2),'Team Performance'!$B$139:$K$139,0)),"n/a"))</f>
        <v>0</v>
      </c>
      <c r="O60" s="110">
        <f>IF($B60=2017,IFERROR(INDEX('Salary Cap'!$B$143:$B$172,MATCH($A60,'Salary Cap'!$A$143:$A$172,0)),"n/a"),IFERROR(INDEX('Salary Cap'!$B$10:$K$39,MATCH($A60,'Salary Cap'!$A$10:$A$39,0),MATCH(""&amp;($B60-1),'Salary Cap'!$B$9:$K$9,0)),"n/a"))</f>
        <v>126734856</v>
      </c>
      <c r="P60" s="115">
        <f>IF($B60=2017,IFERROR(INDEX('Salary Cap'!$C$143:$C$172,MATCH($A60,'Salary Cap'!$A$143:$A$172,0)),"n/a"),IFERROR(INDEX('Salary Cap'!$B$109:$K$138,MATCH($A60,'Salary Cap'!$A$109:$A$138,0),MATCH(""&amp;($B60-1),'Salary Cap'!$B$108:$K$108,0)),"n/a"))</f>
        <v>0</v>
      </c>
      <c r="Q60" s="138">
        <f>IF(OR($B60=2021,$B60=2022),1,0)</f>
        <v>1</v>
      </c>
    </row>
    <row r="61" spans="1:17" x14ac:dyDescent="0.2">
      <c r="A61" s="113" t="str" cm="1">
        <f t="array" ref="A61">INDEX('NBA Valuations'!$A$5:$A$34,INT((ROW()-5)/10)+1)</f>
        <v>Cleveland Cavaliers</v>
      </c>
      <c r="B61" s="105">
        <f t="shared" si="0"/>
        <v>2023</v>
      </c>
      <c r="C61" s="106">
        <f>IFERROR(INDEX('NBA Valuations'!$B$5:$K$34,MATCH($A61,'NBA Valuations'!$A$5:$A$34,0),MATCH(""&amp;$B61,'NBA Valuations'!$B$3:$K$3,0)),"n/a")</f>
        <v>2050</v>
      </c>
      <c r="D61" s="106">
        <f>IFERROR(INDEX(Revenue!$B$5:$K$34,MATCH($A61,Revenue!$A$5:$A$34,0),MATCH(""&amp;$B61,Revenue!$B$3:$K$3,0)),"n/a")</f>
        <v>325</v>
      </c>
      <c r="E61" s="106">
        <f>IFERROR(INDEX('Operating Income'!$B$5:$K$34,MATCH($A61,'Operating Income'!$A$5:$A$34,0),MATCH(""&amp;$B61,'Operating Income'!$B$3:$K$3,0)),"n/a")</f>
        <v>74</v>
      </c>
      <c r="F61" s="107">
        <f>IFERROR(INDEX('Market Size'!$L$5:$L$34,MATCH($A61,'Market Size'!$A$5:$A$34,0)),"n/a")</f>
        <v>2184166</v>
      </c>
      <c r="G61" s="108" t="str">
        <f>IFERROR(INDEX('Market Size'!$B$38:$K$67,MATCH($A61,'Market Size'!$A$38:$A$67,0),MATCH(""&amp;($B61-1),'Market Size'!$B$36:$K$36,0)),"n/a")</f>
        <v>n/a</v>
      </c>
      <c r="H61" s="108">
        <f>IFERROR(INDEX(Arena!$B$38:$K$67,MATCH($A61,Arena!$A$38:$A$67,0),MATCH(""&amp;$B61,Arena!$B$36:$K$36,0)),"n/a")</f>
        <v>1994</v>
      </c>
      <c r="I61" s="136" t="str">
        <f>IFERROR(INDEX(Arena!$B$71:$K$100,MATCH($A61,Arena!$A$71:$A$100,0),MATCH(""&amp;$B61,Arena!$B$69:$K$69,0)),"n/a")</f>
        <v>N</v>
      </c>
      <c r="J61" s="137">
        <f>IF(ISNUMBER($H61),($B61-1)-$H61,"n/a")</f>
        <v>28</v>
      </c>
      <c r="K61" s="108">
        <f>IF($B61=2017,IFERROR(INDEX('Team Performance'!$B$241:$B$270,MATCH($A61,'Team Performance'!$A$241:$A$270,0)),"n/a"),IFERROR(INDEX('Team Performance'!$B$6:$K$35,MATCH($A61,'Team Performance'!$A$6:$A$35,0),MATCH(($B61-2)&amp;"-"&amp;RIGHT($B61-1,2),'Team Performance'!$B$5:$K$5,0)),"n/a"))</f>
        <v>44</v>
      </c>
      <c r="L61" s="108">
        <f>IF($B61=2017,IFERROR(INDEX('Team Performance'!$C$241:$C$270,MATCH($A61,'Team Performance'!$A$241:$A$270,0)),"n/a"),IFERROR(INDEX('Team Performance'!$B$39:$K$68,MATCH($A61,'Team Performance'!$A$39:$A$68,0),MATCH(($B61-2)&amp;"-"&amp;RIGHT($B61-1,2),'Team Performance'!$B$38:$K$38,0)),"n/a"))</f>
        <v>38</v>
      </c>
      <c r="M61" s="109">
        <f t="shared" si="1"/>
        <v>0.53658536585365857</v>
      </c>
      <c r="N61" s="108">
        <f>IF($B61=2017,IFERROR(INDEX('Team Performance'!$E$241:$E$270,MATCH($A61,'Team Performance'!$A$241:$A$270,0)),"n/a"),IFERROR(INDEX('Team Performance'!$B$140:$K$169,MATCH($A61,'Team Performance'!$A$140:$A$169,0),MATCH(($B61-2)&amp;"-"&amp;RIGHT($B61-1,2),'Team Performance'!$B$139:$K$139,0)),"n/a"))</f>
        <v>0</v>
      </c>
      <c r="O61" s="110">
        <f>IF($B61=2017,IFERROR(INDEX('Salary Cap'!$B$143:$B$172,MATCH($A61,'Salary Cap'!$A$143:$A$172,0)),"n/a"),IFERROR(INDEX('Salary Cap'!$B$10:$K$39,MATCH($A61,'Salary Cap'!$A$10:$A$39,0),MATCH(""&amp;($B61-1),'Salary Cap'!$B$9:$K$9,0)),"n/a"))</f>
        <v>133138401</v>
      </c>
      <c r="P61" s="115">
        <f>IF($B61=2017,IFERROR(INDEX('Salary Cap'!$C$143:$C$172,MATCH($A61,'Salary Cap'!$A$143:$A$172,0)),"n/a"),IFERROR(INDEX('Salary Cap'!$B$109:$K$138,MATCH($A61,'Salary Cap'!$A$109:$A$138,0),MATCH(""&amp;($B61-1),'Salary Cap'!$B$108:$K$108,0)),"n/a"))</f>
        <v>0</v>
      </c>
      <c r="Q61" s="138">
        <f>IF(OR($B61=2021,$B61=2022),1,0)</f>
        <v>0</v>
      </c>
    </row>
    <row r="62" spans="1:17" x14ac:dyDescent="0.2">
      <c r="A62" s="113" t="str" cm="1">
        <f t="array" ref="A62">INDEX('NBA Valuations'!$A$5:$A$34,INT((ROW()-5)/10)+1)</f>
        <v>Cleveland Cavaliers</v>
      </c>
      <c r="B62" s="105">
        <f t="shared" si="0"/>
        <v>2024</v>
      </c>
      <c r="C62" s="106">
        <f>IFERROR(INDEX('NBA Valuations'!$B$5:$K$34,MATCH($A62,'NBA Valuations'!$A$5:$A$34,0),MATCH(""&amp;$B62,'NBA Valuations'!$B$3:$K$3,0)),"n/a")</f>
        <v>3350</v>
      </c>
      <c r="D62" s="106">
        <f>IFERROR(INDEX(Revenue!$B$5:$K$34,MATCH($A62,Revenue!$A$5:$A$34,0),MATCH(""&amp;$B62,Revenue!$B$3:$K$3,0)),"n/a")</f>
        <v>348</v>
      </c>
      <c r="E62" s="106">
        <f>IFERROR(INDEX('Operating Income'!$B$5:$K$34,MATCH($A62,'Operating Income'!$A$5:$A$34,0),MATCH(""&amp;$B62,'Operating Income'!$B$3:$K$3,0)),"n/a")</f>
        <v>78</v>
      </c>
      <c r="F62" s="107">
        <f>IFERROR(INDEX('Market Size'!$L$5:$L$34,MATCH($A62,'Market Size'!$A$5:$A$34,0)),"n/a")</f>
        <v>2184166</v>
      </c>
      <c r="G62" s="108" t="str">
        <f>IFERROR(INDEX('Market Size'!$B$38:$K$67,MATCH($A62,'Market Size'!$A$38:$A$67,0),MATCH(""&amp;($B62-1),'Market Size'!$B$36:$K$36,0)),"n/a")</f>
        <v>n/a</v>
      </c>
      <c r="H62" s="108">
        <f>IFERROR(INDEX(Arena!$B$38:$K$67,MATCH($A62,Arena!$A$38:$A$67,0),MATCH(""&amp;$B62,Arena!$B$36:$K$36,0)),"n/a")</f>
        <v>1994</v>
      </c>
      <c r="I62" s="136" t="str">
        <f>IFERROR(INDEX(Arena!$B$71:$K$100,MATCH($A62,Arena!$A$71:$A$100,0),MATCH(""&amp;$B62,Arena!$B$69:$K$69,0)),"n/a")</f>
        <v>N</v>
      </c>
      <c r="J62" s="137">
        <f>IF(ISNUMBER($H62),($B62-1)-$H62,"n/a")</f>
        <v>29</v>
      </c>
      <c r="K62" s="108">
        <f>IF($B62=2017,IFERROR(INDEX('Team Performance'!$B$241:$B$270,MATCH($A62,'Team Performance'!$A$241:$A$270,0)),"n/a"),IFERROR(INDEX('Team Performance'!$B$6:$K$35,MATCH($A62,'Team Performance'!$A$6:$A$35,0),MATCH(($B62-2)&amp;"-"&amp;RIGHT($B62-1,2),'Team Performance'!$B$5:$K$5,0)),"n/a"))</f>
        <v>51</v>
      </c>
      <c r="L62" s="108">
        <f>IF($B62=2017,IFERROR(INDEX('Team Performance'!$C$241:$C$270,MATCH($A62,'Team Performance'!$A$241:$A$270,0)),"n/a"),IFERROR(INDEX('Team Performance'!$B$39:$K$68,MATCH($A62,'Team Performance'!$A$39:$A$68,0),MATCH(($B62-2)&amp;"-"&amp;RIGHT($B62-1,2),'Team Performance'!$B$38:$K$38,0)),"n/a"))</f>
        <v>31</v>
      </c>
      <c r="M62" s="109">
        <f t="shared" si="1"/>
        <v>0.62195121951219512</v>
      </c>
      <c r="N62" s="108">
        <f>IF($B62=2017,IFERROR(INDEX('Team Performance'!$E$241:$E$270,MATCH($A62,'Team Performance'!$A$241:$A$270,0)),"n/a"),IFERROR(INDEX('Team Performance'!$B$140:$K$169,MATCH($A62,'Team Performance'!$A$140:$A$169,0),MATCH(($B62-2)&amp;"-"&amp;RIGHT($B62-1,2),'Team Performance'!$B$139:$K$139,0)),"n/a"))</f>
        <v>1</v>
      </c>
      <c r="O62" s="110">
        <f>IF($B62=2017,IFERROR(INDEX('Salary Cap'!$B$143:$B$172,MATCH($A62,'Salary Cap'!$A$143:$A$172,0)),"n/a"),IFERROR(INDEX('Salary Cap'!$B$10:$K$39,MATCH($A62,'Salary Cap'!$A$10:$A$39,0),MATCH(""&amp;($B62-1),'Salary Cap'!$B$9:$K$9,0)),"n/a"))</f>
        <v>149251300</v>
      </c>
      <c r="P62" s="115">
        <f>IF($B62=2017,IFERROR(INDEX('Salary Cap'!$C$143:$C$172,MATCH($A62,'Salary Cap'!$A$143:$A$172,0)),"n/a"),IFERROR(INDEX('Salary Cap'!$B$109:$K$138,MATCH($A62,'Salary Cap'!$A$109:$A$138,0),MATCH(""&amp;($B62-1),'Salary Cap'!$B$108:$K$108,0)),"n/a"))</f>
        <v>0</v>
      </c>
      <c r="Q62" s="138">
        <f>IF(OR($B62=2021,$B62=2022),1,0)</f>
        <v>0</v>
      </c>
    </row>
    <row r="63" spans="1:17" x14ac:dyDescent="0.2">
      <c r="A63" s="113" t="str" cm="1">
        <f t="array" ref="A63">INDEX('NBA Valuations'!$A$5:$A$34,INT((ROW()-5)/10)+1)</f>
        <v>Cleveland Cavaliers</v>
      </c>
      <c r="B63" s="105">
        <f t="shared" si="0"/>
        <v>2025</v>
      </c>
      <c r="C63" s="106">
        <f>IFERROR(INDEX('NBA Valuations'!$B$5:$K$34,MATCH($A63,'NBA Valuations'!$A$5:$A$34,0),MATCH(""&amp;$B63,'NBA Valuations'!$B$3:$K$3,0)),"n/a")</f>
        <v>3950</v>
      </c>
      <c r="D63" s="106">
        <f>IFERROR(INDEX(Revenue!$B$5:$K$34,MATCH($A63,Revenue!$A$5:$A$34,0),MATCH(""&amp;$B63,Revenue!$B$3:$K$3,0)),"n/a")</f>
        <v>391</v>
      </c>
      <c r="E63" s="106">
        <f>IFERROR(INDEX('Operating Income'!$B$5:$K$34,MATCH($A63,'Operating Income'!$A$5:$A$34,0),MATCH(""&amp;$B63,'Operating Income'!$B$3:$K$3,0)),"n/a")</f>
        <v>97</v>
      </c>
      <c r="F63" s="107">
        <f>IFERROR(INDEX('Market Size'!$L$5:$L$34,MATCH($A63,'Market Size'!$A$5:$A$34,0)),"n/a")</f>
        <v>2184166</v>
      </c>
      <c r="G63" s="108">
        <f>IFERROR(INDEX('Market Size'!$B$38:$K$67,MATCH($A63,'Market Size'!$A$38:$A$67,0),MATCH(""&amp;($B63-1),'Market Size'!$B$36:$K$36,0)),"n/a")</f>
        <v>19</v>
      </c>
      <c r="H63" s="108">
        <f>IFERROR(INDEX(Arena!$B$38:$K$67,MATCH($A63,Arena!$A$38:$A$67,0),MATCH(""&amp;$B63,Arena!$B$36:$K$36,0)),"n/a")</f>
        <v>1994</v>
      </c>
      <c r="I63" s="136" t="str">
        <f>IFERROR(INDEX(Arena!$B$71:$K$100,MATCH($A63,Arena!$A$71:$A$100,0),MATCH(""&amp;$B63,Arena!$B$69:$K$69,0)),"n/a")</f>
        <v>N</v>
      </c>
      <c r="J63" s="137">
        <f>IF(ISNUMBER($H63),($B63-1)-$H63,"n/a")</f>
        <v>30</v>
      </c>
      <c r="K63" s="108">
        <f>IF($B63=2017,IFERROR(INDEX('Team Performance'!$B$241:$B$270,MATCH($A63,'Team Performance'!$A$241:$A$270,0)),"n/a"),IFERROR(INDEX('Team Performance'!$B$6:$K$35,MATCH($A63,'Team Performance'!$A$6:$A$35,0),MATCH(($B63-2)&amp;"-"&amp;RIGHT($B63-1,2),'Team Performance'!$B$5:$K$5,0)),"n/a"))</f>
        <v>48</v>
      </c>
      <c r="L63" s="108">
        <f>IF($B63=2017,IFERROR(INDEX('Team Performance'!$C$241:$C$270,MATCH($A63,'Team Performance'!$A$241:$A$270,0)),"n/a"),IFERROR(INDEX('Team Performance'!$B$39:$K$68,MATCH($A63,'Team Performance'!$A$39:$A$68,0),MATCH(($B63-2)&amp;"-"&amp;RIGHT($B63-1,2),'Team Performance'!$B$38:$K$38,0)),"n/a"))</f>
        <v>34</v>
      </c>
      <c r="M63" s="109">
        <f t="shared" si="1"/>
        <v>0.58536585365853655</v>
      </c>
      <c r="N63" s="108">
        <f>IF($B63=2017,IFERROR(INDEX('Team Performance'!$E$241:$E$270,MATCH($A63,'Team Performance'!$A$241:$A$270,0)),"n/a"),IFERROR(INDEX('Team Performance'!$B$140:$K$169,MATCH($A63,'Team Performance'!$A$140:$A$169,0),MATCH(($B63-2)&amp;"-"&amp;RIGHT($B63-1,2),'Team Performance'!$B$139:$K$139,0)),"n/a"))</f>
        <v>2</v>
      </c>
      <c r="O63" s="110">
        <f>IF($B63=2017,IFERROR(INDEX('Salary Cap'!$B$143:$B$172,MATCH($A63,'Salary Cap'!$A$143:$A$172,0)),"n/a"),IFERROR(INDEX('Salary Cap'!$B$10:$K$39,MATCH($A63,'Salary Cap'!$A$10:$A$39,0),MATCH(""&amp;($B63-1),'Salary Cap'!$B$9:$K$9,0)),"n/a"))</f>
        <v>163939463</v>
      </c>
      <c r="P63" s="115">
        <f>IF($B63=2017,IFERROR(INDEX('Salary Cap'!$C$143:$C$172,MATCH($A63,'Salary Cap'!$A$143:$A$172,0)),"n/a"),IFERROR(INDEX('Salary Cap'!$B$109:$K$138,MATCH($A63,'Salary Cap'!$A$109:$A$138,0),MATCH(""&amp;($B63-1),'Salary Cap'!$B$108:$K$108,0)),"n/a"))</f>
        <v>0</v>
      </c>
      <c r="Q63" s="138">
        <f>IF(OR($B63=2021,$B63=2022),1,0)</f>
        <v>0</v>
      </c>
    </row>
    <row r="64" spans="1:17" x14ac:dyDescent="0.2">
      <c r="A64" s="113" t="str" cm="1">
        <f t="array" ref="A64">INDEX('NBA Valuations'!$A$5:$A$34,INT((ROW()-5)/10)+1)</f>
        <v>Cleveland Cavaliers</v>
      </c>
      <c r="B64" s="105">
        <f t="shared" si="0"/>
        <v>2026</v>
      </c>
      <c r="C64" s="106">
        <f>IFERROR(INDEX('NBA Valuations'!$B$5:$K$34,MATCH($A64,'NBA Valuations'!$A$5:$A$34,0),MATCH(""&amp;$B64,'NBA Valuations'!$B$3:$K$3,0)),"n/a")</f>
        <v>4800</v>
      </c>
      <c r="D64" s="106">
        <f>IFERROR(INDEX(Revenue!$B$5:$K$34,MATCH($A64,Revenue!$A$5:$A$34,0),MATCH(""&amp;$B64,Revenue!$B$3:$K$3,0)),"n/a")</f>
        <v>440</v>
      </c>
      <c r="E64" s="106">
        <f>IFERROR(INDEX('Operating Income'!$B$5:$K$34,MATCH($A64,'Operating Income'!$A$5:$A$34,0),MATCH(""&amp;$B64,'Operating Income'!$B$3:$K$3,0)),"n/a")</f>
        <v>127</v>
      </c>
      <c r="F64" s="107">
        <f>IFERROR(INDEX('Market Size'!$L$5:$L$34,MATCH($A64,'Market Size'!$A$5:$A$34,0)),"n/a")</f>
        <v>2184166</v>
      </c>
      <c r="G64" s="108">
        <f>IFERROR(INDEX('Market Size'!$B$38:$K$67,MATCH($A64,'Market Size'!$A$38:$A$67,0),MATCH(""&amp;($B64-1),'Market Size'!$B$36:$K$36,0)),"n/a")</f>
        <v>19</v>
      </c>
      <c r="H64" s="108">
        <f>IFERROR(INDEX(Arena!$B$38:$K$67,MATCH($A64,Arena!$A$38:$A$67,0),MATCH(""&amp;$B64,Arena!$B$36:$K$36,0)),"n/a")</f>
        <v>1994</v>
      </c>
      <c r="I64" s="136" t="str">
        <f>IFERROR(INDEX(Arena!$B$71:$K$100,MATCH($A64,Arena!$A$71:$A$100,0),MATCH(""&amp;$B64,Arena!$B$69:$K$69,0)),"n/a")</f>
        <v>N</v>
      </c>
      <c r="J64" s="137">
        <f>IF(ISNUMBER($H64),($B64-1)-$H64,"n/a")</f>
        <v>31</v>
      </c>
      <c r="K64" s="108">
        <f>IF($B64=2017,IFERROR(INDEX('Team Performance'!$B$241:$B$270,MATCH($A64,'Team Performance'!$A$241:$A$270,0)),"n/a"),IFERROR(INDEX('Team Performance'!$B$6:$K$35,MATCH($A64,'Team Performance'!$A$6:$A$35,0),MATCH(($B64-2)&amp;"-"&amp;RIGHT($B64-1,2),'Team Performance'!$B$5:$K$5,0)),"n/a"))</f>
        <v>64</v>
      </c>
      <c r="L64" s="108">
        <f>IF($B64=2017,IFERROR(INDEX('Team Performance'!$C$241:$C$270,MATCH($A64,'Team Performance'!$A$241:$A$270,0)),"n/a"),IFERROR(INDEX('Team Performance'!$B$39:$K$68,MATCH($A64,'Team Performance'!$A$39:$A$68,0),MATCH(($B64-2)&amp;"-"&amp;RIGHT($B64-1,2),'Team Performance'!$B$38:$K$38,0)),"n/a"))</f>
        <v>18</v>
      </c>
      <c r="M64" s="109">
        <f t="shared" si="1"/>
        <v>0.78048780487804881</v>
      </c>
      <c r="N64" s="108">
        <f>IF($B64=2017,IFERROR(INDEX('Team Performance'!$E$241:$E$270,MATCH($A64,'Team Performance'!$A$241:$A$270,0)),"n/a"),IFERROR(INDEX('Team Performance'!$B$140:$K$169,MATCH($A64,'Team Performance'!$A$140:$A$169,0),MATCH(($B64-2)&amp;"-"&amp;RIGHT($B64-1,2),'Team Performance'!$B$139:$K$139,0)),"n/a"))</f>
        <v>2</v>
      </c>
      <c r="O64" s="110">
        <f>IF($B64=2017,IFERROR(INDEX('Salary Cap'!$B$143:$B$172,MATCH($A64,'Salary Cap'!$A$143:$A$172,0)),"n/a"),IFERROR(INDEX('Salary Cap'!$B$10:$K$39,MATCH($A64,'Salary Cap'!$A$10:$A$39,0),MATCH(""&amp;($B64-1),'Salary Cap'!$B$9:$K$9,0)),"n/a"))</f>
        <v>170144576</v>
      </c>
      <c r="P64" s="115">
        <f>IF($B64=2017,IFERROR(INDEX('Salary Cap'!$C$143:$C$172,MATCH($A64,'Salary Cap'!$A$143:$A$172,0)),"n/a"),IFERROR(INDEX('Salary Cap'!$B$109:$K$138,MATCH($A64,'Salary Cap'!$A$109:$A$138,0),MATCH(""&amp;($B64-1),'Salary Cap'!$B$108:$K$108,0)),"n/a"))</f>
        <v>0</v>
      </c>
      <c r="Q64" s="138">
        <f>IF(OR($B64=2021,$B64=2022),1,0)</f>
        <v>0</v>
      </c>
    </row>
    <row r="65" spans="1:17" x14ac:dyDescent="0.2">
      <c r="A65" s="113" t="str" cm="1">
        <f t="array" ref="A65">INDEX('NBA Valuations'!$A$5:$A$34,INT((ROW()-5)/10)+1)</f>
        <v>Dallas Mavericks</v>
      </c>
      <c r="B65" s="105">
        <f t="shared" si="0"/>
        <v>2017</v>
      </c>
      <c r="C65" s="106">
        <f>IFERROR(INDEX('NBA Valuations'!$B$5:$K$34,MATCH($A65,'NBA Valuations'!$A$5:$A$34,0),MATCH(""&amp;$B65,'NBA Valuations'!$B$3:$K$3,0)),"n/a")</f>
        <v>1500</v>
      </c>
      <c r="D65" s="106">
        <f>IFERROR(INDEX(Revenue!$B$5:$K$34,MATCH($A65,Revenue!$A$5:$A$34,0),MATCH(""&amp;$B65,Revenue!$B$3:$K$3,0)),"n/a")</f>
        <v>194</v>
      </c>
      <c r="E65" s="106">
        <f>IFERROR(INDEX('Operating Income'!$B$5:$K$34,MATCH($A65,'Operating Income'!$A$5:$A$34,0),MATCH(""&amp;$B65,'Operating Income'!$B$3:$K$3,0)),"n/a")</f>
        <v>40.299999999999997</v>
      </c>
      <c r="F65" s="107">
        <f>IFERROR(INDEX('Market Size'!$L$5:$L$34,MATCH($A65,'Market Size'!$A$5:$A$34,0)),"n/a")</f>
        <v>7667416</v>
      </c>
      <c r="G65" s="108" t="str">
        <f>IFERROR(INDEX('Market Size'!$B$38:$K$67,MATCH($A65,'Market Size'!$A$38:$A$67,0),MATCH(""&amp;($B65-1),'Market Size'!$B$36:$K$36,0)),"n/a")</f>
        <v>n/a</v>
      </c>
      <c r="H65" s="108">
        <f>IFERROR(INDEX(Arena!$B$38:$K$67,MATCH($A65,Arena!$A$38:$A$67,0),MATCH(""&amp;$B65,Arena!$B$36:$K$36,0)),"n/a")</f>
        <v>2001</v>
      </c>
      <c r="I65" s="136" t="str">
        <f>IFERROR(INDEX(Arena!$B$71:$K$100,MATCH($A65,Arena!$A$71:$A$100,0),MATCH(""&amp;$B65,Arena!$B$69:$K$69,0)),"n/a")</f>
        <v>N</v>
      </c>
      <c r="J65" s="137">
        <f>IF(ISNUMBER($H65),($B65-1)-$H65,"n/a")</f>
        <v>15</v>
      </c>
      <c r="K65" s="108">
        <f>IF($B65=2017,IFERROR(INDEX('Team Performance'!$B$241:$B$270,MATCH($A65,'Team Performance'!$A$241:$A$270,0)),"n/a"),IFERROR(INDEX('Team Performance'!$B$6:$K$35,MATCH($A65,'Team Performance'!$A$6:$A$35,0),MATCH(($B65-2)&amp;"-"&amp;RIGHT($B65-1,2),'Team Performance'!$B$5:$K$5,0)),"n/a"))</f>
        <v>42</v>
      </c>
      <c r="L65" s="108">
        <f>IF($B65=2017,IFERROR(INDEX('Team Performance'!$C$241:$C$270,MATCH($A65,'Team Performance'!$A$241:$A$270,0)),"n/a"),IFERROR(INDEX('Team Performance'!$B$39:$K$68,MATCH($A65,'Team Performance'!$A$39:$A$68,0),MATCH(($B65-2)&amp;"-"&amp;RIGHT($B65-1,2),'Team Performance'!$B$38:$K$38,0)),"n/a"))</f>
        <v>40</v>
      </c>
      <c r="M65" s="109">
        <f t="shared" si="1"/>
        <v>0.51219512195121952</v>
      </c>
      <c r="N65" s="108">
        <f>IF($B65=2017,IFERROR(INDEX('Team Performance'!$E$241:$E$270,MATCH($A65,'Team Performance'!$A$241:$A$270,0)),"n/a"),IFERROR(INDEX('Team Performance'!$B$140:$K$169,MATCH($A65,'Team Performance'!$A$140:$A$169,0),MATCH(($B65-2)&amp;"-"&amp;RIGHT($B65-1,2),'Team Performance'!$B$139:$K$139,0)),"n/a"))</f>
        <v>1</v>
      </c>
      <c r="O65" s="110">
        <f>IF($B65=2017,IFERROR(INDEX('Salary Cap'!$B$143:$B$172,MATCH($A65,'Salary Cap'!$A$143:$A$172,0)),"n/a"),IFERROR(INDEX('Salary Cap'!$B$10:$K$39,MATCH($A65,'Salary Cap'!$A$10:$A$39,0),MATCH(""&amp;($B65-1),'Salary Cap'!$B$9:$K$9,0)),"n/a"))</f>
        <v>73096861</v>
      </c>
      <c r="P65" s="115">
        <f>IF($B65=2017,IFERROR(INDEX('Salary Cap'!$C$143:$C$172,MATCH($A65,'Salary Cap'!$A$143:$A$172,0)),"n/a"),IFERROR(INDEX('Salary Cap'!$B$109:$K$138,MATCH($A65,'Salary Cap'!$A$109:$A$138,0),MATCH(""&amp;($B65-1),'Salary Cap'!$B$108:$K$108,0)),"n/a"))</f>
        <v>0</v>
      </c>
      <c r="Q65" s="138">
        <f>IF(OR($B65=2021,$B65=2022),1,0)</f>
        <v>0</v>
      </c>
    </row>
    <row r="66" spans="1:17" x14ac:dyDescent="0.2">
      <c r="A66" s="113" t="str" cm="1">
        <f t="array" ref="A66">INDEX('NBA Valuations'!$A$5:$A$34,INT((ROW()-5)/10)+1)</f>
        <v>Dallas Mavericks</v>
      </c>
      <c r="B66" s="105">
        <f t="shared" si="0"/>
        <v>2018</v>
      </c>
      <c r="C66" s="106">
        <f>IFERROR(INDEX('NBA Valuations'!$B$5:$K$34,MATCH($A66,'NBA Valuations'!$A$5:$A$34,0),MATCH(""&amp;$B66,'NBA Valuations'!$B$3:$K$3,0)),"n/a")</f>
        <v>1900</v>
      </c>
      <c r="D66" s="106">
        <f>IFERROR(INDEX(Revenue!$B$5:$K$34,MATCH($A66,Revenue!$A$5:$A$34,0),MATCH(""&amp;$B66,Revenue!$B$3:$K$3,0)),"n/a")</f>
        <v>233</v>
      </c>
      <c r="E66" s="106">
        <f>IFERROR(INDEX('Operating Income'!$B$5:$K$34,MATCH($A66,'Operating Income'!$A$5:$A$34,0),MATCH(""&amp;$B66,'Operating Income'!$B$3:$K$3,0)),"n/a")</f>
        <v>21</v>
      </c>
      <c r="F66" s="107">
        <f>IFERROR(INDEX('Market Size'!$L$5:$L$34,MATCH($A66,'Market Size'!$A$5:$A$34,0)),"n/a")</f>
        <v>7667416</v>
      </c>
      <c r="G66" s="108" t="str">
        <f>IFERROR(INDEX('Market Size'!$B$38:$K$67,MATCH($A66,'Market Size'!$A$38:$A$67,0),MATCH(""&amp;($B66-1),'Market Size'!$B$36:$K$36,0)),"n/a")</f>
        <v>n/a</v>
      </c>
      <c r="H66" s="108">
        <f>IFERROR(INDEX(Arena!$B$38:$K$67,MATCH($A66,Arena!$A$38:$A$67,0),MATCH(""&amp;$B66,Arena!$B$36:$K$36,0)),"n/a")</f>
        <v>2001</v>
      </c>
      <c r="I66" s="136" t="str">
        <f>IFERROR(INDEX(Arena!$B$71:$K$100,MATCH($A66,Arena!$A$71:$A$100,0),MATCH(""&amp;$B66,Arena!$B$69:$K$69,0)),"n/a")</f>
        <v>N</v>
      </c>
      <c r="J66" s="137">
        <f>IF(ISNUMBER($H66),($B66-1)-$H66,"n/a")</f>
        <v>16</v>
      </c>
      <c r="K66" s="108">
        <f>IF($B66=2017,IFERROR(INDEX('Team Performance'!$B$241:$B$270,MATCH($A66,'Team Performance'!$A$241:$A$270,0)),"n/a"),IFERROR(INDEX('Team Performance'!$B$6:$K$35,MATCH($A66,'Team Performance'!$A$6:$A$35,0),MATCH(($B66-2)&amp;"-"&amp;RIGHT($B66-1,2),'Team Performance'!$B$5:$K$5,0)),"n/a"))</f>
        <v>33</v>
      </c>
      <c r="L66" s="108">
        <f>IF($B66=2017,IFERROR(INDEX('Team Performance'!$C$241:$C$270,MATCH($A66,'Team Performance'!$A$241:$A$270,0)),"n/a"),IFERROR(INDEX('Team Performance'!$B$39:$K$68,MATCH($A66,'Team Performance'!$A$39:$A$68,0),MATCH(($B66-2)&amp;"-"&amp;RIGHT($B66-1,2),'Team Performance'!$B$38:$K$38,0)),"n/a"))</f>
        <v>49</v>
      </c>
      <c r="M66" s="109">
        <f t="shared" si="1"/>
        <v>0.40243902439024393</v>
      </c>
      <c r="N66" s="108">
        <f>IF($B66=2017,IFERROR(INDEX('Team Performance'!$E$241:$E$270,MATCH($A66,'Team Performance'!$A$241:$A$270,0)),"n/a"),IFERROR(INDEX('Team Performance'!$B$140:$K$169,MATCH($A66,'Team Performance'!$A$140:$A$169,0),MATCH(($B66-2)&amp;"-"&amp;RIGHT($B66-1,2),'Team Performance'!$B$139:$K$139,0)),"n/a"))</f>
        <v>0</v>
      </c>
      <c r="O66" s="110">
        <f>IF($B66=2017,IFERROR(INDEX('Salary Cap'!$B$143:$B$172,MATCH($A66,'Salary Cap'!$A$143:$A$172,0)),"n/a"),IFERROR(INDEX('Salary Cap'!$B$10:$K$39,MATCH($A66,'Salary Cap'!$A$10:$A$39,0),MATCH(""&amp;($B66-1),'Salary Cap'!$B$9:$K$9,0)),"n/a"))</f>
        <v>105673612</v>
      </c>
      <c r="P66" s="115">
        <f>IF($B66=2017,IFERROR(INDEX('Salary Cap'!$C$143:$C$172,MATCH($A66,'Salary Cap'!$A$143:$A$172,0)),"n/a"),IFERROR(INDEX('Salary Cap'!$B$109:$K$138,MATCH($A66,'Salary Cap'!$A$109:$A$138,0),MATCH(""&amp;($B66-1),'Salary Cap'!$B$108:$K$108,0)),"n/a"))</f>
        <v>0</v>
      </c>
      <c r="Q66" s="138">
        <f>IF(OR($B66=2021,$B66=2022),1,0)</f>
        <v>0</v>
      </c>
    </row>
    <row r="67" spans="1:17" x14ac:dyDescent="0.2">
      <c r="A67" s="113" t="str" cm="1">
        <f t="array" ref="A67">INDEX('NBA Valuations'!$A$5:$A$34,INT((ROW()-5)/10)+1)</f>
        <v>Dallas Mavericks</v>
      </c>
      <c r="B67" s="105">
        <f t="shared" si="0"/>
        <v>2019</v>
      </c>
      <c r="C67" s="106">
        <f>IFERROR(INDEX('NBA Valuations'!$B$5:$K$34,MATCH($A67,'NBA Valuations'!$A$5:$A$34,0),MATCH(""&amp;$B67,'NBA Valuations'!$B$3:$K$3,0)),"n/a")</f>
        <v>2300</v>
      </c>
      <c r="D67" s="106">
        <f>IFERROR(INDEX(Revenue!$B$5:$K$34,MATCH($A67,Revenue!$A$5:$A$34,0),MATCH(""&amp;$B67,Revenue!$B$3:$K$3,0)),"n/a")</f>
        <v>287</v>
      </c>
      <c r="E67" s="106">
        <f>IFERROR(INDEX('Operating Income'!$B$5:$K$34,MATCH($A67,'Operating Income'!$A$5:$A$34,0),MATCH(""&amp;$B67,'Operating Income'!$B$3:$K$3,0)),"n/a")</f>
        <v>99</v>
      </c>
      <c r="F67" s="107">
        <f>IFERROR(INDEX('Market Size'!$L$5:$L$34,MATCH($A67,'Market Size'!$A$5:$A$34,0)),"n/a")</f>
        <v>7667416</v>
      </c>
      <c r="G67" s="108" t="str">
        <f>IFERROR(INDEX('Market Size'!$B$38:$K$67,MATCH($A67,'Market Size'!$A$38:$A$67,0),MATCH(""&amp;($B67-1),'Market Size'!$B$36:$K$36,0)),"n/a")</f>
        <v>n/a</v>
      </c>
      <c r="H67" s="108">
        <f>IFERROR(INDEX(Arena!$B$38:$K$67,MATCH($A67,Arena!$A$38:$A$67,0),MATCH(""&amp;$B67,Arena!$B$36:$K$36,0)),"n/a")</f>
        <v>2001</v>
      </c>
      <c r="I67" s="136" t="str">
        <f>IFERROR(INDEX(Arena!$B$71:$K$100,MATCH($A67,Arena!$A$71:$A$100,0),MATCH(""&amp;$B67,Arena!$B$69:$K$69,0)),"n/a")</f>
        <v>N</v>
      </c>
      <c r="J67" s="137">
        <f>IF(ISNUMBER($H67),($B67-1)-$H67,"n/a")</f>
        <v>17</v>
      </c>
      <c r="K67" s="108">
        <f>IF($B67=2017,IFERROR(INDEX('Team Performance'!$B$241:$B$270,MATCH($A67,'Team Performance'!$A$241:$A$270,0)),"n/a"),IFERROR(INDEX('Team Performance'!$B$6:$K$35,MATCH($A67,'Team Performance'!$A$6:$A$35,0),MATCH(($B67-2)&amp;"-"&amp;RIGHT($B67-1,2),'Team Performance'!$B$5:$K$5,0)),"n/a"))</f>
        <v>24</v>
      </c>
      <c r="L67" s="108">
        <f>IF($B67=2017,IFERROR(INDEX('Team Performance'!$C$241:$C$270,MATCH($A67,'Team Performance'!$A$241:$A$270,0)),"n/a"),IFERROR(INDEX('Team Performance'!$B$39:$K$68,MATCH($A67,'Team Performance'!$A$39:$A$68,0),MATCH(($B67-2)&amp;"-"&amp;RIGHT($B67-1,2),'Team Performance'!$B$38:$K$38,0)),"n/a"))</f>
        <v>58</v>
      </c>
      <c r="M67" s="109">
        <f t="shared" si="1"/>
        <v>0.29268292682926828</v>
      </c>
      <c r="N67" s="108">
        <f>IF($B67=2017,IFERROR(INDEX('Team Performance'!$E$241:$E$270,MATCH($A67,'Team Performance'!$A$241:$A$270,0)),"n/a"),IFERROR(INDEX('Team Performance'!$B$140:$K$169,MATCH($A67,'Team Performance'!$A$140:$A$169,0),MATCH(($B67-2)&amp;"-"&amp;RIGHT($B67-1,2),'Team Performance'!$B$139:$K$139,0)),"n/a"))</f>
        <v>0</v>
      </c>
      <c r="O67" s="110">
        <f>IF($B67=2017,IFERROR(INDEX('Salary Cap'!$B$143:$B$172,MATCH($A67,'Salary Cap'!$A$143:$A$172,0)),"n/a"),IFERROR(INDEX('Salary Cap'!$B$10:$K$39,MATCH($A67,'Salary Cap'!$A$10:$A$39,0),MATCH(""&amp;($B67-1),'Salary Cap'!$B$9:$K$9,0)),"n/a"))</f>
        <v>85464575</v>
      </c>
      <c r="P67" s="115">
        <f>IF($B67=2017,IFERROR(INDEX('Salary Cap'!$C$143:$C$172,MATCH($A67,'Salary Cap'!$A$143:$A$172,0)),"n/a"),IFERROR(INDEX('Salary Cap'!$B$109:$K$138,MATCH($A67,'Salary Cap'!$A$109:$A$138,0),MATCH(""&amp;($B67-1),'Salary Cap'!$B$108:$K$108,0)),"n/a"))</f>
        <v>0</v>
      </c>
      <c r="Q67" s="138">
        <f>IF(OR($B67=2021,$B67=2022),1,0)</f>
        <v>0</v>
      </c>
    </row>
    <row r="68" spans="1:17" x14ac:dyDescent="0.2">
      <c r="A68" s="113" t="str" cm="1">
        <f t="array" ref="A68">INDEX('NBA Valuations'!$A$5:$A$34,INT((ROW()-5)/10)+1)</f>
        <v>Dallas Mavericks</v>
      </c>
      <c r="B68" s="105">
        <f t="shared" si="0"/>
        <v>2020</v>
      </c>
      <c r="C68" s="106">
        <f>IFERROR(INDEX('NBA Valuations'!$B$5:$K$34,MATCH($A68,'NBA Valuations'!$A$5:$A$34,0),MATCH(""&amp;$B68,'NBA Valuations'!$B$3:$K$3,0)),"n/a")</f>
        <v>2400</v>
      </c>
      <c r="D68" s="106">
        <f>IFERROR(INDEX(Revenue!$B$5:$K$34,MATCH($A68,Revenue!$A$5:$A$34,0),MATCH(""&amp;$B68,Revenue!$B$3:$K$3,0)),"n/a")</f>
        <v>307</v>
      </c>
      <c r="E68" s="106">
        <f>IFERROR(INDEX('Operating Income'!$B$5:$K$34,MATCH($A68,'Operating Income'!$A$5:$A$34,0),MATCH(""&amp;$B68,'Operating Income'!$B$3:$K$3,0)),"n/a")</f>
        <v>105</v>
      </c>
      <c r="F68" s="107">
        <f>IFERROR(INDEX('Market Size'!$L$5:$L$34,MATCH($A68,'Market Size'!$A$5:$A$34,0)),"n/a")</f>
        <v>7667416</v>
      </c>
      <c r="G68" s="108" t="str">
        <f>IFERROR(INDEX('Market Size'!$B$38:$K$67,MATCH($A68,'Market Size'!$A$38:$A$67,0),MATCH(""&amp;($B68-1),'Market Size'!$B$36:$K$36,0)),"n/a")</f>
        <v>n/a</v>
      </c>
      <c r="H68" s="108">
        <f>IFERROR(INDEX(Arena!$B$38:$K$67,MATCH($A68,Arena!$A$38:$A$67,0),MATCH(""&amp;$B68,Arena!$B$36:$K$36,0)),"n/a")</f>
        <v>2001</v>
      </c>
      <c r="I68" s="136" t="str">
        <f>IFERROR(INDEX(Arena!$B$71:$K$100,MATCH($A68,Arena!$A$71:$A$100,0),MATCH(""&amp;$B68,Arena!$B$69:$K$69,0)),"n/a")</f>
        <v>N</v>
      </c>
      <c r="J68" s="137">
        <f>IF(ISNUMBER($H68),($B68-1)-$H68,"n/a")</f>
        <v>18</v>
      </c>
      <c r="K68" s="108">
        <f>IF($B68=2017,IFERROR(INDEX('Team Performance'!$B$241:$B$270,MATCH($A68,'Team Performance'!$A$241:$A$270,0)),"n/a"),IFERROR(INDEX('Team Performance'!$B$6:$K$35,MATCH($A68,'Team Performance'!$A$6:$A$35,0),MATCH(($B68-2)&amp;"-"&amp;RIGHT($B68-1,2),'Team Performance'!$B$5:$K$5,0)),"n/a"))</f>
        <v>33</v>
      </c>
      <c r="L68" s="108">
        <f>IF($B68=2017,IFERROR(INDEX('Team Performance'!$C$241:$C$270,MATCH($A68,'Team Performance'!$A$241:$A$270,0)),"n/a"),IFERROR(INDEX('Team Performance'!$B$39:$K$68,MATCH($A68,'Team Performance'!$A$39:$A$68,0),MATCH(($B68-2)&amp;"-"&amp;RIGHT($B68-1,2),'Team Performance'!$B$38:$K$38,0)),"n/a"))</f>
        <v>49</v>
      </c>
      <c r="M68" s="109">
        <f t="shared" si="1"/>
        <v>0.40243902439024393</v>
      </c>
      <c r="N68" s="108">
        <f>IF($B68=2017,IFERROR(INDEX('Team Performance'!$E$241:$E$270,MATCH($A68,'Team Performance'!$A$241:$A$270,0)),"n/a"),IFERROR(INDEX('Team Performance'!$B$140:$K$169,MATCH($A68,'Team Performance'!$A$140:$A$169,0),MATCH(($B68-2)&amp;"-"&amp;RIGHT($B68-1,2),'Team Performance'!$B$139:$K$139,0)),"n/a"))</f>
        <v>0</v>
      </c>
      <c r="O68" s="110">
        <f>IF($B68=2017,IFERROR(INDEX('Salary Cap'!$B$143:$B$172,MATCH($A68,'Salary Cap'!$A$143:$A$172,0)),"n/a"),IFERROR(INDEX('Salary Cap'!$B$10:$K$39,MATCH($A68,'Salary Cap'!$A$10:$A$39,0),MATCH(""&amp;($B68-1),'Salary Cap'!$B$9:$K$9,0)),"n/a"))</f>
        <v>88434197</v>
      </c>
      <c r="P68" s="115">
        <f>IF($B68=2017,IFERROR(INDEX('Salary Cap'!$C$143:$C$172,MATCH($A68,'Salary Cap'!$A$143:$A$172,0)),"n/a"),IFERROR(INDEX('Salary Cap'!$B$109:$K$138,MATCH($A68,'Salary Cap'!$A$109:$A$138,0),MATCH(""&amp;($B68-1),'Salary Cap'!$B$108:$K$108,0)),"n/a"))</f>
        <v>0</v>
      </c>
      <c r="Q68" s="138">
        <f>IF(OR($B68=2021,$B68=2022),1,0)</f>
        <v>0</v>
      </c>
    </row>
    <row r="69" spans="1:17" x14ac:dyDescent="0.2">
      <c r="A69" s="113" t="str" cm="1">
        <f t="array" ref="A69">INDEX('NBA Valuations'!$A$5:$A$34,INT((ROW()-5)/10)+1)</f>
        <v>Dallas Mavericks</v>
      </c>
      <c r="B69" s="105">
        <f t="shared" si="0"/>
        <v>2021</v>
      </c>
      <c r="C69" s="106">
        <f>IFERROR(INDEX('NBA Valuations'!$B$5:$K$34,MATCH($A69,'NBA Valuations'!$A$5:$A$34,0),MATCH(""&amp;$B69,'NBA Valuations'!$B$3:$K$3,0)),"n/a")</f>
        <v>2450</v>
      </c>
      <c r="D69" s="106">
        <f>IFERROR(INDEX(Revenue!$B$5:$K$34,MATCH($A69,Revenue!$A$5:$A$34,0),MATCH(""&amp;$B69,Revenue!$B$3:$K$3,0)),"n/a")</f>
        <v>295</v>
      </c>
      <c r="E69" s="106">
        <f>IFERROR(INDEX('Operating Income'!$B$5:$K$34,MATCH($A69,'Operating Income'!$A$5:$A$34,0),MATCH(""&amp;$B69,'Operating Income'!$B$3:$K$3,0)),"n/a")</f>
        <v>84</v>
      </c>
      <c r="F69" s="107">
        <f>IFERROR(INDEX('Market Size'!$L$5:$L$34,MATCH($A69,'Market Size'!$A$5:$A$34,0)),"n/a")</f>
        <v>7667416</v>
      </c>
      <c r="G69" s="108" t="str">
        <f>IFERROR(INDEX('Market Size'!$B$38:$K$67,MATCH($A69,'Market Size'!$A$38:$A$67,0),MATCH(""&amp;($B69-1),'Market Size'!$B$36:$K$36,0)),"n/a")</f>
        <v>n/a</v>
      </c>
      <c r="H69" s="108">
        <f>IFERROR(INDEX(Arena!$B$38:$K$67,MATCH($A69,Arena!$A$38:$A$67,0),MATCH(""&amp;$B69,Arena!$B$36:$K$36,0)),"n/a")</f>
        <v>2001</v>
      </c>
      <c r="I69" s="136" t="str">
        <f>IFERROR(INDEX(Arena!$B$71:$K$100,MATCH($A69,Arena!$A$71:$A$100,0),MATCH(""&amp;$B69,Arena!$B$69:$K$69,0)),"n/a")</f>
        <v>N</v>
      </c>
      <c r="J69" s="137">
        <f>IF(ISNUMBER($H69),($B69-1)-$H69,"n/a")</f>
        <v>19</v>
      </c>
      <c r="K69" s="108">
        <f>IF($B69=2017,IFERROR(INDEX('Team Performance'!$B$241:$B$270,MATCH($A69,'Team Performance'!$A$241:$A$270,0)),"n/a"),IFERROR(INDEX('Team Performance'!$B$6:$K$35,MATCH($A69,'Team Performance'!$A$6:$A$35,0),MATCH(($B69-2)&amp;"-"&amp;RIGHT($B69-1,2),'Team Performance'!$B$5:$K$5,0)),"n/a"))</f>
        <v>43</v>
      </c>
      <c r="L69" s="108">
        <f>IF($B69=2017,IFERROR(INDEX('Team Performance'!$C$241:$C$270,MATCH($A69,'Team Performance'!$A$241:$A$270,0)),"n/a"),IFERROR(INDEX('Team Performance'!$B$39:$K$68,MATCH($A69,'Team Performance'!$A$39:$A$68,0),MATCH(($B69-2)&amp;"-"&amp;RIGHT($B69-1,2),'Team Performance'!$B$38:$K$38,0)),"n/a"))</f>
        <v>32</v>
      </c>
      <c r="M69" s="109">
        <f t="shared" si="1"/>
        <v>0.57333333333333336</v>
      </c>
      <c r="N69" s="108">
        <f>IF($B69=2017,IFERROR(INDEX('Team Performance'!$E$241:$E$270,MATCH($A69,'Team Performance'!$A$241:$A$270,0)),"n/a"),IFERROR(INDEX('Team Performance'!$B$140:$K$169,MATCH($A69,'Team Performance'!$A$140:$A$169,0),MATCH(($B69-2)&amp;"-"&amp;RIGHT($B69-1,2),'Team Performance'!$B$139:$K$139,0)),"n/a"))</f>
        <v>1</v>
      </c>
      <c r="O69" s="110">
        <f>IF($B69=2017,IFERROR(INDEX('Salary Cap'!$B$143:$B$172,MATCH($A69,'Salary Cap'!$A$143:$A$172,0)),"n/a"),IFERROR(INDEX('Salary Cap'!$B$10:$K$39,MATCH($A69,'Salary Cap'!$A$10:$A$39,0),MATCH(""&amp;($B69-1),'Salary Cap'!$B$9:$K$9,0)),"n/a"))</f>
        <v>121299167</v>
      </c>
      <c r="P69" s="115">
        <f>IF($B69=2017,IFERROR(INDEX('Salary Cap'!$C$143:$C$172,MATCH($A69,'Salary Cap'!$A$143:$A$172,0)),"n/a"),IFERROR(INDEX('Salary Cap'!$B$109:$K$138,MATCH($A69,'Salary Cap'!$A$109:$A$138,0),MATCH(""&amp;($B69-1),'Salary Cap'!$B$108:$K$108,0)),"n/a"))</f>
        <v>0</v>
      </c>
      <c r="Q69" s="138">
        <f>IF(OR($B69=2021,$B69=2022),1,0)</f>
        <v>1</v>
      </c>
    </row>
    <row r="70" spans="1:17" x14ac:dyDescent="0.2">
      <c r="A70" s="113" t="str" cm="1">
        <f t="array" ref="A70">INDEX('NBA Valuations'!$A$5:$A$34,INT((ROW()-5)/10)+1)</f>
        <v>Dallas Mavericks</v>
      </c>
      <c r="B70" s="105">
        <f t="shared" ref="B70:B133" si="2">2017+MOD(ROW()-5,10)</f>
        <v>2022</v>
      </c>
      <c r="C70" s="106">
        <f>IFERROR(INDEX('NBA Valuations'!$B$5:$K$34,MATCH($A70,'NBA Valuations'!$A$5:$A$34,0),MATCH(""&amp;$B70,'NBA Valuations'!$B$3:$K$3,0)),"n/a")</f>
        <v>2700</v>
      </c>
      <c r="D70" s="106">
        <f>IFERROR(INDEX(Revenue!$B$5:$K$34,MATCH($A70,Revenue!$A$5:$A$34,0),MATCH(""&amp;$B70,Revenue!$B$3:$K$3,0)),"n/a")</f>
        <v>231</v>
      </c>
      <c r="E70" s="106">
        <f>IFERROR(INDEX('Operating Income'!$B$5:$K$34,MATCH($A70,'Operating Income'!$A$5:$A$34,0),MATCH(""&amp;$B70,'Operating Income'!$B$3:$K$3,0)),"n/a")</f>
        <v>55</v>
      </c>
      <c r="F70" s="107">
        <f>IFERROR(INDEX('Market Size'!$L$5:$L$34,MATCH($A70,'Market Size'!$A$5:$A$34,0)),"n/a")</f>
        <v>7667416</v>
      </c>
      <c r="G70" s="108" t="str">
        <f>IFERROR(INDEX('Market Size'!$B$38:$K$67,MATCH($A70,'Market Size'!$A$38:$A$67,0),MATCH(""&amp;($B70-1),'Market Size'!$B$36:$K$36,0)),"n/a")</f>
        <v>n/a</v>
      </c>
      <c r="H70" s="108">
        <f>IFERROR(INDEX(Arena!$B$38:$K$67,MATCH($A70,Arena!$A$38:$A$67,0),MATCH(""&amp;$B70,Arena!$B$36:$K$36,0)),"n/a")</f>
        <v>2001</v>
      </c>
      <c r="I70" s="136" t="str">
        <f>IFERROR(INDEX(Arena!$B$71:$K$100,MATCH($A70,Arena!$A$71:$A$100,0),MATCH(""&amp;$B70,Arena!$B$69:$K$69,0)),"n/a")</f>
        <v>N</v>
      </c>
      <c r="J70" s="137">
        <f>IF(ISNUMBER($H70),($B70-1)-$H70,"n/a")</f>
        <v>20</v>
      </c>
      <c r="K70" s="108">
        <f>IF($B70=2017,IFERROR(INDEX('Team Performance'!$B$241:$B$270,MATCH($A70,'Team Performance'!$A$241:$A$270,0)),"n/a"),IFERROR(INDEX('Team Performance'!$B$6:$K$35,MATCH($A70,'Team Performance'!$A$6:$A$35,0),MATCH(($B70-2)&amp;"-"&amp;RIGHT($B70-1,2),'Team Performance'!$B$5:$K$5,0)),"n/a"))</f>
        <v>42</v>
      </c>
      <c r="L70" s="108">
        <f>IF($B70=2017,IFERROR(INDEX('Team Performance'!$C$241:$C$270,MATCH($A70,'Team Performance'!$A$241:$A$270,0)),"n/a"),IFERROR(INDEX('Team Performance'!$B$39:$K$68,MATCH($A70,'Team Performance'!$A$39:$A$68,0),MATCH(($B70-2)&amp;"-"&amp;RIGHT($B70-1,2),'Team Performance'!$B$38:$K$38,0)),"n/a"))</f>
        <v>30</v>
      </c>
      <c r="M70" s="109">
        <f t="shared" ref="M70:M133" si="3">IF(AND(ISNUMBER($K70),ISNUMBER($L70)),$K70/($K70+$L70),"n/a")</f>
        <v>0.58333333333333337</v>
      </c>
      <c r="N70" s="108">
        <f>IF($B70=2017,IFERROR(INDEX('Team Performance'!$E$241:$E$270,MATCH($A70,'Team Performance'!$A$241:$A$270,0)),"n/a"),IFERROR(INDEX('Team Performance'!$B$140:$K$169,MATCH($A70,'Team Performance'!$A$140:$A$169,0),MATCH(($B70-2)&amp;"-"&amp;RIGHT($B70-1,2),'Team Performance'!$B$139:$K$139,0)),"n/a"))</f>
        <v>1</v>
      </c>
      <c r="O70" s="110">
        <f>IF($B70=2017,IFERROR(INDEX('Salary Cap'!$B$143:$B$172,MATCH($A70,'Salary Cap'!$A$143:$A$172,0)),"n/a"),IFERROR(INDEX('Salary Cap'!$B$10:$K$39,MATCH($A70,'Salary Cap'!$A$10:$A$39,0),MATCH(""&amp;($B70-1),'Salary Cap'!$B$9:$K$9,0)),"n/a"))</f>
        <v>125815404</v>
      </c>
      <c r="P70" s="115">
        <f>IF($B70=2017,IFERROR(INDEX('Salary Cap'!$C$143:$C$172,MATCH($A70,'Salary Cap'!$A$143:$A$172,0)),"n/a"),IFERROR(INDEX('Salary Cap'!$B$109:$K$138,MATCH($A70,'Salary Cap'!$A$109:$A$138,0),MATCH(""&amp;($B70-1),'Salary Cap'!$B$108:$K$108,0)),"n/a"))</f>
        <v>0</v>
      </c>
      <c r="Q70" s="138">
        <f>IF(OR($B70=2021,$B70=2022),1,0)</f>
        <v>1</v>
      </c>
    </row>
    <row r="71" spans="1:17" x14ac:dyDescent="0.2">
      <c r="A71" s="113" t="str" cm="1">
        <f t="array" ref="A71">INDEX('NBA Valuations'!$A$5:$A$34,INT((ROW()-5)/10)+1)</f>
        <v>Dallas Mavericks</v>
      </c>
      <c r="B71" s="105">
        <f t="shared" si="2"/>
        <v>2023</v>
      </c>
      <c r="C71" s="106">
        <f>IFERROR(INDEX('NBA Valuations'!$B$5:$K$34,MATCH($A71,'NBA Valuations'!$A$5:$A$34,0),MATCH(""&amp;$B71,'NBA Valuations'!$B$3:$K$3,0)),"n/a")</f>
        <v>3300</v>
      </c>
      <c r="D71" s="106">
        <f>IFERROR(INDEX(Revenue!$B$5:$K$34,MATCH($A71,Revenue!$A$5:$A$34,0),MATCH(""&amp;$B71,Revenue!$B$3:$K$3,0)),"n/a")</f>
        <v>364</v>
      </c>
      <c r="E71" s="106">
        <f>IFERROR(INDEX('Operating Income'!$B$5:$K$34,MATCH($A71,'Operating Income'!$A$5:$A$34,0),MATCH(""&amp;$B71,'Operating Income'!$B$3:$K$3,0)),"n/a")</f>
        <v>143</v>
      </c>
      <c r="F71" s="107">
        <f>IFERROR(INDEX('Market Size'!$L$5:$L$34,MATCH($A71,'Market Size'!$A$5:$A$34,0)),"n/a")</f>
        <v>7667416</v>
      </c>
      <c r="G71" s="108" t="str">
        <f>IFERROR(INDEX('Market Size'!$B$38:$K$67,MATCH($A71,'Market Size'!$A$38:$A$67,0),MATCH(""&amp;($B71-1),'Market Size'!$B$36:$K$36,0)),"n/a")</f>
        <v>n/a</v>
      </c>
      <c r="H71" s="108">
        <f>IFERROR(INDEX(Arena!$B$38:$K$67,MATCH($A71,Arena!$A$38:$A$67,0),MATCH(""&amp;$B71,Arena!$B$36:$K$36,0)),"n/a")</f>
        <v>2001</v>
      </c>
      <c r="I71" s="136" t="str">
        <f>IFERROR(INDEX(Arena!$B$71:$K$100,MATCH($A71,Arena!$A$71:$A$100,0),MATCH(""&amp;$B71,Arena!$B$69:$K$69,0)),"n/a")</f>
        <v>N</v>
      </c>
      <c r="J71" s="137">
        <f>IF(ISNUMBER($H71),($B71-1)-$H71,"n/a")</f>
        <v>21</v>
      </c>
      <c r="K71" s="108">
        <f>IF($B71=2017,IFERROR(INDEX('Team Performance'!$B$241:$B$270,MATCH($A71,'Team Performance'!$A$241:$A$270,0)),"n/a"),IFERROR(INDEX('Team Performance'!$B$6:$K$35,MATCH($A71,'Team Performance'!$A$6:$A$35,0),MATCH(($B71-2)&amp;"-"&amp;RIGHT($B71-1,2),'Team Performance'!$B$5:$K$5,0)),"n/a"))</f>
        <v>52</v>
      </c>
      <c r="L71" s="108">
        <f>IF($B71=2017,IFERROR(INDEX('Team Performance'!$C$241:$C$270,MATCH($A71,'Team Performance'!$A$241:$A$270,0)),"n/a"),IFERROR(INDEX('Team Performance'!$B$39:$K$68,MATCH($A71,'Team Performance'!$A$39:$A$68,0),MATCH(($B71-2)&amp;"-"&amp;RIGHT($B71-1,2),'Team Performance'!$B$38:$K$38,0)),"n/a"))</f>
        <v>30</v>
      </c>
      <c r="M71" s="109">
        <f t="shared" si="3"/>
        <v>0.63414634146341464</v>
      </c>
      <c r="N71" s="108">
        <f>IF($B71=2017,IFERROR(INDEX('Team Performance'!$E$241:$E$270,MATCH($A71,'Team Performance'!$A$241:$A$270,0)),"n/a"),IFERROR(INDEX('Team Performance'!$B$140:$K$169,MATCH($A71,'Team Performance'!$A$140:$A$169,0),MATCH(($B71-2)&amp;"-"&amp;RIGHT($B71-1,2),'Team Performance'!$B$139:$K$139,0)),"n/a"))</f>
        <v>3</v>
      </c>
      <c r="O71" s="110">
        <f>IF($B71=2017,IFERROR(INDEX('Salary Cap'!$B$143:$B$172,MATCH($A71,'Salary Cap'!$A$143:$A$172,0)),"n/a"),IFERROR(INDEX('Salary Cap'!$B$10:$K$39,MATCH($A71,'Salary Cap'!$A$10:$A$39,0),MATCH(""&amp;($B71-1),'Salary Cap'!$B$9:$K$9,0)),"n/a"))</f>
        <v>124750009</v>
      </c>
      <c r="P71" s="115">
        <f>IF($B71=2017,IFERROR(INDEX('Salary Cap'!$C$143:$C$172,MATCH($A71,'Salary Cap'!$A$143:$A$172,0)),"n/a"),IFERROR(INDEX('Salary Cap'!$B$109:$K$138,MATCH($A71,'Salary Cap'!$A$109:$A$138,0),MATCH(""&amp;($B71-1),'Salary Cap'!$B$108:$K$108,0)),"n/a"))</f>
        <v>0</v>
      </c>
      <c r="Q71" s="138">
        <f>IF(OR($B71=2021,$B71=2022),1,0)</f>
        <v>0</v>
      </c>
    </row>
    <row r="72" spans="1:17" x14ac:dyDescent="0.2">
      <c r="A72" s="113" t="str" cm="1">
        <f t="array" ref="A72">INDEX('NBA Valuations'!$A$5:$A$34,INT((ROW()-5)/10)+1)</f>
        <v>Dallas Mavericks</v>
      </c>
      <c r="B72" s="105">
        <f t="shared" si="2"/>
        <v>2024</v>
      </c>
      <c r="C72" s="106">
        <f>IFERROR(INDEX('NBA Valuations'!$B$5:$K$34,MATCH($A72,'NBA Valuations'!$A$5:$A$34,0),MATCH(""&amp;$B72,'NBA Valuations'!$B$3:$K$3,0)),"n/a")</f>
        <v>4500</v>
      </c>
      <c r="D72" s="106">
        <f>IFERROR(INDEX(Revenue!$B$5:$K$34,MATCH($A72,Revenue!$A$5:$A$34,0),MATCH(""&amp;$B72,Revenue!$B$3:$K$3,0)),"n/a")</f>
        <v>429</v>
      </c>
      <c r="E72" s="106">
        <f>IFERROR(INDEX('Operating Income'!$B$5:$K$34,MATCH($A72,'Operating Income'!$A$5:$A$34,0),MATCH(""&amp;$B72,'Operating Income'!$B$3:$K$3,0)),"n/a")</f>
        <v>83</v>
      </c>
      <c r="F72" s="107">
        <f>IFERROR(INDEX('Market Size'!$L$5:$L$34,MATCH($A72,'Market Size'!$A$5:$A$34,0)),"n/a")</f>
        <v>7667416</v>
      </c>
      <c r="G72" s="108" t="str">
        <f>IFERROR(INDEX('Market Size'!$B$38:$K$67,MATCH($A72,'Market Size'!$A$38:$A$67,0),MATCH(""&amp;($B72-1),'Market Size'!$B$36:$K$36,0)),"n/a")</f>
        <v>n/a</v>
      </c>
      <c r="H72" s="108">
        <f>IFERROR(INDEX(Arena!$B$38:$K$67,MATCH($A72,Arena!$A$38:$A$67,0),MATCH(""&amp;$B72,Arena!$B$36:$K$36,0)),"n/a")</f>
        <v>2001</v>
      </c>
      <c r="I72" s="136" t="str">
        <f>IFERROR(INDEX(Arena!$B$71:$K$100,MATCH($A72,Arena!$A$71:$A$100,0),MATCH(""&amp;$B72,Arena!$B$69:$K$69,0)),"n/a")</f>
        <v>N</v>
      </c>
      <c r="J72" s="137">
        <f>IF(ISNUMBER($H72),($B72-1)-$H72,"n/a")</f>
        <v>22</v>
      </c>
      <c r="K72" s="108">
        <f>IF($B72=2017,IFERROR(INDEX('Team Performance'!$B$241:$B$270,MATCH($A72,'Team Performance'!$A$241:$A$270,0)),"n/a"),IFERROR(INDEX('Team Performance'!$B$6:$K$35,MATCH($A72,'Team Performance'!$A$6:$A$35,0),MATCH(($B72-2)&amp;"-"&amp;RIGHT($B72-1,2),'Team Performance'!$B$5:$K$5,0)),"n/a"))</f>
        <v>38</v>
      </c>
      <c r="L72" s="108">
        <f>IF($B72=2017,IFERROR(INDEX('Team Performance'!$C$241:$C$270,MATCH($A72,'Team Performance'!$A$241:$A$270,0)),"n/a"),IFERROR(INDEX('Team Performance'!$B$39:$K$68,MATCH($A72,'Team Performance'!$A$39:$A$68,0),MATCH(($B72-2)&amp;"-"&amp;RIGHT($B72-1,2),'Team Performance'!$B$38:$K$38,0)),"n/a"))</f>
        <v>44</v>
      </c>
      <c r="M72" s="109">
        <f t="shared" si="3"/>
        <v>0.46341463414634149</v>
      </c>
      <c r="N72" s="108">
        <f>IF($B72=2017,IFERROR(INDEX('Team Performance'!$E$241:$E$270,MATCH($A72,'Team Performance'!$A$241:$A$270,0)),"n/a"),IFERROR(INDEX('Team Performance'!$B$140:$K$169,MATCH($A72,'Team Performance'!$A$140:$A$169,0),MATCH(($B72-2)&amp;"-"&amp;RIGHT($B72-1,2),'Team Performance'!$B$139:$K$139,0)),"n/a"))</f>
        <v>0</v>
      </c>
      <c r="O72" s="110">
        <f>IF($B72=2017,IFERROR(INDEX('Salary Cap'!$B$143:$B$172,MATCH($A72,'Salary Cap'!$A$143:$A$172,0)),"n/a"),IFERROR(INDEX('Salary Cap'!$B$10:$K$39,MATCH($A72,'Salary Cap'!$A$10:$A$39,0),MATCH(""&amp;($B72-1),'Salary Cap'!$B$9:$K$9,0)),"n/a"))</f>
        <v>173385738</v>
      </c>
      <c r="P72" s="115">
        <f>IF($B72=2017,IFERROR(INDEX('Salary Cap'!$C$143:$C$172,MATCH($A72,'Salary Cap'!$A$143:$A$172,0)),"n/a"),IFERROR(INDEX('Salary Cap'!$B$109:$K$138,MATCH($A72,'Salary Cap'!$A$109:$A$138,0),MATCH(""&amp;($B72-1),'Salary Cap'!$B$108:$K$108,0)),"n/a"))</f>
        <v>56695268</v>
      </c>
      <c r="Q72" s="138">
        <f>IF(OR($B72=2021,$B72=2022),1,0)</f>
        <v>0</v>
      </c>
    </row>
    <row r="73" spans="1:17" x14ac:dyDescent="0.2">
      <c r="A73" s="113" t="str" cm="1">
        <f t="array" ref="A73">INDEX('NBA Valuations'!$A$5:$A$34,INT((ROW()-5)/10)+1)</f>
        <v>Dallas Mavericks</v>
      </c>
      <c r="B73" s="105">
        <f t="shared" si="2"/>
        <v>2025</v>
      </c>
      <c r="C73" s="106">
        <f>IFERROR(INDEX('NBA Valuations'!$B$5:$K$34,MATCH($A73,'NBA Valuations'!$A$5:$A$34,0),MATCH(""&amp;$B73,'NBA Valuations'!$B$3:$K$3,0)),"n/a")</f>
        <v>4700</v>
      </c>
      <c r="D73" s="106">
        <f>IFERROR(INDEX(Revenue!$B$5:$K$34,MATCH($A73,Revenue!$A$5:$A$34,0),MATCH(""&amp;$B73,Revenue!$B$3:$K$3,0)),"n/a")</f>
        <v>437</v>
      </c>
      <c r="E73" s="106">
        <f>IFERROR(INDEX('Operating Income'!$B$5:$K$34,MATCH($A73,'Operating Income'!$A$5:$A$34,0),MATCH(""&amp;$B73,'Operating Income'!$B$3:$K$3,0)),"n/a")</f>
        <v>158</v>
      </c>
      <c r="F73" s="107">
        <f>IFERROR(INDEX('Market Size'!$L$5:$L$34,MATCH($A73,'Market Size'!$A$5:$A$34,0)),"n/a")</f>
        <v>7667416</v>
      </c>
      <c r="G73" s="108">
        <f>IFERROR(INDEX('Market Size'!$B$38:$K$67,MATCH($A73,'Market Size'!$A$38:$A$67,0),MATCH(""&amp;($B73-1),'Market Size'!$B$36:$K$36,0)),"n/a")</f>
        <v>5</v>
      </c>
      <c r="H73" s="108">
        <f>IFERROR(INDEX(Arena!$B$38:$K$67,MATCH($A73,Arena!$A$38:$A$67,0),MATCH(""&amp;$B73,Arena!$B$36:$K$36,0)),"n/a")</f>
        <v>2001</v>
      </c>
      <c r="I73" s="136" t="str">
        <f>IFERROR(INDEX(Arena!$B$71:$K$100,MATCH($A73,Arena!$A$71:$A$100,0),MATCH(""&amp;$B73,Arena!$B$69:$K$69,0)),"n/a")</f>
        <v>N</v>
      </c>
      <c r="J73" s="137">
        <f>IF(ISNUMBER($H73),($B73-1)-$H73,"n/a")</f>
        <v>23</v>
      </c>
      <c r="K73" s="108">
        <f>IF($B73=2017,IFERROR(INDEX('Team Performance'!$B$241:$B$270,MATCH($A73,'Team Performance'!$A$241:$A$270,0)),"n/a"),IFERROR(INDEX('Team Performance'!$B$6:$K$35,MATCH($A73,'Team Performance'!$A$6:$A$35,0),MATCH(($B73-2)&amp;"-"&amp;RIGHT($B73-1,2),'Team Performance'!$B$5:$K$5,0)),"n/a"))</f>
        <v>50</v>
      </c>
      <c r="L73" s="108">
        <f>IF($B73=2017,IFERROR(INDEX('Team Performance'!$C$241:$C$270,MATCH($A73,'Team Performance'!$A$241:$A$270,0)),"n/a"),IFERROR(INDEX('Team Performance'!$B$39:$K$68,MATCH($A73,'Team Performance'!$A$39:$A$68,0),MATCH(($B73-2)&amp;"-"&amp;RIGHT($B73-1,2),'Team Performance'!$B$38:$K$38,0)),"n/a"))</f>
        <v>32</v>
      </c>
      <c r="M73" s="109">
        <f t="shared" si="3"/>
        <v>0.6097560975609756</v>
      </c>
      <c r="N73" s="108">
        <f>IF($B73=2017,IFERROR(INDEX('Team Performance'!$E$241:$E$270,MATCH($A73,'Team Performance'!$A$241:$A$270,0)),"n/a"),IFERROR(INDEX('Team Performance'!$B$140:$K$169,MATCH($A73,'Team Performance'!$A$140:$A$169,0),MATCH(($B73-2)&amp;"-"&amp;RIGHT($B73-1,2),'Team Performance'!$B$139:$K$139,0)),"n/a"))</f>
        <v>4</v>
      </c>
      <c r="O73" s="110">
        <f>IF($B73=2017,IFERROR(INDEX('Salary Cap'!$B$143:$B$172,MATCH($A73,'Salary Cap'!$A$143:$A$172,0)),"n/a"),IFERROR(INDEX('Salary Cap'!$B$10:$K$39,MATCH($A73,'Salary Cap'!$A$10:$A$39,0),MATCH(""&amp;($B73-1),'Salary Cap'!$B$9:$K$9,0)),"n/a"))</f>
        <v>164631111</v>
      </c>
      <c r="P73" s="115">
        <f>IF($B73=2017,IFERROR(INDEX('Salary Cap'!$C$143:$C$172,MATCH($A73,'Salary Cap'!$A$143:$A$172,0)),"n/a"),IFERROR(INDEX('Salary Cap'!$B$109:$K$138,MATCH($A73,'Salary Cap'!$A$109:$A$138,0),MATCH(""&amp;($B73-1),'Salary Cap'!$B$108:$K$108,0)),"n/a"))</f>
        <v>0</v>
      </c>
      <c r="Q73" s="138">
        <f>IF(OR($B73=2021,$B73=2022),1,0)</f>
        <v>0</v>
      </c>
    </row>
    <row r="74" spans="1:17" x14ac:dyDescent="0.2">
      <c r="A74" s="113" t="str" cm="1">
        <f t="array" ref="A74">INDEX('NBA Valuations'!$A$5:$A$34,INT((ROW()-5)/10)+1)</f>
        <v>Dallas Mavericks</v>
      </c>
      <c r="B74" s="105">
        <f t="shared" si="2"/>
        <v>2026</v>
      </c>
      <c r="C74" s="106">
        <f>IFERROR(INDEX('NBA Valuations'!$B$5:$K$34,MATCH($A74,'NBA Valuations'!$A$5:$A$34,0),MATCH(""&amp;$B74,'NBA Valuations'!$B$3:$K$3,0)),"n/a")</f>
        <v>5100</v>
      </c>
      <c r="D74" s="106">
        <f>IFERROR(INDEX(Revenue!$B$5:$K$34,MATCH($A74,Revenue!$A$5:$A$34,0),MATCH(""&amp;$B74,Revenue!$B$3:$K$3,0)),"n/a")</f>
        <v>407</v>
      </c>
      <c r="E74" s="106">
        <f>IFERROR(INDEX('Operating Income'!$B$5:$K$34,MATCH($A74,'Operating Income'!$A$5:$A$34,0),MATCH(""&amp;$B74,'Operating Income'!$B$3:$K$3,0)),"n/a")</f>
        <v>87</v>
      </c>
      <c r="F74" s="107">
        <f>IFERROR(INDEX('Market Size'!$L$5:$L$34,MATCH($A74,'Market Size'!$A$5:$A$34,0)),"n/a")</f>
        <v>7667416</v>
      </c>
      <c r="G74" s="108">
        <f>IFERROR(INDEX('Market Size'!$B$38:$K$67,MATCH($A74,'Market Size'!$A$38:$A$67,0),MATCH(""&amp;($B74-1),'Market Size'!$B$36:$K$36,0)),"n/a")</f>
        <v>4</v>
      </c>
      <c r="H74" s="108">
        <f>IFERROR(INDEX(Arena!$B$38:$K$67,MATCH($A74,Arena!$A$38:$A$67,0),MATCH(""&amp;$B74,Arena!$B$36:$K$36,0)),"n/a")</f>
        <v>2001</v>
      </c>
      <c r="I74" s="136" t="str">
        <f>IFERROR(INDEX(Arena!$B$71:$K$100,MATCH($A74,Arena!$A$71:$A$100,0),MATCH(""&amp;$B74,Arena!$B$69:$K$69,0)),"n/a")</f>
        <v>N</v>
      </c>
      <c r="J74" s="137">
        <f>IF(ISNUMBER($H74),($B74-1)-$H74,"n/a")</f>
        <v>24</v>
      </c>
      <c r="K74" s="108">
        <f>IF($B74=2017,IFERROR(INDEX('Team Performance'!$B$241:$B$270,MATCH($A74,'Team Performance'!$A$241:$A$270,0)),"n/a"),IFERROR(INDEX('Team Performance'!$B$6:$K$35,MATCH($A74,'Team Performance'!$A$6:$A$35,0),MATCH(($B74-2)&amp;"-"&amp;RIGHT($B74-1,2),'Team Performance'!$B$5:$K$5,0)),"n/a"))</f>
        <v>39</v>
      </c>
      <c r="L74" s="108">
        <f>IF($B74=2017,IFERROR(INDEX('Team Performance'!$C$241:$C$270,MATCH($A74,'Team Performance'!$A$241:$A$270,0)),"n/a"),IFERROR(INDEX('Team Performance'!$B$39:$K$68,MATCH($A74,'Team Performance'!$A$39:$A$68,0),MATCH(($B74-2)&amp;"-"&amp;RIGHT($B74-1,2),'Team Performance'!$B$38:$K$38,0)),"n/a"))</f>
        <v>43</v>
      </c>
      <c r="M74" s="109">
        <f t="shared" si="3"/>
        <v>0.47560975609756095</v>
      </c>
      <c r="N74" s="108">
        <f>IF($B74=2017,IFERROR(INDEX('Team Performance'!$E$241:$E$270,MATCH($A74,'Team Performance'!$A$241:$A$270,0)),"n/a"),IFERROR(INDEX('Team Performance'!$B$140:$K$169,MATCH($A74,'Team Performance'!$A$140:$A$169,0),MATCH(($B74-2)&amp;"-"&amp;RIGHT($B74-1,2),'Team Performance'!$B$139:$K$139,0)),"n/a"))</f>
        <v>0</v>
      </c>
      <c r="O74" s="110">
        <f>IF($B74=2017,IFERROR(INDEX('Salary Cap'!$B$143:$B$172,MATCH($A74,'Salary Cap'!$A$143:$A$172,0)),"n/a"),IFERROR(INDEX('Salary Cap'!$B$10:$K$39,MATCH($A74,'Salary Cap'!$A$10:$A$39,0),MATCH(""&amp;($B74-1),'Salary Cap'!$B$9:$K$9,0)),"n/a"))</f>
        <v>174243724</v>
      </c>
      <c r="P74" s="115">
        <f>IF($B74=2017,IFERROR(INDEX('Salary Cap'!$C$143:$C$172,MATCH($A74,'Salary Cap'!$A$143:$A$172,0)),"n/a"),IFERROR(INDEX('Salary Cap'!$B$109:$K$138,MATCH($A74,'Salary Cap'!$A$109:$A$138,0),MATCH(""&amp;($B74-1),'Salary Cap'!$B$108:$K$108,0)),"n/a"))</f>
        <v>5144586</v>
      </c>
      <c r="Q74" s="138">
        <f>IF(OR($B74=2021,$B74=2022),1,0)</f>
        <v>0</v>
      </c>
    </row>
    <row r="75" spans="1:17" x14ac:dyDescent="0.2">
      <c r="A75" s="113" t="str" cm="1">
        <f t="array" ref="A75">INDEX('NBA Valuations'!$A$5:$A$34,INT((ROW()-5)/10)+1)</f>
        <v>Denver Nuggets</v>
      </c>
      <c r="B75" s="105">
        <f t="shared" si="2"/>
        <v>2017</v>
      </c>
      <c r="C75" s="106">
        <f>IFERROR(INDEX('NBA Valuations'!$B$5:$K$34,MATCH($A75,'NBA Valuations'!$A$5:$A$34,0),MATCH(""&amp;$B75,'NBA Valuations'!$B$3:$K$3,0)),"n/a")</f>
        <v>890</v>
      </c>
      <c r="D75" s="106">
        <f>IFERROR(INDEX(Revenue!$B$5:$K$34,MATCH($A75,Revenue!$A$5:$A$34,0),MATCH(""&amp;$B75,Revenue!$B$3:$K$3,0)),"n/a")</f>
        <v>157</v>
      </c>
      <c r="E75" s="106">
        <f>IFERROR(INDEX('Operating Income'!$B$5:$K$34,MATCH($A75,'Operating Income'!$A$5:$A$34,0),MATCH(""&amp;$B75,'Operating Income'!$B$3:$K$3,0)),"n/a")</f>
        <v>21.2</v>
      </c>
      <c r="F75" s="107">
        <f>IFERROR(INDEX('Market Size'!$L$5:$L$34,MATCH($A75,'Market Size'!$A$5:$A$34,0)),"n/a")</f>
        <v>2970099</v>
      </c>
      <c r="G75" s="108" t="str">
        <f>IFERROR(INDEX('Market Size'!$B$38:$K$67,MATCH($A75,'Market Size'!$A$38:$A$67,0),MATCH(""&amp;($B75-1),'Market Size'!$B$36:$K$36,0)),"n/a")</f>
        <v>n/a</v>
      </c>
      <c r="H75" s="108">
        <f>IFERROR(INDEX(Arena!$B$38:$K$67,MATCH($A75,Arena!$A$38:$A$67,0),MATCH(""&amp;$B75,Arena!$B$36:$K$36,0)),"n/a")</f>
        <v>1999</v>
      </c>
      <c r="I75" s="136" t="str">
        <f>IFERROR(INDEX(Arena!$B$71:$K$100,MATCH($A75,Arena!$A$71:$A$100,0),MATCH(""&amp;$B75,Arena!$B$69:$K$69,0)),"n/a")</f>
        <v>Y</v>
      </c>
      <c r="J75" s="137">
        <f>IF(ISNUMBER($H75),($B75-1)-$H75,"n/a")</f>
        <v>17</v>
      </c>
      <c r="K75" s="108">
        <f>IF($B75=2017,IFERROR(INDEX('Team Performance'!$B$241:$B$270,MATCH($A75,'Team Performance'!$A$241:$A$270,0)),"n/a"),IFERROR(INDEX('Team Performance'!$B$6:$K$35,MATCH($A75,'Team Performance'!$A$6:$A$35,0),MATCH(($B75-2)&amp;"-"&amp;RIGHT($B75-1,2),'Team Performance'!$B$5:$K$5,0)),"n/a"))</f>
        <v>33</v>
      </c>
      <c r="L75" s="108">
        <f>IF($B75=2017,IFERROR(INDEX('Team Performance'!$C$241:$C$270,MATCH($A75,'Team Performance'!$A$241:$A$270,0)),"n/a"),IFERROR(INDEX('Team Performance'!$B$39:$K$68,MATCH($A75,'Team Performance'!$A$39:$A$68,0),MATCH(($B75-2)&amp;"-"&amp;RIGHT($B75-1,2),'Team Performance'!$B$38:$K$38,0)),"n/a"))</f>
        <v>49</v>
      </c>
      <c r="M75" s="109">
        <f t="shared" si="3"/>
        <v>0.40243902439024393</v>
      </c>
      <c r="N75" s="108">
        <f>IF($B75=2017,IFERROR(INDEX('Team Performance'!$E$241:$E$270,MATCH($A75,'Team Performance'!$A$241:$A$270,0)),"n/a"),IFERROR(INDEX('Team Performance'!$B$140:$K$169,MATCH($A75,'Team Performance'!$A$140:$A$169,0),MATCH(($B75-2)&amp;"-"&amp;RIGHT($B75-1,2),'Team Performance'!$B$139:$K$139,0)),"n/a"))</f>
        <v>0</v>
      </c>
      <c r="O75" s="110">
        <f>IF($B75=2017,IFERROR(INDEX('Salary Cap'!$B$143:$B$172,MATCH($A75,'Salary Cap'!$A$143:$A$172,0)),"n/a"),IFERROR(INDEX('Salary Cap'!$B$10:$K$39,MATCH($A75,'Salary Cap'!$A$10:$A$39,0),MATCH(""&amp;($B75-1),'Salary Cap'!$B$9:$K$9,0)),"n/a"))</f>
        <v>71448753</v>
      </c>
      <c r="P75" s="115">
        <f>IF($B75=2017,IFERROR(INDEX('Salary Cap'!$C$143:$C$172,MATCH($A75,'Salary Cap'!$A$143:$A$172,0)),"n/a"),IFERROR(INDEX('Salary Cap'!$B$109:$K$138,MATCH($A75,'Salary Cap'!$A$109:$A$138,0),MATCH(""&amp;($B75-1),'Salary Cap'!$B$108:$K$108,0)),"n/a"))</f>
        <v>0</v>
      </c>
      <c r="Q75" s="138">
        <f>IF(OR($B75=2021,$B75=2022),1,0)</f>
        <v>0</v>
      </c>
    </row>
    <row r="76" spans="1:17" x14ac:dyDescent="0.2">
      <c r="A76" s="113" t="str" cm="1">
        <f t="array" ref="A76">INDEX('NBA Valuations'!$A$5:$A$34,INT((ROW()-5)/10)+1)</f>
        <v>Denver Nuggets</v>
      </c>
      <c r="B76" s="105">
        <f t="shared" si="2"/>
        <v>2018</v>
      </c>
      <c r="C76" s="106">
        <f>IFERROR(INDEX('NBA Valuations'!$B$5:$K$34,MATCH($A76,'NBA Valuations'!$A$5:$A$34,0),MATCH(""&amp;$B76,'NBA Valuations'!$B$3:$K$3,0)),"n/a")</f>
        <v>1100</v>
      </c>
      <c r="D76" s="106">
        <f>IFERROR(INDEX(Revenue!$B$5:$K$34,MATCH($A76,Revenue!$A$5:$A$34,0),MATCH(""&amp;$B76,Revenue!$B$3:$K$3,0)),"n/a")</f>
        <v>202</v>
      </c>
      <c r="E76" s="106">
        <f>IFERROR(INDEX('Operating Income'!$B$5:$K$34,MATCH($A76,'Operating Income'!$A$5:$A$34,0),MATCH(""&amp;$B76,'Operating Income'!$B$3:$K$3,0)),"n/a")</f>
        <v>49</v>
      </c>
      <c r="F76" s="107">
        <f>IFERROR(INDEX('Market Size'!$L$5:$L$34,MATCH($A76,'Market Size'!$A$5:$A$34,0)),"n/a")</f>
        <v>2970099</v>
      </c>
      <c r="G76" s="108" t="str">
        <f>IFERROR(INDEX('Market Size'!$B$38:$K$67,MATCH($A76,'Market Size'!$A$38:$A$67,0),MATCH(""&amp;($B76-1),'Market Size'!$B$36:$K$36,0)),"n/a")</f>
        <v>n/a</v>
      </c>
      <c r="H76" s="108">
        <f>IFERROR(INDEX(Arena!$B$38:$K$67,MATCH($A76,Arena!$A$38:$A$67,0),MATCH(""&amp;$B76,Arena!$B$36:$K$36,0)),"n/a")</f>
        <v>1999</v>
      </c>
      <c r="I76" s="136" t="str">
        <f>IFERROR(INDEX(Arena!$B$71:$K$100,MATCH($A76,Arena!$A$71:$A$100,0),MATCH(""&amp;$B76,Arena!$B$69:$K$69,0)),"n/a")</f>
        <v>Y</v>
      </c>
      <c r="J76" s="137">
        <f>IF(ISNUMBER($H76),($B76-1)-$H76,"n/a")</f>
        <v>18</v>
      </c>
      <c r="K76" s="108">
        <f>IF($B76=2017,IFERROR(INDEX('Team Performance'!$B$241:$B$270,MATCH($A76,'Team Performance'!$A$241:$A$270,0)),"n/a"),IFERROR(INDEX('Team Performance'!$B$6:$K$35,MATCH($A76,'Team Performance'!$A$6:$A$35,0),MATCH(($B76-2)&amp;"-"&amp;RIGHT($B76-1,2),'Team Performance'!$B$5:$K$5,0)),"n/a"))</f>
        <v>40</v>
      </c>
      <c r="L76" s="108">
        <f>IF($B76=2017,IFERROR(INDEX('Team Performance'!$C$241:$C$270,MATCH($A76,'Team Performance'!$A$241:$A$270,0)),"n/a"),IFERROR(INDEX('Team Performance'!$B$39:$K$68,MATCH($A76,'Team Performance'!$A$39:$A$68,0),MATCH(($B76-2)&amp;"-"&amp;RIGHT($B76-1,2),'Team Performance'!$B$38:$K$38,0)),"n/a"))</f>
        <v>42</v>
      </c>
      <c r="M76" s="109">
        <f t="shared" si="3"/>
        <v>0.48780487804878048</v>
      </c>
      <c r="N76" s="108">
        <f>IF($B76=2017,IFERROR(INDEX('Team Performance'!$E$241:$E$270,MATCH($A76,'Team Performance'!$A$241:$A$270,0)),"n/a"),IFERROR(INDEX('Team Performance'!$B$140:$K$169,MATCH($A76,'Team Performance'!$A$140:$A$169,0),MATCH(($B76-2)&amp;"-"&amp;RIGHT($B76-1,2),'Team Performance'!$B$139:$K$139,0)),"n/a"))</f>
        <v>0</v>
      </c>
      <c r="O76" s="110">
        <f>IF($B76=2017,IFERROR(INDEX('Salary Cap'!$B$143:$B$172,MATCH($A76,'Salary Cap'!$A$143:$A$172,0)),"n/a"),IFERROR(INDEX('Salary Cap'!$B$10:$K$39,MATCH($A76,'Salary Cap'!$A$10:$A$39,0),MATCH(""&amp;($B76-1),'Salary Cap'!$B$9:$K$9,0)),"n/a"))</f>
        <v>82581936</v>
      </c>
      <c r="P76" s="115">
        <f>IF($B76=2017,IFERROR(INDEX('Salary Cap'!$C$143:$C$172,MATCH($A76,'Salary Cap'!$A$143:$A$172,0)),"n/a"),IFERROR(INDEX('Salary Cap'!$B$109:$K$138,MATCH($A76,'Salary Cap'!$A$109:$A$138,0),MATCH(""&amp;($B76-1),'Salary Cap'!$B$108:$K$108,0)),"n/a"))</f>
        <v>0</v>
      </c>
      <c r="Q76" s="138">
        <f>IF(OR($B76=2021,$B76=2022),1,0)</f>
        <v>0</v>
      </c>
    </row>
    <row r="77" spans="1:17" x14ac:dyDescent="0.2">
      <c r="A77" s="113" t="str" cm="1">
        <f t="array" ref="A77">INDEX('NBA Valuations'!$A$5:$A$34,INT((ROW()-5)/10)+1)</f>
        <v>Denver Nuggets</v>
      </c>
      <c r="B77" s="105">
        <f t="shared" si="2"/>
        <v>2019</v>
      </c>
      <c r="C77" s="106">
        <f>IFERROR(INDEX('NBA Valuations'!$B$5:$K$34,MATCH($A77,'NBA Valuations'!$A$5:$A$34,0),MATCH(""&amp;$B77,'NBA Valuations'!$B$3:$K$3,0)),"n/a")</f>
        <v>1400</v>
      </c>
      <c r="D77" s="106">
        <f>IFERROR(INDEX(Revenue!$B$5:$K$34,MATCH($A77,Revenue!$A$5:$A$34,0),MATCH(""&amp;$B77,Revenue!$B$3:$K$3,0)),"n/a")</f>
        <v>222</v>
      </c>
      <c r="E77" s="106">
        <f>IFERROR(INDEX('Operating Income'!$B$5:$K$34,MATCH($A77,'Operating Income'!$A$5:$A$34,0),MATCH(""&amp;$B77,'Operating Income'!$B$3:$K$3,0)),"n/a")</f>
        <v>47</v>
      </c>
      <c r="F77" s="107">
        <f>IFERROR(INDEX('Market Size'!$L$5:$L$34,MATCH($A77,'Market Size'!$A$5:$A$34,0)),"n/a")</f>
        <v>2970099</v>
      </c>
      <c r="G77" s="108" t="str">
        <f>IFERROR(INDEX('Market Size'!$B$38:$K$67,MATCH($A77,'Market Size'!$A$38:$A$67,0),MATCH(""&amp;($B77-1),'Market Size'!$B$36:$K$36,0)),"n/a")</f>
        <v>n/a</v>
      </c>
      <c r="H77" s="108">
        <f>IFERROR(INDEX(Arena!$B$38:$K$67,MATCH($A77,Arena!$A$38:$A$67,0),MATCH(""&amp;$B77,Arena!$B$36:$K$36,0)),"n/a")</f>
        <v>1999</v>
      </c>
      <c r="I77" s="136" t="str">
        <f>IFERROR(INDEX(Arena!$B$71:$K$100,MATCH($A77,Arena!$A$71:$A$100,0),MATCH(""&amp;$B77,Arena!$B$69:$K$69,0)),"n/a")</f>
        <v>Y</v>
      </c>
      <c r="J77" s="137">
        <f>IF(ISNUMBER($H77),($B77-1)-$H77,"n/a")</f>
        <v>19</v>
      </c>
      <c r="K77" s="108">
        <f>IF($B77=2017,IFERROR(INDEX('Team Performance'!$B$241:$B$270,MATCH($A77,'Team Performance'!$A$241:$A$270,0)),"n/a"),IFERROR(INDEX('Team Performance'!$B$6:$K$35,MATCH($A77,'Team Performance'!$A$6:$A$35,0),MATCH(($B77-2)&amp;"-"&amp;RIGHT($B77-1,2),'Team Performance'!$B$5:$K$5,0)),"n/a"))</f>
        <v>46</v>
      </c>
      <c r="L77" s="108">
        <f>IF($B77=2017,IFERROR(INDEX('Team Performance'!$C$241:$C$270,MATCH($A77,'Team Performance'!$A$241:$A$270,0)),"n/a"),IFERROR(INDEX('Team Performance'!$B$39:$K$68,MATCH($A77,'Team Performance'!$A$39:$A$68,0),MATCH(($B77-2)&amp;"-"&amp;RIGHT($B77-1,2),'Team Performance'!$B$38:$K$38,0)),"n/a"))</f>
        <v>36</v>
      </c>
      <c r="M77" s="109">
        <f t="shared" si="3"/>
        <v>0.56097560975609762</v>
      </c>
      <c r="N77" s="108">
        <f>IF($B77=2017,IFERROR(INDEX('Team Performance'!$E$241:$E$270,MATCH($A77,'Team Performance'!$A$241:$A$270,0)),"n/a"),IFERROR(INDEX('Team Performance'!$B$140:$K$169,MATCH($A77,'Team Performance'!$A$140:$A$169,0),MATCH(($B77-2)&amp;"-"&amp;RIGHT($B77-1,2),'Team Performance'!$B$139:$K$139,0)),"n/a"))</f>
        <v>0</v>
      </c>
      <c r="O77" s="110">
        <f>IF($B77=2017,IFERROR(INDEX('Salary Cap'!$B$143:$B$172,MATCH($A77,'Salary Cap'!$A$143:$A$172,0)),"n/a"),IFERROR(INDEX('Salary Cap'!$B$10:$K$39,MATCH($A77,'Salary Cap'!$A$10:$A$39,0),MATCH(""&amp;($B77-1),'Salary Cap'!$B$9:$K$9,0)),"n/a"))</f>
        <v>106515203</v>
      </c>
      <c r="P77" s="115">
        <f>IF($B77=2017,IFERROR(INDEX('Salary Cap'!$C$143:$C$172,MATCH($A77,'Salary Cap'!$A$143:$A$172,0)),"n/a"),IFERROR(INDEX('Salary Cap'!$B$109:$K$138,MATCH($A77,'Salary Cap'!$A$109:$A$138,0),MATCH(""&amp;($B77-1),'Salary Cap'!$B$108:$K$108,0)),"n/a"))</f>
        <v>0</v>
      </c>
      <c r="Q77" s="138">
        <f>IF(OR($B77=2021,$B77=2022),1,0)</f>
        <v>0</v>
      </c>
    </row>
    <row r="78" spans="1:17" x14ac:dyDescent="0.2">
      <c r="A78" s="113" t="str" cm="1">
        <f t="array" ref="A78">INDEX('NBA Valuations'!$A$5:$A$34,INT((ROW()-5)/10)+1)</f>
        <v>Denver Nuggets</v>
      </c>
      <c r="B78" s="105">
        <f t="shared" si="2"/>
        <v>2020</v>
      </c>
      <c r="C78" s="106">
        <f>IFERROR(INDEX('NBA Valuations'!$B$5:$K$34,MATCH($A78,'NBA Valuations'!$A$5:$A$34,0),MATCH(""&amp;$B78,'NBA Valuations'!$B$3:$K$3,0)),"n/a")</f>
        <v>1600</v>
      </c>
      <c r="D78" s="106">
        <f>IFERROR(INDEX(Revenue!$B$5:$K$34,MATCH($A78,Revenue!$A$5:$A$34,0),MATCH(""&amp;$B78,Revenue!$B$3:$K$3,0)),"n/a")</f>
        <v>252</v>
      </c>
      <c r="E78" s="106">
        <f>IFERROR(INDEX('Operating Income'!$B$5:$K$34,MATCH($A78,'Operating Income'!$A$5:$A$34,0),MATCH(""&amp;$B78,'Operating Income'!$B$3:$K$3,0)),"n/a")</f>
        <v>52</v>
      </c>
      <c r="F78" s="107">
        <f>IFERROR(INDEX('Market Size'!$L$5:$L$34,MATCH($A78,'Market Size'!$A$5:$A$34,0)),"n/a")</f>
        <v>2970099</v>
      </c>
      <c r="G78" s="108" t="str">
        <f>IFERROR(INDEX('Market Size'!$B$38:$K$67,MATCH($A78,'Market Size'!$A$38:$A$67,0),MATCH(""&amp;($B78-1),'Market Size'!$B$36:$K$36,0)),"n/a")</f>
        <v>n/a</v>
      </c>
      <c r="H78" s="108">
        <f>IFERROR(INDEX(Arena!$B$38:$K$67,MATCH($A78,Arena!$A$38:$A$67,0),MATCH(""&amp;$B78,Arena!$B$36:$K$36,0)),"n/a")</f>
        <v>1999</v>
      </c>
      <c r="I78" s="136" t="str">
        <f>IFERROR(INDEX(Arena!$B$71:$K$100,MATCH($A78,Arena!$A$71:$A$100,0),MATCH(""&amp;$B78,Arena!$B$69:$K$69,0)),"n/a")</f>
        <v>Y</v>
      </c>
      <c r="J78" s="137">
        <f>IF(ISNUMBER($H78),($B78-1)-$H78,"n/a")</f>
        <v>20</v>
      </c>
      <c r="K78" s="108">
        <f>IF($B78=2017,IFERROR(INDEX('Team Performance'!$B$241:$B$270,MATCH($A78,'Team Performance'!$A$241:$A$270,0)),"n/a"),IFERROR(INDEX('Team Performance'!$B$6:$K$35,MATCH($A78,'Team Performance'!$A$6:$A$35,0),MATCH(($B78-2)&amp;"-"&amp;RIGHT($B78-1,2),'Team Performance'!$B$5:$K$5,0)),"n/a"))</f>
        <v>54</v>
      </c>
      <c r="L78" s="108">
        <f>IF($B78=2017,IFERROR(INDEX('Team Performance'!$C$241:$C$270,MATCH($A78,'Team Performance'!$A$241:$A$270,0)),"n/a"),IFERROR(INDEX('Team Performance'!$B$39:$K$68,MATCH($A78,'Team Performance'!$A$39:$A$68,0),MATCH(($B78-2)&amp;"-"&amp;RIGHT($B78-1,2),'Team Performance'!$B$38:$K$38,0)),"n/a"))</f>
        <v>28</v>
      </c>
      <c r="M78" s="109">
        <f t="shared" si="3"/>
        <v>0.65853658536585369</v>
      </c>
      <c r="N78" s="108">
        <f>IF($B78=2017,IFERROR(INDEX('Team Performance'!$E$241:$E$270,MATCH($A78,'Team Performance'!$A$241:$A$270,0)),"n/a"),IFERROR(INDEX('Team Performance'!$B$140:$K$169,MATCH($A78,'Team Performance'!$A$140:$A$169,0),MATCH(($B78-2)&amp;"-"&amp;RIGHT($B78-1,2),'Team Performance'!$B$139:$K$139,0)),"n/a"))</f>
        <v>2</v>
      </c>
      <c r="O78" s="110">
        <f>IF($B78=2017,IFERROR(INDEX('Salary Cap'!$B$143:$B$172,MATCH($A78,'Salary Cap'!$A$143:$A$172,0)),"n/a"),IFERROR(INDEX('Salary Cap'!$B$10:$K$39,MATCH($A78,'Salary Cap'!$A$10:$A$39,0),MATCH(""&amp;($B78-1),'Salary Cap'!$B$9:$K$9,0)),"n/a"))</f>
        <v>116799912</v>
      </c>
      <c r="P78" s="115">
        <f>IF($B78=2017,IFERROR(INDEX('Salary Cap'!$C$143:$C$172,MATCH($A78,'Salary Cap'!$A$143:$A$172,0)),"n/a"),IFERROR(INDEX('Salary Cap'!$B$109:$K$138,MATCH($A78,'Salary Cap'!$A$109:$A$138,0),MATCH(""&amp;($B78-1),'Salary Cap'!$B$108:$K$108,0)),"n/a"))</f>
        <v>0</v>
      </c>
      <c r="Q78" s="138">
        <f>IF(OR($B78=2021,$B78=2022),1,0)</f>
        <v>0</v>
      </c>
    </row>
    <row r="79" spans="1:17" x14ac:dyDescent="0.2">
      <c r="A79" s="113" t="str" cm="1">
        <f t="array" ref="A79">INDEX('NBA Valuations'!$A$5:$A$34,INT((ROW()-5)/10)+1)</f>
        <v>Denver Nuggets</v>
      </c>
      <c r="B79" s="105">
        <f t="shared" si="2"/>
        <v>2021</v>
      </c>
      <c r="C79" s="106">
        <f>IFERROR(INDEX('NBA Valuations'!$B$5:$K$34,MATCH($A79,'NBA Valuations'!$A$5:$A$34,0),MATCH(""&amp;$B79,'NBA Valuations'!$B$3:$K$3,0)),"n/a")</f>
        <v>1650</v>
      </c>
      <c r="D79" s="106">
        <f>IFERROR(INDEX(Revenue!$B$5:$K$34,MATCH($A79,Revenue!$A$5:$A$34,0),MATCH(""&amp;$B79,Revenue!$B$3:$K$3,0)),"n/a")</f>
        <v>218</v>
      </c>
      <c r="E79" s="106">
        <f>IFERROR(INDEX('Operating Income'!$B$5:$K$34,MATCH($A79,'Operating Income'!$A$5:$A$34,0),MATCH(""&amp;$B79,'Operating Income'!$B$3:$K$3,0)),"n/a")</f>
        <v>27</v>
      </c>
      <c r="F79" s="107">
        <f>IFERROR(INDEX('Market Size'!$L$5:$L$34,MATCH($A79,'Market Size'!$A$5:$A$34,0)),"n/a")</f>
        <v>2970099</v>
      </c>
      <c r="G79" s="108" t="str">
        <f>IFERROR(INDEX('Market Size'!$B$38:$K$67,MATCH($A79,'Market Size'!$A$38:$A$67,0),MATCH(""&amp;($B79-1),'Market Size'!$B$36:$K$36,0)),"n/a")</f>
        <v>n/a</v>
      </c>
      <c r="H79" s="108">
        <f>IFERROR(INDEX(Arena!$B$38:$K$67,MATCH($A79,Arena!$A$38:$A$67,0),MATCH(""&amp;$B79,Arena!$B$36:$K$36,0)),"n/a")</f>
        <v>1999</v>
      </c>
      <c r="I79" s="136" t="str">
        <f>IFERROR(INDEX(Arena!$B$71:$K$100,MATCH($A79,Arena!$A$71:$A$100,0),MATCH(""&amp;$B79,Arena!$B$69:$K$69,0)),"n/a")</f>
        <v>Y</v>
      </c>
      <c r="J79" s="137">
        <f>IF(ISNUMBER($H79),($B79-1)-$H79,"n/a")</f>
        <v>21</v>
      </c>
      <c r="K79" s="108">
        <f>IF($B79=2017,IFERROR(INDEX('Team Performance'!$B$241:$B$270,MATCH($A79,'Team Performance'!$A$241:$A$270,0)),"n/a"),IFERROR(INDEX('Team Performance'!$B$6:$K$35,MATCH($A79,'Team Performance'!$A$6:$A$35,0),MATCH(($B79-2)&amp;"-"&amp;RIGHT($B79-1,2),'Team Performance'!$B$5:$K$5,0)),"n/a"))</f>
        <v>46</v>
      </c>
      <c r="L79" s="108">
        <f>IF($B79=2017,IFERROR(INDEX('Team Performance'!$C$241:$C$270,MATCH($A79,'Team Performance'!$A$241:$A$270,0)),"n/a"),IFERROR(INDEX('Team Performance'!$B$39:$K$68,MATCH($A79,'Team Performance'!$A$39:$A$68,0),MATCH(($B79-2)&amp;"-"&amp;RIGHT($B79-1,2),'Team Performance'!$B$38:$K$38,0)),"n/a"))</f>
        <v>27</v>
      </c>
      <c r="M79" s="109">
        <f t="shared" si="3"/>
        <v>0.63013698630136983</v>
      </c>
      <c r="N79" s="108">
        <f>IF($B79=2017,IFERROR(INDEX('Team Performance'!$E$241:$E$270,MATCH($A79,'Team Performance'!$A$241:$A$270,0)),"n/a"),IFERROR(INDEX('Team Performance'!$B$140:$K$169,MATCH($A79,'Team Performance'!$A$140:$A$169,0),MATCH(($B79-2)&amp;"-"&amp;RIGHT($B79-1,2),'Team Performance'!$B$139:$K$139,0)),"n/a"))</f>
        <v>3</v>
      </c>
      <c r="O79" s="110">
        <f>IF($B79=2017,IFERROR(INDEX('Salary Cap'!$B$143:$B$172,MATCH($A79,'Salary Cap'!$A$143:$A$172,0)),"n/a"),IFERROR(INDEX('Salary Cap'!$B$10:$K$39,MATCH($A79,'Salary Cap'!$A$10:$A$39,0),MATCH(""&amp;($B79-1),'Salary Cap'!$B$9:$K$9,0)),"n/a"))</f>
        <v>130263965</v>
      </c>
      <c r="P79" s="115">
        <f>IF($B79=2017,IFERROR(INDEX('Salary Cap'!$C$143:$C$172,MATCH($A79,'Salary Cap'!$A$143:$A$172,0)),"n/a"),IFERROR(INDEX('Salary Cap'!$B$109:$K$138,MATCH($A79,'Salary Cap'!$A$109:$A$138,0),MATCH(""&amp;($B79-1),'Salary Cap'!$B$108:$K$108,0)),"n/a"))</f>
        <v>0</v>
      </c>
      <c r="Q79" s="138">
        <f>IF(OR($B79=2021,$B79=2022),1,0)</f>
        <v>1</v>
      </c>
    </row>
    <row r="80" spans="1:17" x14ac:dyDescent="0.2">
      <c r="A80" s="113" t="str" cm="1">
        <f t="array" ref="A80">INDEX('NBA Valuations'!$A$5:$A$34,INT((ROW()-5)/10)+1)</f>
        <v>Denver Nuggets</v>
      </c>
      <c r="B80" s="105">
        <f t="shared" si="2"/>
        <v>2022</v>
      </c>
      <c r="C80" s="106">
        <f>IFERROR(INDEX('NBA Valuations'!$B$5:$K$34,MATCH($A80,'NBA Valuations'!$A$5:$A$34,0),MATCH(""&amp;$B80,'NBA Valuations'!$B$3:$K$3,0)),"n/a")</f>
        <v>1730</v>
      </c>
      <c r="D80" s="106">
        <f>IFERROR(INDEX(Revenue!$B$5:$K$34,MATCH($A80,Revenue!$A$5:$A$34,0),MATCH(""&amp;$B80,Revenue!$B$3:$K$3,0)),"n/a")</f>
        <v>185</v>
      </c>
      <c r="E80" s="106">
        <f>IFERROR(INDEX('Operating Income'!$B$5:$K$34,MATCH($A80,'Operating Income'!$A$5:$A$34,0),MATCH(""&amp;$B80,'Operating Income'!$B$3:$K$3,0)),"n/a")</f>
        <v>15</v>
      </c>
      <c r="F80" s="107">
        <f>IFERROR(INDEX('Market Size'!$L$5:$L$34,MATCH($A80,'Market Size'!$A$5:$A$34,0)),"n/a")</f>
        <v>2970099</v>
      </c>
      <c r="G80" s="108" t="str">
        <f>IFERROR(INDEX('Market Size'!$B$38:$K$67,MATCH($A80,'Market Size'!$A$38:$A$67,0),MATCH(""&amp;($B80-1),'Market Size'!$B$36:$K$36,0)),"n/a")</f>
        <v>n/a</v>
      </c>
      <c r="H80" s="108">
        <f>IFERROR(INDEX(Arena!$B$38:$K$67,MATCH($A80,Arena!$A$38:$A$67,0),MATCH(""&amp;$B80,Arena!$B$36:$K$36,0)),"n/a")</f>
        <v>1999</v>
      </c>
      <c r="I80" s="136" t="str">
        <f>IFERROR(INDEX(Arena!$B$71:$K$100,MATCH($A80,Arena!$A$71:$A$100,0),MATCH(""&amp;$B80,Arena!$B$69:$K$69,0)),"n/a")</f>
        <v>Y</v>
      </c>
      <c r="J80" s="137">
        <f>IF(ISNUMBER($H80),($B80-1)-$H80,"n/a")</f>
        <v>22</v>
      </c>
      <c r="K80" s="108">
        <f>IF($B80=2017,IFERROR(INDEX('Team Performance'!$B$241:$B$270,MATCH($A80,'Team Performance'!$A$241:$A$270,0)),"n/a"),IFERROR(INDEX('Team Performance'!$B$6:$K$35,MATCH($A80,'Team Performance'!$A$6:$A$35,0),MATCH(($B80-2)&amp;"-"&amp;RIGHT($B80-1,2),'Team Performance'!$B$5:$K$5,0)),"n/a"))</f>
        <v>47</v>
      </c>
      <c r="L80" s="108">
        <f>IF($B80=2017,IFERROR(INDEX('Team Performance'!$C$241:$C$270,MATCH($A80,'Team Performance'!$A$241:$A$270,0)),"n/a"),IFERROR(INDEX('Team Performance'!$B$39:$K$68,MATCH($A80,'Team Performance'!$A$39:$A$68,0),MATCH(($B80-2)&amp;"-"&amp;RIGHT($B80-1,2),'Team Performance'!$B$38:$K$38,0)),"n/a"))</f>
        <v>25</v>
      </c>
      <c r="M80" s="109">
        <f t="shared" si="3"/>
        <v>0.65277777777777779</v>
      </c>
      <c r="N80" s="108">
        <f>IF($B80=2017,IFERROR(INDEX('Team Performance'!$E$241:$E$270,MATCH($A80,'Team Performance'!$A$241:$A$270,0)),"n/a"),IFERROR(INDEX('Team Performance'!$B$140:$K$169,MATCH($A80,'Team Performance'!$A$140:$A$169,0),MATCH(($B80-2)&amp;"-"&amp;RIGHT($B80-1,2),'Team Performance'!$B$139:$K$139,0)),"n/a"))</f>
        <v>2</v>
      </c>
      <c r="O80" s="110">
        <f>IF($B80=2017,IFERROR(INDEX('Salary Cap'!$B$143:$B$172,MATCH($A80,'Salary Cap'!$A$143:$A$172,0)),"n/a"),IFERROR(INDEX('Salary Cap'!$B$10:$K$39,MATCH($A80,'Salary Cap'!$A$10:$A$39,0),MATCH(""&amp;($B80-1),'Salary Cap'!$B$9:$K$9,0)),"n/a"))</f>
        <v>128579406</v>
      </c>
      <c r="P80" s="115">
        <f>IF($B80=2017,IFERROR(INDEX('Salary Cap'!$C$143:$C$172,MATCH($A80,'Salary Cap'!$A$143:$A$172,0)),"n/a"),IFERROR(INDEX('Salary Cap'!$B$109:$K$138,MATCH($A80,'Salary Cap'!$A$109:$A$138,0),MATCH(""&amp;($B80-1),'Salary Cap'!$B$108:$K$108,0)),"n/a"))</f>
        <v>0</v>
      </c>
      <c r="Q80" s="138">
        <f>IF(OR($B80=2021,$B80=2022),1,0)</f>
        <v>1</v>
      </c>
    </row>
    <row r="81" spans="1:17" x14ac:dyDescent="0.2">
      <c r="A81" s="113" t="str" cm="1">
        <f t="array" ref="A81">INDEX('NBA Valuations'!$A$5:$A$34,INT((ROW()-5)/10)+1)</f>
        <v>Denver Nuggets</v>
      </c>
      <c r="B81" s="105">
        <f t="shared" si="2"/>
        <v>2023</v>
      </c>
      <c r="C81" s="106">
        <f>IFERROR(INDEX('NBA Valuations'!$B$5:$K$34,MATCH($A81,'NBA Valuations'!$A$5:$A$34,0),MATCH(""&amp;$B81,'NBA Valuations'!$B$3:$K$3,0)),"n/a")</f>
        <v>1930</v>
      </c>
      <c r="D81" s="106">
        <f>IFERROR(INDEX(Revenue!$B$5:$K$34,MATCH($A81,Revenue!$A$5:$A$34,0),MATCH(""&amp;$B81,Revenue!$B$3:$K$3,0)),"n/a")</f>
        <v>273</v>
      </c>
      <c r="E81" s="106">
        <f>IFERROR(INDEX('Operating Income'!$B$5:$K$34,MATCH($A81,'Operating Income'!$A$5:$A$34,0),MATCH(""&amp;$B81,'Operating Income'!$B$3:$K$3,0)),"n/a")</f>
        <v>67</v>
      </c>
      <c r="F81" s="107">
        <f>IFERROR(INDEX('Market Size'!$L$5:$L$34,MATCH($A81,'Market Size'!$A$5:$A$34,0)),"n/a")</f>
        <v>2970099</v>
      </c>
      <c r="G81" s="108" t="str">
        <f>IFERROR(INDEX('Market Size'!$B$38:$K$67,MATCH($A81,'Market Size'!$A$38:$A$67,0),MATCH(""&amp;($B81-1),'Market Size'!$B$36:$K$36,0)),"n/a")</f>
        <v>n/a</v>
      </c>
      <c r="H81" s="108">
        <f>IFERROR(INDEX(Arena!$B$38:$K$67,MATCH($A81,Arena!$A$38:$A$67,0),MATCH(""&amp;$B81,Arena!$B$36:$K$36,0)),"n/a")</f>
        <v>1999</v>
      </c>
      <c r="I81" s="136" t="str">
        <f>IFERROR(INDEX(Arena!$B$71:$K$100,MATCH($A81,Arena!$A$71:$A$100,0),MATCH(""&amp;$B81,Arena!$B$69:$K$69,0)),"n/a")</f>
        <v>Y</v>
      </c>
      <c r="J81" s="137">
        <f>IF(ISNUMBER($H81),($B81-1)-$H81,"n/a")</f>
        <v>23</v>
      </c>
      <c r="K81" s="108">
        <f>IF($B81=2017,IFERROR(INDEX('Team Performance'!$B$241:$B$270,MATCH($A81,'Team Performance'!$A$241:$A$270,0)),"n/a"),IFERROR(INDEX('Team Performance'!$B$6:$K$35,MATCH($A81,'Team Performance'!$A$6:$A$35,0),MATCH(($B81-2)&amp;"-"&amp;RIGHT($B81-1,2),'Team Performance'!$B$5:$K$5,0)),"n/a"))</f>
        <v>48</v>
      </c>
      <c r="L81" s="108">
        <f>IF($B81=2017,IFERROR(INDEX('Team Performance'!$C$241:$C$270,MATCH($A81,'Team Performance'!$A$241:$A$270,0)),"n/a"),IFERROR(INDEX('Team Performance'!$B$39:$K$68,MATCH($A81,'Team Performance'!$A$39:$A$68,0),MATCH(($B81-2)&amp;"-"&amp;RIGHT($B81-1,2),'Team Performance'!$B$38:$K$38,0)),"n/a"))</f>
        <v>34</v>
      </c>
      <c r="M81" s="109">
        <f t="shared" si="3"/>
        <v>0.58536585365853655</v>
      </c>
      <c r="N81" s="108">
        <f>IF($B81=2017,IFERROR(INDEX('Team Performance'!$E$241:$E$270,MATCH($A81,'Team Performance'!$A$241:$A$270,0)),"n/a"),IFERROR(INDEX('Team Performance'!$B$140:$K$169,MATCH($A81,'Team Performance'!$A$140:$A$169,0),MATCH(($B81-2)&amp;"-"&amp;RIGHT($B81-1,2),'Team Performance'!$B$139:$K$139,0)),"n/a"))</f>
        <v>1</v>
      </c>
      <c r="O81" s="110">
        <f>IF($B81=2017,IFERROR(INDEX('Salary Cap'!$B$143:$B$172,MATCH($A81,'Salary Cap'!$A$143:$A$172,0)),"n/a"),IFERROR(INDEX('Salary Cap'!$B$10:$K$39,MATCH($A81,'Salary Cap'!$A$10:$A$39,0),MATCH(""&amp;($B81-1),'Salary Cap'!$B$9:$K$9,0)),"n/a"))</f>
        <v>136054862</v>
      </c>
      <c r="P81" s="115">
        <f>IF($B81=2017,IFERROR(INDEX('Salary Cap'!$C$143:$C$172,MATCH($A81,'Salary Cap'!$A$143:$A$172,0)),"n/a"),IFERROR(INDEX('Salary Cap'!$B$109:$K$138,MATCH($A81,'Salary Cap'!$A$109:$A$138,0),MATCH(""&amp;($B81-1),'Salary Cap'!$B$108:$K$108,0)),"n/a"))</f>
        <v>0</v>
      </c>
      <c r="Q81" s="138">
        <f>IF(OR($B81=2021,$B81=2022),1,0)</f>
        <v>0</v>
      </c>
    </row>
    <row r="82" spans="1:17" x14ac:dyDescent="0.2">
      <c r="A82" s="113" t="str" cm="1">
        <f t="array" ref="A82">INDEX('NBA Valuations'!$A$5:$A$34,INT((ROW()-5)/10)+1)</f>
        <v>Denver Nuggets</v>
      </c>
      <c r="B82" s="105">
        <f t="shared" si="2"/>
        <v>2024</v>
      </c>
      <c r="C82" s="106">
        <f>IFERROR(INDEX('NBA Valuations'!$B$5:$K$34,MATCH($A82,'NBA Valuations'!$A$5:$A$34,0),MATCH(""&amp;$B82,'NBA Valuations'!$B$3:$K$3,0)),"n/a")</f>
        <v>3370</v>
      </c>
      <c r="D82" s="106">
        <f>IFERROR(INDEX(Revenue!$B$5:$K$34,MATCH($A82,Revenue!$A$5:$A$34,0),MATCH(""&amp;$B82,Revenue!$B$3:$K$3,0)),"n/a")</f>
        <v>348</v>
      </c>
      <c r="E82" s="106">
        <f>IFERROR(INDEX('Operating Income'!$B$5:$K$34,MATCH($A82,'Operating Income'!$A$5:$A$34,0),MATCH(""&amp;$B82,'Operating Income'!$B$3:$K$3,0)),"n/a")</f>
        <v>71</v>
      </c>
      <c r="F82" s="107">
        <f>IFERROR(INDEX('Market Size'!$L$5:$L$34,MATCH($A82,'Market Size'!$A$5:$A$34,0)),"n/a")</f>
        <v>2970099</v>
      </c>
      <c r="G82" s="108" t="str">
        <f>IFERROR(INDEX('Market Size'!$B$38:$K$67,MATCH($A82,'Market Size'!$A$38:$A$67,0),MATCH(""&amp;($B82-1),'Market Size'!$B$36:$K$36,0)),"n/a")</f>
        <v>n/a</v>
      </c>
      <c r="H82" s="108">
        <f>IFERROR(INDEX(Arena!$B$38:$K$67,MATCH($A82,Arena!$A$38:$A$67,0),MATCH(""&amp;$B82,Arena!$B$36:$K$36,0)),"n/a")</f>
        <v>1999</v>
      </c>
      <c r="I82" s="136" t="str">
        <f>IFERROR(INDEX(Arena!$B$71:$K$100,MATCH($A82,Arena!$A$71:$A$100,0),MATCH(""&amp;$B82,Arena!$B$69:$K$69,0)),"n/a")</f>
        <v>Y</v>
      </c>
      <c r="J82" s="137">
        <f>IF(ISNUMBER($H82),($B82-1)-$H82,"n/a")</f>
        <v>24</v>
      </c>
      <c r="K82" s="108">
        <f>IF($B82=2017,IFERROR(INDEX('Team Performance'!$B$241:$B$270,MATCH($A82,'Team Performance'!$A$241:$A$270,0)),"n/a"),IFERROR(INDEX('Team Performance'!$B$6:$K$35,MATCH($A82,'Team Performance'!$A$6:$A$35,0),MATCH(($B82-2)&amp;"-"&amp;RIGHT($B82-1,2),'Team Performance'!$B$5:$K$5,0)),"n/a"))</f>
        <v>53</v>
      </c>
      <c r="L82" s="108">
        <f>IF($B82=2017,IFERROR(INDEX('Team Performance'!$C$241:$C$270,MATCH($A82,'Team Performance'!$A$241:$A$270,0)),"n/a"),IFERROR(INDEX('Team Performance'!$B$39:$K$68,MATCH($A82,'Team Performance'!$A$39:$A$68,0),MATCH(($B82-2)&amp;"-"&amp;RIGHT($B82-1,2),'Team Performance'!$B$38:$K$38,0)),"n/a"))</f>
        <v>29</v>
      </c>
      <c r="M82" s="109">
        <f t="shared" si="3"/>
        <v>0.64634146341463417</v>
      </c>
      <c r="N82" s="108">
        <f>IF($B82=2017,IFERROR(INDEX('Team Performance'!$E$241:$E$270,MATCH($A82,'Team Performance'!$A$241:$A$270,0)),"n/a"),IFERROR(INDEX('Team Performance'!$B$140:$K$169,MATCH($A82,'Team Performance'!$A$140:$A$169,0),MATCH(($B82-2)&amp;"-"&amp;RIGHT($B82-1,2),'Team Performance'!$B$139:$K$139,0)),"n/a"))</f>
        <v>5</v>
      </c>
      <c r="O82" s="110">
        <f>IF($B82=2017,IFERROR(INDEX('Salary Cap'!$B$143:$B$172,MATCH($A82,'Salary Cap'!$A$143:$A$172,0)),"n/a"),IFERROR(INDEX('Salary Cap'!$B$10:$K$39,MATCH($A82,'Salary Cap'!$A$10:$A$39,0),MATCH(""&amp;($B82-1),'Salary Cap'!$B$9:$K$9,0)),"n/a"))</f>
        <v>160688004</v>
      </c>
      <c r="P82" s="115">
        <f>IF($B82=2017,IFERROR(INDEX('Salary Cap'!$C$143:$C$172,MATCH($A82,'Salary Cap'!$A$143:$A$172,0)),"n/a"),IFERROR(INDEX('Salary Cap'!$B$109:$K$138,MATCH($A82,'Salary Cap'!$A$109:$A$138,0),MATCH(""&amp;($B82-1),'Salary Cap'!$B$108:$K$108,0)),"n/a"))</f>
        <v>17302510</v>
      </c>
      <c r="Q82" s="138">
        <f>IF(OR($B82=2021,$B82=2022),1,0)</f>
        <v>0</v>
      </c>
    </row>
    <row r="83" spans="1:17" x14ac:dyDescent="0.2">
      <c r="A83" s="113" t="str" cm="1">
        <f t="array" ref="A83">INDEX('NBA Valuations'!$A$5:$A$34,INT((ROW()-5)/10)+1)</f>
        <v>Denver Nuggets</v>
      </c>
      <c r="B83" s="105">
        <f t="shared" si="2"/>
        <v>2025</v>
      </c>
      <c r="C83" s="106">
        <f>IFERROR(INDEX('NBA Valuations'!$B$5:$K$34,MATCH($A83,'NBA Valuations'!$A$5:$A$34,0),MATCH(""&amp;$B83,'NBA Valuations'!$B$3:$K$3,0)),"n/a")</f>
        <v>3900</v>
      </c>
      <c r="D83" s="106">
        <f>IFERROR(INDEX(Revenue!$B$5:$K$34,MATCH($A83,Revenue!$A$5:$A$34,0),MATCH(""&amp;$B83,Revenue!$B$3:$K$3,0)),"n/a")</f>
        <v>356</v>
      </c>
      <c r="E83" s="106">
        <f>IFERROR(INDEX('Operating Income'!$B$5:$K$34,MATCH($A83,'Operating Income'!$A$5:$A$34,0),MATCH(""&amp;$B83,'Operating Income'!$B$3:$K$3,0)),"n/a")</f>
        <v>57</v>
      </c>
      <c r="F83" s="107">
        <f>IFERROR(INDEX('Market Size'!$L$5:$L$34,MATCH($A83,'Market Size'!$A$5:$A$34,0)),"n/a")</f>
        <v>2970099</v>
      </c>
      <c r="G83" s="108">
        <f>IFERROR(INDEX('Market Size'!$B$38:$K$67,MATCH($A83,'Market Size'!$A$38:$A$67,0),MATCH(""&amp;($B83-1),'Market Size'!$B$36:$K$36,0)),"n/a")</f>
        <v>16</v>
      </c>
      <c r="H83" s="108">
        <f>IFERROR(INDEX(Arena!$B$38:$K$67,MATCH($A83,Arena!$A$38:$A$67,0),MATCH(""&amp;$B83,Arena!$B$36:$K$36,0)),"n/a")</f>
        <v>1999</v>
      </c>
      <c r="I83" s="136" t="str">
        <f>IFERROR(INDEX(Arena!$B$71:$K$100,MATCH($A83,Arena!$A$71:$A$100,0),MATCH(""&amp;$B83,Arena!$B$69:$K$69,0)),"n/a")</f>
        <v>Y</v>
      </c>
      <c r="J83" s="137">
        <f>IF(ISNUMBER($H83),($B83-1)-$H83,"n/a")</f>
        <v>25</v>
      </c>
      <c r="K83" s="108">
        <f>IF($B83=2017,IFERROR(INDEX('Team Performance'!$B$241:$B$270,MATCH($A83,'Team Performance'!$A$241:$A$270,0)),"n/a"),IFERROR(INDEX('Team Performance'!$B$6:$K$35,MATCH($A83,'Team Performance'!$A$6:$A$35,0),MATCH(($B83-2)&amp;"-"&amp;RIGHT($B83-1,2),'Team Performance'!$B$5:$K$5,0)),"n/a"))</f>
        <v>57</v>
      </c>
      <c r="L83" s="108">
        <f>IF($B83=2017,IFERROR(INDEX('Team Performance'!$C$241:$C$270,MATCH($A83,'Team Performance'!$A$241:$A$270,0)),"n/a"),IFERROR(INDEX('Team Performance'!$B$39:$K$68,MATCH($A83,'Team Performance'!$A$39:$A$68,0),MATCH(($B83-2)&amp;"-"&amp;RIGHT($B83-1,2),'Team Performance'!$B$38:$K$38,0)),"n/a"))</f>
        <v>25</v>
      </c>
      <c r="M83" s="109">
        <f t="shared" si="3"/>
        <v>0.69512195121951215</v>
      </c>
      <c r="N83" s="108">
        <f>IF($B83=2017,IFERROR(INDEX('Team Performance'!$E$241:$E$270,MATCH($A83,'Team Performance'!$A$241:$A$270,0)),"n/a"),IFERROR(INDEX('Team Performance'!$B$140:$K$169,MATCH($A83,'Team Performance'!$A$140:$A$169,0),MATCH(($B83-2)&amp;"-"&amp;RIGHT($B83-1,2),'Team Performance'!$B$139:$K$139,0)),"n/a"))</f>
        <v>2</v>
      </c>
      <c r="O83" s="110">
        <f>IF($B83=2017,IFERROR(INDEX('Salary Cap'!$B$143:$B$172,MATCH($A83,'Salary Cap'!$A$143:$A$172,0)),"n/a"),IFERROR(INDEX('Salary Cap'!$B$10:$K$39,MATCH($A83,'Salary Cap'!$A$10:$A$39,0),MATCH(""&amp;($B83-1),'Salary Cap'!$B$9:$K$9,0)),"n/a"))</f>
        <v>176890198</v>
      </c>
      <c r="P83" s="115">
        <f>IF($B83=2017,IFERROR(INDEX('Salary Cap'!$C$143:$C$172,MATCH($A83,'Salary Cap'!$A$143:$A$172,0)),"n/a"),IFERROR(INDEX('Salary Cap'!$B$109:$K$138,MATCH($A83,'Salary Cap'!$A$109:$A$138,0),MATCH(""&amp;($B83-1),'Salary Cap'!$B$108:$K$108,0)),"n/a"))</f>
        <v>20240495</v>
      </c>
      <c r="Q83" s="138">
        <f>IF(OR($B83=2021,$B83=2022),1,0)</f>
        <v>0</v>
      </c>
    </row>
    <row r="84" spans="1:17" x14ac:dyDescent="0.2">
      <c r="A84" s="113" t="str" cm="1">
        <f t="array" ref="A84">INDEX('NBA Valuations'!$A$5:$A$34,INT((ROW()-5)/10)+1)</f>
        <v>Denver Nuggets</v>
      </c>
      <c r="B84" s="105">
        <f t="shared" si="2"/>
        <v>2026</v>
      </c>
      <c r="C84" s="106">
        <f>IFERROR(INDEX('NBA Valuations'!$B$5:$K$34,MATCH($A84,'NBA Valuations'!$A$5:$A$34,0),MATCH(""&amp;$B84,'NBA Valuations'!$B$3:$K$3,0)),"n/a")</f>
        <v>4600</v>
      </c>
      <c r="D84" s="106">
        <f>IFERROR(INDEX(Revenue!$B$5:$K$34,MATCH($A84,Revenue!$A$5:$A$34,0),MATCH(""&amp;$B84,Revenue!$B$3:$K$3,0)),"n/a")</f>
        <v>364</v>
      </c>
      <c r="E84" s="106">
        <f>IFERROR(INDEX('Operating Income'!$B$5:$K$34,MATCH($A84,'Operating Income'!$A$5:$A$34,0),MATCH(""&amp;$B84,'Operating Income'!$B$3:$K$3,0)),"n/a")</f>
        <v>67</v>
      </c>
      <c r="F84" s="107">
        <f>IFERROR(INDEX('Market Size'!$L$5:$L$34,MATCH($A84,'Market Size'!$A$5:$A$34,0)),"n/a")</f>
        <v>2970099</v>
      </c>
      <c r="G84" s="108">
        <f>IFERROR(INDEX('Market Size'!$B$38:$K$67,MATCH($A84,'Market Size'!$A$38:$A$67,0),MATCH(""&amp;($B84-1),'Market Size'!$B$36:$K$36,0)),"n/a")</f>
        <v>17</v>
      </c>
      <c r="H84" s="108">
        <f>IFERROR(INDEX(Arena!$B$38:$K$67,MATCH($A84,Arena!$A$38:$A$67,0),MATCH(""&amp;$B84,Arena!$B$36:$K$36,0)),"n/a")</f>
        <v>1999</v>
      </c>
      <c r="I84" s="136" t="str">
        <f>IFERROR(INDEX(Arena!$B$71:$K$100,MATCH($A84,Arena!$A$71:$A$100,0),MATCH(""&amp;$B84,Arena!$B$69:$K$69,0)),"n/a")</f>
        <v>Y</v>
      </c>
      <c r="J84" s="137">
        <f>IF(ISNUMBER($H84),($B84-1)-$H84,"n/a")</f>
        <v>26</v>
      </c>
      <c r="K84" s="108">
        <f>IF($B84=2017,IFERROR(INDEX('Team Performance'!$B$241:$B$270,MATCH($A84,'Team Performance'!$A$241:$A$270,0)),"n/a"),IFERROR(INDEX('Team Performance'!$B$6:$K$35,MATCH($A84,'Team Performance'!$A$6:$A$35,0),MATCH(($B84-2)&amp;"-"&amp;RIGHT($B84-1,2),'Team Performance'!$B$5:$K$5,0)),"n/a"))</f>
        <v>50</v>
      </c>
      <c r="L84" s="108">
        <f>IF($B84=2017,IFERROR(INDEX('Team Performance'!$C$241:$C$270,MATCH($A84,'Team Performance'!$A$241:$A$270,0)),"n/a"),IFERROR(INDEX('Team Performance'!$B$39:$K$68,MATCH($A84,'Team Performance'!$A$39:$A$68,0),MATCH(($B84-2)&amp;"-"&amp;RIGHT($B84-1,2),'Team Performance'!$B$38:$K$38,0)),"n/a"))</f>
        <v>32</v>
      </c>
      <c r="M84" s="109">
        <f t="shared" si="3"/>
        <v>0.6097560975609756</v>
      </c>
      <c r="N84" s="108">
        <f>IF($B84=2017,IFERROR(INDEX('Team Performance'!$E$241:$E$270,MATCH($A84,'Team Performance'!$A$241:$A$270,0)),"n/a"),IFERROR(INDEX('Team Performance'!$B$140:$K$169,MATCH($A84,'Team Performance'!$A$140:$A$169,0),MATCH(($B84-2)&amp;"-"&amp;RIGHT($B84-1,2),'Team Performance'!$B$139:$K$139,0)),"n/a"))</f>
        <v>2</v>
      </c>
      <c r="O84" s="110">
        <f>IF($B84=2017,IFERROR(INDEX('Salary Cap'!$B$143:$B$172,MATCH($A84,'Salary Cap'!$A$143:$A$172,0)),"n/a"),IFERROR(INDEX('Salary Cap'!$B$10:$K$39,MATCH($A84,'Salary Cap'!$A$10:$A$39,0),MATCH(""&amp;($B84-1),'Salary Cap'!$B$9:$K$9,0)),"n/a"))</f>
        <v>182574315</v>
      </c>
      <c r="P84" s="115">
        <f>IF($B84=2017,IFERROR(INDEX('Salary Cap'!$C$143:$C$172,MATCH($A84,'Salary Cap'!$A$143:$A$172,0)),"n/a"),IFERROR(INDEX('Salary Cap'!$B$109:$K$138,MATCH($A84,'Salary Cap'!$A$109:$A$138,0),MATCH(""&amp;($B84-1),'Salary Cap'!$B$108:$K$108,0)),"n/a"))</f>
        <v>20356788</v>
      </c>
      <c r="Q84" s="138">
        <f>IF(OR($B84=2021,$B84=2022),1,0)</f>
        <v>0</v>
      </c>
    </row>
    <row r="85" spans="1:17" x14ac:dyDescent="0.2">
      <c r="A85" s="113" t="str" cm="1">
        <f t="array" ref="A85">INDEX('NBA Valuations'!$A$5:$A$34,INT((ROW()-5)/10)+1)</f>
        <v>Detroit Pistons</v>
      </c>
      <c r="B85" s="105">
        <f t="shared" si="2"/>
        <v>2017</v>
      </c>
      <c r="C85" s="106">
        <f>IFERROR(INDEX('NBA Valuations'!$B$5:$K$34,MATCH($A85,'NBA Valuations'!$A$5:$A$34,0),MATCH(""&amp;$B85,'NBA Valuations'!$B$3:$K$3,0)),"n/a")</f>
        <v>900</v>
      </c>
      <c r="D85" s="106">
        <f>IFERROR(INDEX(Revenue!$B$5:$K$34,MATCH($A85,Revenue!$A$5:$A$34,0),MATCH(""&amp;$B85,Revenue!$B$3:$K$3,0)),"n/a")</f>
        <v>172</v>
      </c>
      <c r="E85" s="106">
        <f>IFERROR(INDEX('Operating Income'!$B$5:$K$34,MATCH($A85,'Operating Income'!$A$5:$A$34,0),MATCH(""&amp;$B85,'Operating Income'!$B$3:$K$3,0)),"n/a")</f>
        <v>21.8</v>
      </c>
      <c r="F85" s="107">
        <f>IFERROR(INDEX('Market Size'!$L$5:$L$34,MATCH($A85,'Market Size'!$A$5:$A$34,0)),"n/a")</f>
        <v>4385353</v>
      </c>
      <c r="G85" s="108" t="str">
        <f>IFERROR(INDEX('Market Size'!$B$38:$K$67,MATCH($A85,'Market Size'!$A$38:$A$67,0),MATCH(""&amp;($B85-1),'Market Size'!$B$36:$K$36,0)),"n/a")</f>
        <v>n/a</v>
      </c>
      <c r="H85" s="108">
        <f>IFERROR(INDEX(Arena!$B$38:$K$67,MATCH($A85,Arena!$A$38:$A$67,0),MATCH(""&amp;$B85,Arena!$B$36:$K$36,0)),"n/a")</f>
        <v>1988</v>
      </c>
      <c r="I85" s="136" t="str">
        <f>IFERROR(INDEX(Arena!$B$71:$K$100,MATCH($A85,Arena!$A$71:$A$100,0),MATCH(""&amp;$B85,Arena!$B$69:$K$69,0)),"n/a")</f>
        <v>Y</v>
      </c>
      <c r="J85" s="137">
        <f>IF(ISNUMBER($H85),($B85-1)-$H85,"n/a")</f>
        <v>28</v>
      </c>
      <c r="K85" s="108">
        <f>IF($B85=2017,IFERROR(INDEX('Team Performance'!$B$241:$B$270,MATCH($A85,'Team Performance'!$A$241:$A$270,0)),"n/a"),IFERROR(INDEX('Team Performance'!$B$6:$K$35,MATCH($A85,'Team Performance'!$A$6:$A$35,0),MATCH(($B85-2)&amp;"-"&amp;RIGHT($B85-1,2),'Team Performance'!$B$5:$K$5,0)),"n/a"))</f>
        <v>44</v>
      </c>
      <c r="L85" s="108">
        <f>IF($B85=2017,IFERROR(INDEX('Team Performance'!$C$241:$C$270,MATCH($A85,'Team Performance'!$A$241:$A$270,0)),"n/a"),IFERROR(INDEX('Team Performance'!$B$39:$K$68,MATCH($A85,'Team Performance'!$A$39:$A$68,0),MATCH(($B85-2)&amp;"-"&amp;RIGHT($B85-1,2),'Team Performance'!$B$38:$K$38,0)),"n/a"))</f>
        <v>38</v>
      </c>
      <c r="M85" s="109">
        <f t="shared" si="3"/>
        <v>0.53658536585365857</v>
      </c>
      <c r="N85" s="108">
        <f>IF($B85=2017,IFERROR(INDEX('Team Performance'!$E$241:$E$270,MATCH($A85,'Team Performance'!$A$241:$A$270,0)),"n/a"),IFERROR(INDEX('Team Performance'!$B$140:$K$169,MATCH($A85,'Team Performance'!$A$140:$A$169,0),MATCH(($B85-2)&amp;"-"&amp;RIGHT($B85-1,2),'Team Performance'!$B$139:$K$139,0)),"n/a"))</f>
        <v>1</v>
      </c>
      <c r="O85" s="110">
        <f>IF($B85=2017,IFERROR(INDEX('Salary Cap'!$B$143:$B$172,MATCH($A85,'Salary Cap'!$A$143:$A$172,0)),"n/a"),IFERROR(INDEX('Salary Cap'!$B$10:$K$39,MATCH($A85,'Salary Cap'!$A$10:$A$39,0),MATCH(""&amp;($B85-1),'Salary Cap'!$B$9:$K$9,0)),"n/a"))</f>
        <v>75603690</v>
      </c>
      <c r="P85" s="115">
        <f>IF($B85=2017,IFERROR(INDEX('Salary Cap'!$C$143:$C$172,MATCH($A85,'Salary Cap'!$A$143:$A$172,0)),"n/a"),IFERROR(INDEX('Salary Cap'!$B$109:$K$138,MATCH($A85,'Salary Cap'!$A$109:$A$138,0),MATCH(""&amp;($B85-1),'Salary Cap'!$B$108:$K$108,0)),"n/a"))</f>
        <v>0</v>
      </c>
      <c r="Q85" s="138">
        <f>IF(OR($B85=2021,$B85=2022),1,0)</f>
        <v>0</v>
      </c>
    </row>
    <row r="86" spans="1:17" x14ac:dyDescent="0.2">
      <c r="A86" s="113" t="str" cm="1">
        <f t="array" ref="A86">INDEX('NBA Valuations'!$A$5:$A$34,INT((ROW()-5)/10)+1)</f>
        <v>Detroit Pistons</v>
      </c>
      <c r="B86" s="105">
        <f t="shared" si="2"/>
        <v>2018</v>
      </c>
      <c r="C86" s="106">
        <f>IFERROR(INDEX('NBA Valuations'!$B$5:$K$34,MATCH($A86,'NBA Valuations'!$A$5:$A$34,0),MATCH(""&amp;$B86,'NBA Valuations'!$B$3:$K$3,0)),"n/a")</f>
        <v>1100</v>
      </c>
      <c r="D86" s="106">
        <f>IFERROR(INDEX(Revenue!$B$5:$K$34,MATCH($A86,Revenue!$A$5:$A$34,0),MATCH(""&amp;$B86,Revenue!$B$3:$K$3,0)),"n/a")</f>
        <v>221</v>
      </c>
      <c r="E86" s="106">
        <f>IFERROR(INDEX('Operating Income'!$B$5:$K$34,MATCH($A86,'Operating Income'!$A$5:$A$34,0),MATCH(""&amp;$B86,'Operating Income'!$B$3:$K$3,0)),"n/a")</f>
        <v>22</v>
      </c>
      <c r="F86" s="107">
        <f>IFERROR(INDEX('Market Size'!$L$5:$L$34,MATCH($A86,'Market Size'!$A$5:$A$34,0)),"n/a")</f>
        <v>4385353</v>
      </c>
      <c r="G86" s="108" t="str">
        <f>IFERROR(INDEX('Market Size'!$B$38:$K$67,MATCH($A86,'Market Size'!$A$38:$A$67,0),MATCH(""&amp;($B86-1),'Market Size'!$B$36:$K$36,0)),"n/a")</f>
        <v>n/a</v>
      </c>
      <c r="H86" s="108">
        <f>IFERROR(INDEX(Arena!$B$38:$K$67,MATCH($A86,Arena!$A$38:$A$67,0),MATCH(""&amp;$B86,Arena!$B$36:$K$36,0)),"n/a")</f>
        <v>1988</v>
      </c>
      <c r="I86" s="136" t="str">
        <f>IFERROR(INDEX(Arena!$B$71:$K$100,MATCH($A86,Arena!$A$71:$A$100,0),MATCH(""&amp;$B86,Arena!$B$69:$K$69,0)),"n/a")</f>
        <v>Y</v>
      </c>
      <c r="J86" s="137">
        <f>IF(ISNUMBER($H86),($B86-1)-$H86,"n/a")</f>
        <v>29</v>
      </c>
      <c r="K86" s="108">
        <f>IF($B86=2017,IFERROR(INDEX('Team Performance'!$B$241:$B$270,MATCH($A86,'Team Performance'!$A$241:$A$270,0)),"n/a"),IFERROR(INDEX('Team Performance'!$B$6:$K$35,MATCH($A86,'Team Performance'!$A$6:$A$35,0),MATCH(($B86-2)&amp;"-"&amp;RIGHT($B86-1,2),'Team Performance'!$B$5:$K$5,0)),"n/a"))</f>
        <v>37</v>
      </c>
      <c r="L86" s="108">
        <f>IF($B86=2017,IFERROR(INDEX('Team Performance'!$C$241:$C$270,MATCH($A86,'Team Performance'!$A$241:$A$270,0)),"n/a"),IFERROR(INDEX('Team Performance'!$B$39:$K$68,MATCH($A86,'Team Performance'!$A$39:$A$68,0),MATCH(($B86-2)&amp;"-"&amp;RIGHT($B86-1,2),'Team Performance'!$B$38:$K$38,0)),"n/a"))</f>
        <v>45</v>
      </c>
      <c r="M86" s="109">
        <f t="shared" si="3"/>
        <v>0.45121951219512196</v>
      </c>
      <c r="N86" s="108">
        <f>IF($B86=2017,IFERROR(INDEX('Team Performance'!$E$241:$E$270,MATCH($A86,'Team Performance'!$A$241:$A$270,0)),"n/a"),IFERROR(INDEX('Team Performance'!$B$140:$K$169,MATCH($A86,'Team Performance'!$A$140:$A$169,0),MATCH(($B86-2)&amp;"-"&amp;RIGHT($B86-1,2),'Team Performance'!$B$139:$K$139,0)),"n/a"))</f>
        <v>0</v>
      </c>
      <c r="O86" s="110">
        <f>IF($B86=2017,IFERROR(INDEX('Salary Cap'!$B$143:$B$172,MATCH($A86,'Salary Cap'!$A$143:$A$172,0)),"n/a"),IFERROR(INDEX('Salary Cap'!$B$10:$K$39,MATCH($A86,'Salary Cap'!$A$10:$A$39,0),MATCH(""&amp;($B86-1),'Salary Cap'!$B$9:$K$9,0)),"n/a"))</f>
        <v>107901937</v>
      </c>
      <c r="P86" s="115">
        <f>IF($B86=2017,IFERROR(INDEX('Salary Cap'!$C$143:$C$172,MATCH($A86,'Salary Cap'!$A$143:$A$172,0)),"n/a"),IFERROR(INDEX('Salary Cap'!$B$109:$K$138,MATCH($A86,'Salary Cap'!$A$109:$A$138,0),MATCH(""&amp;($B86-1),'Salary Cap'!$B$108:$K$108,0)),"n/a"))</f>
        <v>0</v>
      </c>
      <c r="Q86" s="138">
        <f>IF(OR($B86=2021,$B86=2022),1,0)</f>
        <v>0</v>
      </c>
    </row>
    <row r="87" spans="1:17" x14ac:dyDescent="0.2">
      <c r="A87" s="113" t="str" cm="1">
        <f t="array" ref="A87">INDEX('NBA Valuations'!$A$5:$A$34,INT((ROW()-5)/10)+1)</f>
        <v>Detroit Pistons</v>
      </c>
      <c r="B87" s="105">
        <f t="shared" si="2"/>
        <v>2019</v>
      </c>
      <c r="C87" s="106">
        <f>IFERROR(INDEX('NBA Valuations'!$B$5:$K$34,MATCH($A87,'NBA Valuations'!$A$5:$A$34,0),MATCH(""&amp;$B87,'NBA Valuations'!$B$3:$K$3,0)),"n/a")</f>
        <v>1300</v>
      </c>
      <c r="D87" s="106">
        <f>IFERROR(INDEX(Revenue!$B$5:$K$34,MATCH($A87,Revenue!$A$5:$A$34,0),MATCH(""&amp;$B87,Revenue!$B$3:$K$3,0)),"n/a")</f>
        <v>235</v>
      </c>
      <c r="E87" s="106">
        <f>IFERROR(INDEX('Operating Income'!$B$5:$K$34,MATCH($A87,'Operating Income'!$A$5:$A$34,0),MATCH(""&amp;$B87,'Operating Income'!$B$3:$K$3,0)),"n/a")</f>
        <v>52</v>
      </c>
      <c r="F87" s="107">
        <f>IFERROR(INDEX('Market Size'!$L$5:$L$34,MATCH($A87,'Market Size'!$A$5:$A$34,0)),"n/a")</f>
        <v>4385353</v>
      </c>
      <c r="G87" s="108" t="str">
        <f>IFERROR(INDEX('Market Size'!$B$38:$K$67,MATCH($A87,'Market Size'!$A$38:$A$67,0),MATCH(""&amp;($B87-1),'Market Size'!$B$36:$K$36,0)),"n/a")</f>
        <v>n/a</v>
      </c>
      <c r="H87" s="108">
        <f>IFERROR(INDEX(Arena!$B$38:$K$67,MATCH($A87,Arena!$A$38:$A$67,0),MATCH(""&amp;$B87,Arena!$B$36:$K$36,0)),"n/a")</f>
        <v>2017</v>
      </c>
      <c r="I87" s="136" t="str">
        <f>IFERROR(INDEX(Arena!$B$71:$K$100,MATCH($A87,Arena!$A$71:$A$100,0),MATCH(""&amp;$B87,Arena!$B$69:$K$69,0)),"n/a")</f>
        <v>N</v>
      </c>
      <c r="J87" s="137">
        <f>IF(ISNUMBER($H87),($B87-1)-$H87,"n/a")</f>
        <v>1</v>
      </c>
      <c r="K87" s="108">
        <f>IF($B87=2017,IFERROR(INDEX('Team Performance'!$B$241:$B$270,MATCH($A87,'Team Performance'!$A$241:$A$270,0)),"n/a"),IFERROR(INDEX('Team Performance'!$B$6:$K$35,MATCH($A87,'Team Performance'!$A$6:$A$35,0),MATCH(($B87-2)&amp;"-"&amp;RIGHT($B87-1,2),'Team Performance'!$B$5:$K$5,0)),"n/a"))</f>
        <v>39</v>
      </c>
      <c r="L87" s="108">
        <f>IF($B87=2017,IFERROR(INDEX('Team Performance'!$C$241:$C$270,MATCH($A87,'Team Performance'!$A$241:$A$270,0)),"n/a"),IFERROR(INDEX('Team Performance'!$B$39:$K$68,MATCH($A87,'Team Performance'!$A$39:$A$68,0),MATCH(($B87-2)&amp;"-"&amp;RIGHT($B87-1,2),'Team Performance'!$B$38:$K$38,0)),"n/a"))</f>
        <v>43</v>
      </c>
      <c r="M87" s="109">
        <f t="shared" si="3"/>
        <v>0.47560975609756095</v>
      </c>
      <c r="N87" s="108">
        <f>IF($B87=2017,IFERROR(INDEX('Team Performance'!$E$241:$E$270,MATCH($A87,'Team Performance'!$A$241:$A$270,0)),"n/a"),IFERROR(INDEX('Team Performance'!$B$140:$K$169,MATCH($A87,'Team Performance'!$A$140:$A$169,0),MATCH(($B87-2)&amp;"-"&amp;RIGHT($B87-1,2),'Team Performance'!$B$139:$K$139,0)),"n/a"))</f>
        <v>0</v>
      </c>
      <c r="O87" s="110">
        <f>IF($B87=2017,IFERROR(INDEX('Salary Cap'!$B$143:$B$172,MATCH($A87,'Salary Cap'!$A$143:$A$172,0)),"n/a"),IFERROR(INDEX('Salary Cap'!$B$10:$K$39,MATCH($A87,'Salary Cap'!$A$10:$A$39,0),MATCH(""&amp;($B87-1),'Salary Cap'!$B$9:$K$9,0)),"n/a"))</f>
        <v>118897722</v>
      </c>
      <c r="P87" s="115">
        <f>IF($B87=2017,IFERROR(INDEX('Salary Cap'!$C$143:$C$172,MATCH($A87,'Salary Cap'!$A$143:$A$172,0)),"n/a"),IFERROR(INDEX('Salary Cap'!$B$109:$K$138,MATCH($A87,'Salary Cap'!$A$109:$A$138,0),MATCH(""&amp;($B87-1),'Salary Cap'!$B$108:$K$108,0)),"n/a"))</f>
        <v>0</v>
      </c>
      <c r="Q87" s="138">
        <f>IF(OR($B87=2021,$B87=2022),1,0)</f>
        <v>0</v>
      </c>
    </row>
    <row r="88" spans="1:17" x14ac:dyDescent="0.2">
      <c r="A88" s="113" t="str" cm="1">
        <f t="array" ref="A88">INDEX('NBA Valuations'!$A$5:$A$34,INT((ROW()-5)/10)+1)</f>
        <v>Detroit Pistons</v>
      </c>
      <c r="B88" s="105">
        <f t="shared" si="2"/>
        <v>2020</v>
      </c>
      <c r="C88" s="106">
        <f>IFERROR(INDEX('NBA Valuations'!$B$5:$K$34,MATCH($A88,'NBA Valuations'!$A$5:$A$34,0),MATCH(""&amp;$B88,'NBA Valuations'!$B$3:$K$3,0)),"n/a")</f>
        <v>1500</v>
      </c>
      <c r="D88" s="106">
        <f>IFERROR(INDEX(Revenue!$B$5:$K$34,MATCH($A88,Revenue!$A$5:$A$34,0),MATCH(""&amp;$B88,Revenue!$B$3:$K$3,0)),"n/a")</f>
        <v>255</v>
      </c>
      <c r="E88" s="106">
        <f>IFERROR(INDEX('Operating Income'!$B$5:$K$34,MATCH($A88,'Operating Income'!$A$5:$A$34,0),MATCH(""&amp;$B88,'Operating Income'!$B$3:$K$3,0)),"n/a")</f>
        <v>52</v>
      </c>
      <c r="F88" s="107">
        <f>IFERROR(INDEX('Market Size'!$L$5:$L$34,MATCH($A88,'Market Size'!$A$5:$A$34,0)),"n/a")</f>
        <v>4385353</v>
      </c>
      <c r="G88" s="108" t="str">
        <f>IFERROR(INDEX('Market Size'!$B$38:$K$67,MATCH($A88,'Market Size'!$A$38:$A$67,0),MATCH(""&amp;($B88-1),'Market Size'!$B$36:$K$36,0)),"n/a")</f>
        <v>n/a</v>
      </c>
      <c r="H88" s="108">
        <f>IFERROR(INDEX(Arena!$B$38:$K$67,MATCH($A88,Arena!$A$38:$A$67,0),MATCH(""&amp;$B88,Arena!$B$36:$K$36,0)),"n/a")</f>
        <v>2017</v>
      </c>
      <c r="I88" s="136" t="str">
        <f>IFERROR(INDEX(Arena!$B$71:$K$100,MATCH($A88,Arena!$A$71:$A$100,0),MATCH(""&amp;$B88,Arena!$B$69:$K$69,0)),"n/a")</f>
        <v>N</v>
      </c>
      <c r="J88" s="137">
        <f>IF(ISNUMBER($H88),($B88-1)-$H88,"n/a")</f>
        <v>2</v>
      </c>
      <c r="K88" s="108">
        <f>IF($B88=2017,IFERROR(INDEX('Team Performance'!$B$241:$B$270,MATCH($A88,'Team Performance'!$A$241:$A$270,0)),"n/a"),IFERROR(INDEX('Team Performance'!$B$6:$K$35,MATCH($A88,'Team Performance'!$A$6:$A$35,0),MATCH(($B88-2)&amp;"-"&amp;RIGHT($B88-1,2),'Team Performance'!$B$5:$K$5,0)),"n/a"))</f>
        <v>41</v>
      </c>
      <c r="L88" s="108">
        <f>IF($B88=2017,IFERROR(INDEX('Team Performance'!$C$241:$C$270,MATCH($A88,'Team Performance'!$A$241:$A$270,0)),"n/a"),IFERROR(INDEX('Team Performance'!$B$39:$K$68,MATCH($A88,'Team Performance'!$A$39:$A$68,0),MATCH(($B88-2)&amp;"-"&amp;RIGHT($B88-1,2),'Team Performance'!$B$38:$K$38,0)),"n/a"))</f>
        <v>41</v>
      </c>
      <c r="M88" s="109">
        <f t="shared" si="3"/>
        <v>0.5</v>
      </c>
      <c r="N88" s="108">
        <f>IF($B88=2017,IFERROR(INDEX('Team Performance'!$E$241:$E$270,MATCH($A88,'Team Performance'!$A$241:$A$270,0)),"n/a"),IFERROR(INDEX('Team Performance'!$B$140:$K$169,MATCH($A88,'Team Performance'!$A$140:$A$169,0),MATCH(($B88-2)&amp;"-"&amp;RIGHT($B88-1,2),'Team Performance'!$B$139:$K$139,0)),"n/a"))</f>
        <v>1</v>
      </c>
      <c r="O88" s="110">
        <f>IF($B88=2017,IFERROR(INDEX('Salary Cap'!$B$143:$B$172,MATCH($A88,'Salary Cap'!$A$143:$A$172,0)),"n/a"),IFERROR(INDEX('Salary Cap'!$B$10:$K$39,MATCH($A88,'Salary Cap'!$A$10:$A$39,0),MATCH(""&amp;($B88-1),'Salary Cap'!$B$9:$K$9,0)),"n/a"))</f>
        <v>123481463</v>
      </c>
      <c r="P88" s="115">
        <f>IF($B88=2017,IFERROR(INDEX('Salary Cap'!$C$143:$C$172,MATCH($A88,'Salary Cap'!$A$143:$A$172,0)),"n/a"),IFERROR(INDEX('Salary Cap'!$B$109:$K$138,MATCH($A88,'Salary Cap'!$A$109:$A$138,0),MATCH(""&amp;($B88-1),'Salary Cap'!$B$108:$K$108,0)),"n/a"))</f>
        <v>0</v>
      </c>
      <c r="Q88" s="138">
        <f>IF(OR($B88=2021,$B88=2022),1,0)</f>
        <v>0</v>
      </c>
    </row>
    <row r="89" spans="1:17" x14ac:dyDescent="0.2">
      <c r="A89" s="113" t="str" cm="1">
        <f t="array" ref="A89">INDEX('NBA Valuations'!$A$5:$A$34,INT((ROW()-5)/10)+1)</f>
        <v>Detroit Pistons</v>
      </c>
      <c r="B89" s="105">
        <f t="shared" si="2"/>
        <v>2021</v>
      </c>
      <c r="C89" s="106">
        <f>IFERROR(INDEX('NBA Valuations'!$B$5:$K$34,MATCH($A89,'NBA Valuations'!$A$5:$A$34,0),MATCH(""&amp;$B89,'NBA Valuations'!$B$3:$K$3,0)),"n/a")</f>
        <v>1450</v>
      </c>
      <c r="D89" s="106">
        <f>IFERROR(INDEX(Revenue!$B$5:$K$34,MATCH($A89,Revenue!$A$5:$A$34,0),MATCH(""&amp;$B89,Revenue!$B$3:$K$3,0)),"n/a")</f>
        <v>227</v>
      </c>
      <c r="E89" s="106">
        <f>IFERROR(INDEX('Operating Income'!$B$5:$K$34,MATCH($A89,'Operating Income'!$A$5:$A$34,0),MATCH(""&amp;$B89,'Operating Income'!$B$3:$K$3,0)),"n/a")</f>
        <v>45</v>
      </c>
      <c r="F89" s="107">
        <f>IFERROR(INDEX('Market Size'!$L$5:$L$34,MATCH($A89,'Market Size'!$A$5:$A$34,0)),"n/a")</f>
        <v>4385353</v>
      </c>
      <c r="G89" s="108" t="str">
        <f>IFERROR(INDEX('Market Size'!$B$38:$K$67,MATCH($A89,'Market Size'!$A$38:$A$67,0),MATCH(""&amp;($B89-1),'Market Size'!$B$36:$K$36,0)),"n/a")</f>
        <v>n/a</v>
      </c>
      <c r="H89" s="108">
        <f>IFERROR(INDEX(Arena!$B$38:$K$67,MATCH($A89,Arena!$A$38:$A$67,0),MATCH(""&amp;$B89,Arena!$B$36:$K$36,0)),"n/a")</f>
        <v>2017</v>
      </c>
      <c r="I89" s="136" t="str">
        <f>IFERROR(INDEX(Arena!$B$71:$K$100,MATCH($A89,Arena!$A$71:$A$100,0),MATCH(""&amp;$B89,Arena!$B$69:$K$69,0)),"n/a")</f>
        <v>N</v>
      </c>
      <c r="J89" s="137">
        <f>IF(ISNUMBER($H89),($B89-1)-$H89,"n/a")</f>
        <v>3</v>
      </c>
      <c r="K89" s="108">
        <f>IF($B89=2017,IFERROR(INDEX('Team Performance'!$B$241:$B$270,MATCH($A89,'Team Performance'!$A$241:$A$270,0)),"n/a"),IFERROR(INDEX('Team Performance'!$B$6:$K$35,MATCH($A89,'Team Performance'!$A$6:$A$35,0),MATCH(($B89-2)&amp;"-"&amp;RIGHT($B89-1,2),'Team Performance'!$B$5:$K$5,0)),"n/a"))</f>
        <v>20</v>
      </c>
      <c r="L89" s="108">
        <f>IF($B89=2017,IFERROR(INDEX('Team Performance'!$C$241:$C$270,MATCH($A89,'Team Performance'!$A$241:$A$270,0)),"n/a"),IFERROR(INDEX('Team Performance'!$B$39:$K$68,MATCH($A89,'Team Performance'!$A$39:$A$68,0),MATCH(($B89-2)&amp;"-"&amp;RIGHT($B89-1,2),'Team Performance'!$B$38:$K$38,0)),"n/a"))</f>
        <v>46</v>
      </c>
      <c r="M89" s="109">
        <f t="shared" si="3"/>
        <v>0.30303030303030304</v>
      </c>
      <c r="N89" s="108">
        <f>IF($B89=2017,IFERROR(INDEX('Team Performance'!$E$241:$E$270,MATCH($A89,'Team Performance'!$A$241:$A$270,0)),"n/a"),IFERROR(INDEX('Team Performance'!$B$140:$K$169,MATCH($A89,'Team Performance'!$A$140:$A$169,0),MATCH(($B89-2)&amp;"-"&amp;RIGHT($B89-1,2),'Team Performance'!$B$139:$K$139,0)),"n/a"))</f>
        <v>0</v>
      </c>
      <c r="O89" s="110">
        <f>IF($B89=2017,IFERROR(INDEX('Salary Cap'!$B$143:$B$172,MATCH($A89,'Salary Cap'!$A$143:$A$172,0)),"n/a"),IFERROR(INDEX('Salary Cap'!$B$10:$K$39,MATCH($A89,'Salary Cap'!$A$10:$A$39,0),MATCH(""&amp;($B89-1),'Salary Cap'!$B$9:$K$9,0)),"n/a"))</f>
        <v>131251409</v>
      </c>
      <c r="P89" s="115">
        <f>IF($B89=2017,IFERROR(INDEX('Salary Cap'!$C$143:$C$172,MATCH($A89,'Salary Cap'!$A$143:$A$172,0)),"n/a"),IFERROR(INDEX('Salary Cap'!$B$109:$K$138,MATCH($A89,'Salary Cap'!$A$109:$A$138,0),MATCH(""&amp;($B89-1),'Salary Cap'!$B$108:$K$108,0)),"n/a"))</f>
        <v>0</v>
      </c>
      <c r="Q89" s="138">
        <f>IF(OR($B89=2021,$B89=2022),1,0)</f>
        <v>1</v>
      </c>
    </row>
    <row r="90" spans="1:17" x14ac:dyDescent="0.2">
      <c r="A90" s="113" t="str" cm="1">
        <f t="array" ref="A90">INDEX('NBA Valuations'!$A$5:$A$34,INT((ROW()-5)/10)+1)</f>
        <v>Detroit Pistons</v>
      </c>
      <c r="B90" s="105">
        <f t="shared" si="2"/>
        <v>2022</v>
      </c>
      <c r="C90" s="106">
        <f>IFERROR(INDEX('NBA Valuations'!$B$5:$K$34,MATCH($A90,'NBA Valuations'!$A$5:$A$34,0),MATCH(""&amp;$B90,'NBA Valuations'!$B$3:$K$3,0)),"n/a")</f>
        <v>1580</v>
      </c>
      <c r="D90" s="106">
        <f>IFERROR(INDEX(Revenue!$B$5:$K$34,MATCH($A90,Revenue!$A$5:$A$34,0),MATCH(""&amp;$B90,Revenue!$B$3:$K$3,0)),"n/a")</f>
        <v>192</v>
      </c>
      <c r="E90" s="106">
        <f>IFERROR(INDEX('Operating Income'!$B$5:$K$34,MATCH($A90,'Operating Income'!$A$5:$A$34,0),MATCH(""&amp;$B90,'Operating Income'!$B$3:$K$3,0)),"n/a")</f>
        <v>43</v>
      </c>
      <c r="F90" s="107">
        <f>IFERROR(INDEX('Market Size'!$L$5:$L$34,MATCH($A90,'Market Size'!$A$5:$A$34,0)),"n/a")</f>
        <v>4385353</v>
      </c>
      <c r="G90" s="108" t="str">
        <f>IFERROR(INDEX('Market Size'!$B$38:$K$67,MATCH($A90,'Market Size'!$A$38:$A$67,0),MATCH(""&amp;($B90-1),'Market Size'!$B$36:$K$36,0)),"n/a")</f>
        <v>n/a</v>
      </c>
      <c r="H90" s="108">
        <f>IFERROR(INDEX(Arena!$B$38:$K$67,MATCH($A90,Arena!$A$38:$A$67,0),MATCH(""&amp;$B90,Arena!$B$36:$K$36,0)),"n/a")</f>
        <v>2017</v>
      </c>
      <c r="I90" s="136" t="str">
        <f>IFERROR(INDEX(Arena!$B$71:$K$100,MATCH($A90,Arena!$A$71:$A$100,0),MATCH(""&amp;$B90,Arena!$B$69:$K$69,0)),"n/a")</f>
        <v>N</v>
      </c>
      <c r="J90" s="137">
        <f>IF(ISNUMBER($H90),($B90-1)-$H90,"n/a")</f>
        <v>4</v>
      </c>
      <c r="K90" s="108">
        <f>IF($B90=2017,IFERROR(INDEX('Team Performance'!$B$241:$B$270,MATCH($A90,'Team Performance'!$A$241:$A$270,0)),"n/a"),IFERROR(INDEX('Team Performance'!$B$6:$K$35,MATCH($A90,'Team Performance'!$A$6:$A$35,0),MATCH(($B90-2)&amp;"-"&amp;RIGHT($B90-1,2),'Team Performance'!$B$5:$K$5,0)),"n/a"))</f>
        <v>20</v>
      </c>
      <c r="L90" s="108">
        <f>IF($B90=2017,IFERROR(INDEX('Team Performance'!$C$241:$C$270,MATCH($A90,'Team Performance'!$A$241:$A$270,0)),"n/a"),IFERROR(INDEX('Team Performance'!$B$39:$K$68,MATCH($A90,'Team Performance'!$A$39:$A$68,0),MATCH(($B90-2)&amp;"-"&amp;RIGHT($B90-1,2),'Team Performance'!$B$38:$K$38,0)),"n/a"))</f>
        <v>52</v>
      </c>
      <c r="M90" s="109">
        <f t="shared" si="3"/>
        <v>0.27777777777777779</v>
      </c>
      <c r="N90" s="108">
        <f>IF($B90=2017,IFERROR(INDEX('Team Performance'!$E$241:$E$270,MATCH($A90,'Team Performance'!$A$241:$A$270,0)),"n/a"),IFERROR(INDEX('Team Performance'!$B$140:$K$169,MATCH($A90,'Team Performance'!$A$140:$A$169,0),MATCH(($B90-2)&amp;"-"&amp;RIGHT($B90-1,2),'Team Performance'!$B$139:$K$139,0)),"n/a"))</f>
        <v>0</v>
      </c>
      <c r="O90" s="110">
        <f>IF($B90=2017,IFERROR(INDEX('Salary Cap'!$B$143:$B$172,MATCH($A90,'Salary Cap'!$A$143:$A$172,0)),"n/a"),IFERROR(INDEX('Salary Cap'!$B$10:$K$39,MATCH($A90,'Salary Cap'!$A$10:$A$39,0),MATCH(""&amp;($B90-1),'Salary Cap'!$B$9:$K$9,0)),"n/a"))</f>
        <v>115085331</v>
      </c>
      <c r="P90" s="115">
        <f>IF($B90=2017,IFERROR(INDEX('Salary Cap'!$C$143:$C$172,MATCH($A90,'Salary Cap'!$A$143:$A$172,0)),"n/a"),IFERROR(INDEX('Salary Cap'!$B$109:$K$138,MATCH($A90,'Salary Cap'!$A$109:$A$138,0),MATCH(""&amp;($B90-1),'Salary Cap'!$B$108:$K$108,0)),"n/a"))</f>
        <v>0</v>
      </c>
      <c r="Q90" s="138">
        <f>IF(OR($B90=2021,$B90=2022),1,0)</f>
        <v>1</v>
      </c>
    </row>
    <row r="91" spans="1:17" x14ac:dyDescent="0.2">
      <c r="A91" s="113" t="str" cm="1">
        <f t="array" ref="A91">INDEX('NBA Valuations'!$A$5:$A$34,INT((ROW()-5)/10)+1)</f>
        <v>Detroit Pistons</v>
      </c>
      <c r="B91" s="105">
        <f t="shared" si="2"/>
        <v>2023</v>
      </c>
      <c r="C91" s="106">
        <f>IFERROR(INDEX('NBA Valuations'!$B$5:$K$34,MATCH($A91,'NBA Valuations'!$A$5:$A$34,0),MATCH(""&amp;$B91,'NBA Valuations'!$B$3:$K$3,0)),"n/a")</f>
        <v>1900</v>
      </c>
      <c r="D91" s="106">
        <f>IFERROR(INDEX(Revenue!$B$5:$K$34,MATCH($A91,Revenue!$A$5:$A$34,0),MATCH(""&amp;$B91,Revenue!$B$3:$K$3,0)),"n/a")</f>
        <v>278</v>
      </c>
      <c r="E91" s="106">
        <f>IFERROR(INDEX('Operating Income'!$B$5:$K$34,MATCH($A91,'Operating Income'!$A$5:$A$34,0),MATCH(""&amp;$B91,'Operating Income'!$B$3:$K$3,0)),"n/a")</f>
        <v>92</v>
      </c>
      <c r="F91" s="107">
        <f>IFERROR(INDEX('Market Size'!$L$5:$L$34,MATCH($A91,'Market Size'!$A$5:$A$34,0)),"n/a")</f>
        <v>4385353</v>
      </c>
      <c r="G91" s="108" t="str">
        <f>IFERROR(INDEX('Market Size'!$B$38:$K$67,MATCH($A91,'Market Size'!$A$38:$A$67,0),MATCH(""&amp;($B91-1),'Market Size'!$B$36:$K$36,0)),"n/a")</f>
        <v>n/a</v>
      </c>
      <c r="H91" s="108">
        <f>IFERROR(INDEX(Arena!$B$38:$K$67,MATCH($A91,Arena!$A$38:$A$67,0),MATCH(""&amp;$B91,Arena!$B$36:$K$36,0)),"n/a")</f>
        <v>2017</v>
      </c>
      <c r="I91" s="136" t="str">
        <f>IFERROR(INDEX(Arena!$B$71:$K$100,MATCH($A91,Arena!$A$71:$A$100,0),MATCH(""&amp;$B91,Arena!$B$69:$K$69,0)),"n/a")</f>
        <v>N</v>
      </c>
      <c r="J91" s="137">
        <f>IF(ISNUMBER($H91),($B91-1)-$H91,"n/a")</f>
        <v>5</v>
      </c>
      <c r="K91" s="108">
        <f>IF($B91=2017,IFERROR(INDEX('Team Performance'!$B$241:$B$270,MATCH($A91,'Team Performance'!$A$241:$A$270,0)),"n/a"),IFERROR(INDEX('Team Performance'!$B$6:$K$35,MATCH($A91,'Team Performance'!$A$6:$A$35,0),MATCH(($B91-2)&amp;"-"&amp;RIGHT($B91-1,2),'Team Performance'!$B$5:$K$5,0)),"n/a"))</f>
        <v>23</v>
      </c>
      <c r="L91" s="108">
        <f>IF($B91=2017,IFERROR(INDEX('Team Performance'!$C$241:$C$270,MATCH($A91,'Team Performance'!$A$241:$A$270,0)),"n/a"),IFERROR(INDEX('Team Performance'!$B$39:$K$68,MATCH($A91,'Team Performance'!$A$39:$A$68,0),MATCH(($B91-2)&amp;"-"&amp;RIGHT($B91-1,2),'Team Performance'!$B$38:$K$38,0)),"n/a"))</f>
        <v>59</v>
      </c>
      <c r="M91" s="109">
        <f t="shared" si="3"/>
        <v>0.28048780487804881</v>
      </c>
      <c r="N91" s="108">
        <f>IF($B91=2017,IFERROR(INDEX('Team Performance'!$E$241:$E$270,MATCH($A91,'Team Performance'!$A$241:$A$270,0)),"n/a"),IFERROR(INDEX('Team Performance'!$B$140:$K$169,MATCH($A91,'Team Performance'!$A$140:$A$169,0),MATCH(($B91-2)&amp;"-"&amp;RIGHT($B91-1,2),'Team Performance'!$B$139:$K$139,0)),"n/a"))</f>
        <v>0</v>
      </c>
      <c r="O91" s="110">
        <f>IF($B91=2017,IFERROR(INDEX('Salary Cap'!$B$143:$B$172,MATCH($A91,'Salary Cap'!$A$143:$A$172,0)),"n/a"),IFERROR(INDEX('Salary Cap'!$B$10:$K$39,MATCH($A91,'Salary Cap'!$A$10:$A$39,0),MATCH(""&amp;($B91-1),'Salary Cap'!$B$9:$K$9,0)),"n/a"))</f>
        <v>129753205</v>
      </c>
      <c r="P91" s="115">
        <f>IF($B91=2017,IFERROR(INDEX('Salary Cap'!$C$143:$C$172,MATCH($A91,'Salary Cap'!$A$143:$A$172,0)),"n/a"),IFERROR(INDEX('Salary Cap'!$B$109:$K$138,MATCH($A91,'Salary Cap'!$A$109:$A$138,0),MATCH(""&amp;($B91-1),'Salary Cap'!$B$108:$K$108,0)),"n/a"))</f>
        <v>0</v>
      </c>
      <c r="Q91" s="138">
        <f>IF(OR($B91=2021,$B91=2022),1,0)</f>
        <v>0</v>
      </c>
    </row>
    <row r="92" spans="1:17" x14ac:dyDescent="0.2">
      <c r="A92" s="113" t="str" cm="1">
        <f t="array" ref="A92">INDEX('NBA Valuations'!$A$5:$A$34,INT((ROW()-5)/10)+1)</f>
        <v>Detroit Pistons</v>
      </c>
      <c r="B92" s="105">
        <f t="shared" si="2"/>
        <v>2024</v>
      </c>
      <c r="C92" s="106">
        <f>IFERROR(INDEX('NBA Valuations'!$B$5:$K$34,MATCH($A92,'NBA Valuations'!$A$5:$A$34,0),MATCH(""&amp;$B92,'NBA Valuations'!$B$3:$K$3,0)),"n/a")</f>
        <v>3070</v>
      </c>
      <c r="D92" s="106">
        <f>IFERROR(INDEX(Revenue!$B$5:$K$34,MATCH($A92,Revenue!$A$5:$A$34,0),MATCH(""&amp;$B92,Revenue!$B$3:$K$3,0)),"n/a")</f>
        <v>274</v>
      </c>
      <c r="E92" s="106">
        <f>IFERROR(INDEX('Operating Income'!$B$5:$K$34,MATCH($A92,'Operating Income'!$A$5:$A$34,0),MATCH(""&amp;$B92,'Operating Income'!$B$3:$K$3,0)),"n/a")</f>
        <v>83</v>
      </c>
      <c r="F92" s="107">
        <f>IFERROR(INDEX('Market Size'!$L$5:$L$34,MATCH($A92,'Market Size'!$A$5:$A$34,0)),"n/a")</f>
        <v>4385353</v>
      </c>
      <c r="G92" s="108" t="str">
        <f>IFERROR(INDEX('Market Size'!$B$38:$K$67,MATCH($A92,'Market Size'!$A$38:$A$67,0),MATCH(""&amp;($B92-1),'Market Size'!$B$36:$K$36,0)),"n/a")</f>
        <v>n/a</v>
      </c>
      <c r="H92" s="108">
        <f>IFERROR(INDEX(Arena!$B$38:$K$67,MATCH($A92,Arena!$A$38:$A$67,0),MATCH(""&amp;$B92,Arena!$B$36:$K$36,0)),"n/a")</f>
        <v>2017</v>
      </c>
      <c r="I92" s="136" t="str">
        <f>IFERROR(INDEX(Arena!$B$71:$K$100,MATCH($A92,Arena!$A$71:$A$100,0),MATCH(""&amp;$B92,Arena!$B$69:$K$69,0)),"n/a")</f>
        <v>N</v>
      </c>
      <c r="J92" s="137">
        <f>IF(ISNUMBER($H92),($B92-1)-$H92,"n/a")</f>
        <v>6</v>
      </c>
      <c r="K92" s="108">
        <f>IF($B92=2017,IFERROR(INDEX('Team Performance'!$B$241:$B$270,MATCH($A92,'Team Performance'!$A$241:$A$270,0)),"n/a"),IFERROR(INDEX('Team Performance'!$B$6:$K$35,MATCH($A92,'Team Performance'!$A$6:$A$35,0),MATCH(($B92-2)&amp;"-"&amp;RIGHT($B92-1,2),'Team Performance'!$B$5:$K$5,0)),"n/a"))</f>
        <v>17</v>
      </c>
      <c r="L92" s="108">
        <f>IF($B92=2017,IFERROR(INDEX('Team Performance'!$C$241:$C$270,MATCH($A92,'Team Performance'!$A$241:$A$270,0)),"n/a"),IFERROR(INDEX('Team Performance'!$B$39:$K$68,MATCH($A92,'Team Performance'!$A$39:$A$68,0),MATCH(($B92-2)&amp;"-"&amp;RIGHT($B92-1,2),'Team Performance'!$B$38:$K$38,0)),"n/a"))</f>
        <v>65</v>
      </c>
      <c r="M92" s="109">
        <f t="shared" si="3"/>
        <v>0.2073170731707317</v>
      </c>
      <c r="N92" s="108">
        <f>IF($B92=2017,IFERROR(INDEX('Team Performance'!$E$241:$E$270,MATCH($A92,'Team Performance'!$A$241:$A$270,0)),"n/a"),IFERROR(INDEX('Team Performance'!$B$140:$K$169,MATCH($A92,'Team Performance'!$A$140:$A$169,0),MATCH(($B92-2)&amp;"-"&amp;RIGHT($B92-1,2),'Team Performance'!$B$139:$K$139,0)),"n/a"))</f>
        <v>0</v>
      </c>
      <c r="O92" s="110">
        <f>IF($B92=2017,IFERROR(INDEX('Salary Cap'!$B$143:$B$172,MATCH($A92,'Salary Cap'!$A$143:$A$172,0)),"n/a"),IFERROR(INDEX('Salary Cap'!$B$10:$K$39,MATCH($A92,'Salary Cap'!$A$10:$A$39,0),MATCH(""&amp;($B92-1),'Salary Cap'!$B$9:$K$9,0)),"n/a"))</f>
        <v>127664973</v>
      </c>
      <c r="P92" s="115">
        <f>IF($B92=2017,IFERROR(INDEX('Salary Cap'!$C$143:$C$172,MATCH($A92,'Salary Cap'!$A$143:$A$172,0)),"n/a"),IFERROR(INDEX('Salary Cap'!$B$109:$K$138,MATCH($A92,'Salary Cap'!$A$109:$A$138,0),MATCH(""&amp;($B92-1),'Salary Cap'!$B$108:$K$108,0)),"n/a"))</f>
        <v>0</v>
      </c>
      <c r="Q92" s="138">
        <f>IF(OR($B92=2021,$B92=2022),1,0)</f>
        <v>0</v>
      </c>
    </row>
    <row r="93" spans="1:17" x14ac:dyDescent="0.2">
      <c r="A93" s="113" t="str" cm="1">
        <f t="array" ref="A93">INDEX('NBA Valuations'!$A$5:$A$34,INT((ROW()-5)/10)+1)</f>
        <v>Detroit Pistons</v>
      </c>
      <c r="B93" s="105">
        <f t="shared" si="2"/>
        <v>2025</v>
      </c>
      <c r="C93" s="106">
        <f>IFERROR(INDEX('NBA Valuations'!$B$5:$K$34,MATCH($A93,'NBA Valuations'!$A$5:$A$34,0),MATCH(""&amp;$B93,'NBA Valuations'!$B$3:$K$3,0)),"n/a")</f>
        <v>3400</v>
      </c>
      <c r="D93" s="106">
        <f>IFERROR(INDEX(Revenue!$B$5:$K$34,MATCH($A93,Revenue!$A$5:$A$34,0),MATCH(""&amp;$B93,Revenue!$B$3:$K$3,0)),"n/a")</f>
        <v>305</v>
      </c>
      <c r="E93" s="106">
        <f>IFERROR(INDEX('Operating Income'!$B$5:$K$34,MATCH($A93,'Operating Income'!$A$5:$A$34,0),MATCH(""&amp;$B93,'Operating Income'!$B$3:$K$3,0)),"n/a")</f>
        <v>89</v>
      </c>
      <c r="F93" s="107">
        <f>IFERROR(INDEX('Market Size'!$L$5:$L$34,MATCH($A93,'Market Size'!$A$5:$A$34,0)),"n/a")</f>
        <v>4385353</v>
      </c>
      <c r="G93" s="108">
        <f>IFERROR(INDEX('Market Size'!$B$38:$K$67,MATCH($A93,'Market Size'!$A$38:$A$67,0),MATCH(""&amp;($B93-1),'Market Size'!$B$36:$K$36,0)),"n/a")</f>
        <v>14</v>
      </c>
      <c r="H93" s="108">
        <f>IFERROR(INDEX(Arena!$B$38:$K$67,MATCH($A93,Arena!$A$38:$A$67,0),MATCH(""&amp;$B93,Arena!$B$36:$K$36,0)),"n/a")</f>
        <v>2017</v>
      </c>
      <c r="I93" s="136" t="str">
        <f>IFERROR(INDEX(Arena!$B$71:$K$100,MATCH($A93,Arena!$A$71:$A$100,0),MATCH(""&amp;$B93,Arena!$B$69:$K$69,0)),"n/a")</f>
        <v>N</v>
      </c>
      <c r="J93" s="137">
        <f>IF(ISNUMBER($H93),($B93-1)-$H93,"n/a")</f>
        <v>7</v>
      </c>
      <c r="K93" s="108">
        <f>IF($B93=2017,IFERROR(INDEX('Team Performance'!$B$241:$B$270,MATCH($A93,'Team Performance'!$A$241:$A$270,0)),"n/a"),IFERROR(INDEX('Team Performance'!$B$6:$K$35,MATCH($A93,'Team Performance'!$A$6:$A$35,0),MATCH(($B93-2)&amp;"-"&amp;RIGHT($B93-1,2),'Team Performance'!$B$5:$K$5,0)),"n/a"))</f>
        <v>14</v>
      </c>
      <c r="L93" s="108">
        <f>IF($B93=2017,IFERROR(INDEX('Team Performance'!$C$241:$C$270,MATCH($A93,'Team Performance'!$A$241:$A$270,0)),"n/a"),IFERROR(INDEX('Team Performance'!$B$39:$K$68,MATCH($A93,'Team Performance'!$A$39:$A$68,0),MATCH(($B93-2)&amp;"-"&amp;RIGHT($B93-1,2),'Team Performance'!$B$38:$K$38,0)),"n/a"))</f>
        <v>68</v>
      </c>
      <c r="M93" s="109">
        <f t="shared" si="3"/>
        <v>0.17073170731707318</v>
      </c>
      <c r="N93" s="108">
        <f>IF($B93=2017,IFERROR(INDEX('Team Performance'!$E$241:$E$270,MATCH($A93,'Team Performance'!$A$241:$A$270,0)),"n/a"),IFERROR(INDEX('Team Performance'!$B$140:$K$169,MATCH($A93,'Team Performance'!$A$140:$A$169,0),MATCH(($B93-2)&amp;"-"&amp;RIGHT($B93-1,2),'Team Performance'!$B$139:$K$139,0)),"n/a"))</f>
        <v>0</v>
      </c>
      <c r="O93" s="110">
        <f>IF($B93=2017,IFERROR(INDEX('Salary Cap'!$B$143:$B$172,MATCH($A93,'Salary Cap'!$A$143:$A$172,0)),"n/a"),IFERROR(INDEX('Salary Cap'!$B$10:$K$39,MATCH($A93,'Salary Cap'!$A$10:$A$39,0),MATCH(""&amp;($B93-1),'Salary Cap'!$B$9:$K$9,0)),"n/a"))</f>
        <v>135124059</v>
      </c>
      <c r="P93" s="115">
        <f>IF($B93=2017,IFERROR(INDEX('Salary Cap'!$C$143:$C$172,MATCH($A93,'Salary Cap'!$A$143:$A$172,0)),"n/a"),IFERROR(INDEX('Salary Cap'!$B$109:$K$138,MATCH($A93,'Salary Cap'!$A$109:$A$138,0),MATCH(""&amp;($B93-1),'Salary Cap'!$B$108:$K$108,0)),"n/a"))</f>
        <v>0</v>
      </c>
      <c r="Q93" s="138">
        <f>IF(OR($B93=2021,$B93=2022),1,0)</f>
        <v>0</v>
      </c>
    </row>
    <row r="94" spans="1:17" x14ac:dyDescent="0.2">
      <c r="A94" s="113" t="str" cm="1">
        <f t="array" ref="A94">INDEX('NBA Valuations'!$A$5:$A$34,INT((ROW()-5)/10)+1)</f>
        <v>Detroit Pistons</v>
      </c>
      <c r="B94" s="105">
        <f t="shared" si="2"/>
        <v>2026</v>
      </c>
      <c r="C94" s="106">
        <f>IFERROR(INDEX('NBA Valuations'!$B$5:$K$34,MATCH($A94,'NBA Valuations'!$A$5:$A$34,0),MATCH(""&amp;$B94,'NBA Valuations'!$B$3:$K$3,0)),"n/a")</f>
        <v>3650</v>
      </c>
      <c r="D94" s="106">
        <f>IFERROR(INDEX(Revenue!$B$5:$K$34,MATCH($A94,Revenue!$A$5:$A$34,0),MATCH(""&amp;$B94,Revenue!$B$3:$K$3,0)),"n/a")</f>
        <v>321</v>
      </c>
      <c r="E94" s="106">
        <f>IFERROR(INDEX('Operating Income'!$B$5:$K$34,MATCH($A94,'Operating Income'!$A$5:$A$34,0),MATCH(""&amp;$B94,'Operating Income'!$B$3:$K$3,0)),"n/a")</f>
        <v>106</v>
      </c>
      <c r="F94" s="107">
        <f>IFERROR(INDEX('Market Size'!$L$5:$L$34,MATCH($A94,'Market Size'!$A$5:$A$34,0)),"n/a")</f>
        <v>4385353</v>
      </c>
      <c r="G94" s="108">
        <f>IFERROR(INDEX('Market Size'!$B$38:$K$67,MATCH($A94,'Market Size'!$A$38:$A$67,0),MATCH(""&amp;($B94-1),'Market Size'!$B$36:$K$36,0)),"n/a")</f>
        <v>14</v>
      </c>
      <c r="H94" s="108">
        <f>IFERROR(INDEX(Arena!$B$38:$K$67,MATCH($A94,Arena!$A$38:$A$67,0),MATCH(""&amp;$B94,Arena!$B$36:$K$36,0)),"n/a")</f>
        <v>2017</v>
      </c>
      <c r="I94" s="136" t="str">
        <f>IFERROR(INDEX(Arena!$B$71:$K$100,MATCH($A94,Arena!$A$71:$A$100,0),MATCH(""&amp;$B94,Arena!$B$69:$K$69,0)),"n/a")</f>
        <v>N</v>
      </c>
      <c r="J94" s="137">
        <f>IF(ISNUMBER($H94),($B94-1)-$H94,"n/a")</f>
        <v>8</v>
      </c>
      <c r="K94" s="108">
        <f>IF($B94=2017,IFERROR(INDEX('Team Performance'!$B$241:$B$270,MATCH($A94,'Team Performance'!$A$241:$A$270,0)),"n/a"),IFERROR(INDEX('Team Performance'!$B$6:$K$35,MATCH($A94,'Team Performance'!$A$6:$A$35,0),MATCH(($B94-2)&amp;"-"&amp;RIGHT($B94-1,2),'Team Performance'!$B$5:$K$5,0)),"n/a"))</f>
        <v>44</v>
      </c>
      <c r="L94" s="108">
        <f>IF($B94=2017,IFERROR(INDEX('Team Performance'!$C$241:$C$270,MATCH($A94,'Team Performance'!$A$241:$A$270,0)),"n/a"),IFERROR(INDEX('Team Performance'!$B$39:$K$68,MATCH($A94,'Team Performance'!$A$39:$A$68,0),MATCH(($B94-2)&amp;"-"&amp;RIGHT($B94-1,2),'Team Performance'!$B$38:$K$38,0)),"n/a"))</f>
        <v>38</v>
      </c>
      <c r="M94" s="109">
        <f t="shared" si="3"/>
        <v>0.53658536585365857</v>
      </c>
      <c r="N94" s="108">
        <f>IF($B94=2017,IFERROR(INDEX('Team Performance'!$E$241:$E$270,MATCH($A94,'Team Performance'!$A$241:$A$270,0)),"n/a"),IFERROR(INDEX('Team Performance'!$B$140:$K$169,MATCH($A94,'Team Performance'!$A$140:$A$169,0),MATCH(($B94-2)&amp;"-"&amp;RIGHT($B94-1,2),'Team Performance'!$B$139:$K$139,0)),"n/a"))</f>
        <v>1</v>
      </c>
      <c r="O94" s="110">
        <f>IF($B94=2017,IFERROR(INDEX('Salary Cap'!$B$143:$B$172,MATCH($A94,'Salary Cap'!$A$143:$A$172,0)),"n/a"),IFERROR(INDEX('Salary Cap'!$B$10:$K$39,MATCH($A94,'Salary Cap'!$A$10:$A$39,0),MATCH(""&amp;($B94-1),'Salary Cap'!$B$9:$K$9,0)),"n/a"))</f>
        <v>141631285</v>
      </c>
      <c r="P94" s="115">
        <f>IF($B94=2017,IFERROR(INDEX('Salary Cap'!$C$143:$C$172,MATCH($A94,'Salary Cap'!$A$143:$A$172,0)),"n/a"),IFERROR(INDEX('Salary Cap'!$B$109:$K$138,MATCH($A94,'Salary Cap'!$A$109:$A$138,0),MATCH(""&amp;($B94-1),'Salary Cap'!$B$108:$K$108,0)),"n/a"))</f>
        <v>0</v>
      </c>
      <c r="Q94" s="138">
        <f>IF(OR($B94=2021,$B94=2022),1,0)</f>
        <v>0</v>
      </c>
    </row>
    <row r="95" spans="1:17" x14ac:dyDescent="0.2">
      <c r="A95" s="113" t="str" cm="1">
        <f t="array" ref="A95">INDEX('NBA Valuations'!$A$5:$A$34,INT((ROW()-5)/10)+1)</f>
        <v>Golden State Warriors</v>
      </c>
      <c r="B95" s="105">
        <f t="shared" si="2"/>
        <v>2017</v>
      </c>
      <c r="C95" s="106">
        <f>IFERROR(INDEX('NBA Valuations'!$B$5:$K$34,MATCH($A95,'NBA Valuations'!$A$5:$A$34,0),MATCH(""&amp;$B95,'NBA Valuations'!$B$3:$K$3,0)),"n/a")</f>
        <v>2600</v>
      </c>
      <c r="D95" s="106">
        <f>IFERROR(INDEX(Revenue!$B$5:$K$34,MATCH($A95,Revenue!$A$5:$A$34,0),MATCH(""&amp;$B95,Revenue!$B$3:$K$3,0)),"n/a")</f>
        <v>305</v>
      </c>
      <c r="E95" s="106">
        <f>IFERROR(INDEX('Operating Income'!$B$5:$K$34,MATCH($A95,'Operating Income'!$A$5:$A$34,0),MATCH(""&amp;$B95,'Operating Income'!$B$3:$K$3,0)),"n/a")</f>
        <v>74.2</v>
      </c>
      <c r="F95" s="107">
        <f>IFERROR(INDEX('Market Size'!$L$5:$L$34,MATCH($A95,'Market Size'!$A$5:$A$34,0)),"n/a")</f>
        <v>4745853</v>
      </c>
      <c r="G95" s="108" t="str">
        <f>IFERROR(INDEX('Market Size'!$B$38:$K$67,MATCH($A95,'Market Size'!$A$38:$A$67,0),MATCH(""&amp;($B95-1),'Market Size'!$B$36:$K$36,0)),"n/a")</f>
        <v>n/a</v>
      </c>
      <c r="H95" s="108">
        <f>IFERROR(INDEX(Arena!$B$38:$K$67,MATCH($A95,Arena!$A$38:$A$67,0),MATCH(""&amp;$B95,Arena!$B$36:$K$36,0)),"n/a")</f>
        <v>1966</v>
      </c>
      <c r="I95" s="136" t="str">
        <f>IFERROR(INDEX(Arena!$B$71:$K$100,MATCH($A95,Arena!$A$71:$A$100,0),MATCH(""&amp;$B95,Arena!$B$69:$K$69,0)),"n/a")</f>
        <v>N</v>
      </c>
      <c r="J95" s="137">
        <f>IF(ISNUMBER($H95),($B95-1)-$H95,"n/a")</f>
        <v>50</v>
      </c>
      <c r="K95" s="108">
        <f>IF($B95=2017,IFERROR(INDEX('Team Performance'!$B$241:$B$270,MATCH($A95,'Team Performance'!$A$241:$A$270,0)),"n/a"),IFERROR(INDEX('Team Performance'!$B$6:$K$35,MATCH($A95,'Team Performance'!$A$6:$A$35,0),MATCH(($B95-2)&amp;"-"&amp;RIGHT($B95-1,2),'Team Performance'!$B$5:$K$5,0)),"n/a"))</f>
        <v>73</v>
      </c>
      <c r="L95" s="108">
        <f>IF($B95=2017,IFERROR(INDEX('Team Performance'!$C$241:$C$270,MATCH($A95,'Team Performance'!$A$241:$A$270,0)),"n/a"),IFERROR(INDEX('Team Performance'!$B$39:$K$68,MATCH($A95,'Team Performance'!$A$39:$A$68,0),MATCH(($B95-2)&amp;"-"&amp;RIGHT($B95-1,2),'Team Performance'!$B$38:$K$38,0)),"n/a"))</f>
        <v>9</v>
      </c>
      <c r="M95" s="109">
        <f t="shared" si="3"/>
        <v>0.8902439024390244</v>
      </c>
      <c r="N95" s="108">
        <f>IF($B95=2017,IFERROR(INDEX('Team Performance'!$E$241:$E$270,MATCH($A95,'Team Performance'!$A$241:$A$270,0)),"n/a"),IFERROR(INDEX('Team Performance'!$B$140:$K$169,MATCH($A95,'Team Performance'!$A$140:$A$169,0),MATCH(($B95-2)&amp;"-"&amp;RIGHT($B95-1,2),'Team Performance'!$B$139:$K$139,0)),"n/a"))</f>
        <v>4</v>
      </c>
      <c r="O95" s="110">
        <f>IF($B95=2017,IFERROR(INDEX('Salary Cap'!$B$143:$B$172,MATCH($A95,'Salary Cap'!$A$143:$A$172,0)),"n/a"),IFERROR(INDEX('Salary Cap'!$B$10:$K$39,MATCH($A95,'Salary Cap'!$A$10:$A$39,0),MATCH(""&amp;($B95-1),'Salary Cap'!$B$9:$K$9,0)),"n/a"))</f>
        <v>95879899</v>
      </c>
      <c r="P95" s="115">
        <f>IF($B95=2017,IFERROR(INDEX('Salary Cap'!$C$143:$C$172,MATCH($A95,'Salary Cap'!$A$143:$A$172,0)),"n/a"),IFERROR(INDEX('Salary Cap'!$B$109:$K$138,MATCH($A95,'Salary Cap'!$A$109:$A$138,0),MATCH(""&amp;($B95-1),'Salary Cap'!$B$108:$K$108,0)),"n/a"))</f>
        <v>19099748</v>
      </c>
      <c r="Q95" s="138">
        <f>IF(OR($B95=2021,$B95=2022),1,0)</f>
        <v>0</v>
      </c>
    </row>
    <row r="96" spans="1:17" x14ac:dyDescent="0.2">
      <c r="A96" s="113" t="str" cm="1">
        <f t="array" ref="A96">INDEX('NBA Valuations'!$A$5:$A$34,INT((ROW()-5)/10)+1)</f>
        <v>Golden State Warriors</v>
      </c>
      <c r="B96" s="105">
        <f t="shared" si="2"/>
        <v>2018</v>
      </c>
      <c r="C96" s="106">
        <f>IFERROR(INDEX('NBA Valuations'!$B$5:$K$34,MATCH($A96,'NBA Valuations'!$A$5:$A$34,0),MATCH(""&amp;$B96,'NBA Valuations'!$B$3:$K$3,0)),"n/a")</f>
        <v>3100</v>
      </c>
      <c r="D96" s="106">
        <f>IFERROR(INDEX(Revenue!$B$5:$K$34,MATCH($A96,Revenue!$A$5:$A$34,0),MATCH(""&amp;$B96,Revenue!$B$3:$K$3,0)),"n/a")</f>
        <v>359</v>
      </c>
      <c r="E96" s="106">
        <f>IFERROR(INDEX('Operating Income'!$B$5:$K$34,MATCH($A96,'Operating Income'!$A$5:$A$34,0),MATCH(""&amp;$B96,'Operating Income'!$B$3:$K$3,0)),"n/a")</f>
        <v>120</v>
      </c>
      <c r="F96" s="107">
        <f>IFERROR(INDEX('Market Size'!$L$5:$L$34,MATCH($A96,'Market Size'!$A$5:$A$34,0)),"n/a")</f>
        <v>4745853</v>
      </c>
      <c r="G96" s="108" t="str">
        <f>IFERROR(INDEX('Market Size'!$B$38:$K$67,MATCH($A96,'Market Size'!$A$38:$A$67,0),MATCH(""&amp;($B96-1),'Market Size'!$B$36:$K$36,0)),"n/a")</f>
        <v>n/a</v>
      </c>
      <c r="H96" s="108">
        <f>IFERROR(INDEX(Arena!$B$38:$K$67,MATCH($A96,Arena!$A$38:$A$67,0),MATCH(""&amp;$B96,Arena!$B$36:$K$36,0)),"n/a")</f>
        <v>1966</v>
      </c>
      <c r="I96" s="136" t="str">
        <f>IFERROR(INDEX(Arena!$B$71:$K$100,MATCH($A96,Arena!$A$71:$A$100,0),MATCH(""&amp;$B96,Arena!$B$69:$K$69,0)),"n/a")</f>
        <v>N</v>
      </c>
      <c r="J96" s="137">
        <f>IF(ISNUMBER($H96),($B96-1)-$H96,"n/a")</f>
        <v>51</v>
      </c>
      <c r="K96" s="108">
        <f>IF($B96=2017,IFERROR(INDEX('Team Performance'!$B$241:$B$270,MATCH($A96,'Team Performance'!$A$241:$A$270,0)),"n/a"),IFERROR(INDEX('Team Performance'!$B$6:$K$35,MATCH($A96,'Team Performance'!$A$6:$A$35,0),MATCH(($B96-2)&amp;"-"&amp;RIGHT($B96-1,2),'Team Performance'!$B$5:$K$5,0)),"n/a"))</f>
        <v>67</v>
      </c>
      <c r="L96" s="108">
        <f>IF($B96=2017,IFERROR(INDEX('Team Performance'!$C$241:$C$270,MATCH($A96,'Team Performance'!$A$241:$A$270,0)),"n/a"),IFERROR(INDEX('Team Performance'!$B$39:$K$68,MATCH($A96,'Team Performance'!$A$39:$A$68,0),MATCH(($B96-2)&amp;"-"&amp;RIGHT($B96-1,2),'Team Performance'!$B$38:$K$38,0)),"n/a"))</f>
        <v>15</v>
      </c>
      <c r="M96" s="109">
        <f t="shared" si="3"/>
        <v>0.81707317073170727</v>
      </c>
      <c r="N96" s="108">
        <f>IF($B96=2017,IFERROR(INDEX('Team Performance'!$E$241:$E$270,MATCH($A96,'Team Performance'!$A$241:$A$270,0)),"n/a"),IFERROR(INDEX('Team Performance'!$B$140:$K$169,MATCH($A96,'Team Performance'!$A$140:$A$169,0),MATCH(($B96-2)&amp;"-"&amp;RIGHT($B96-1,2),'Team Performance'!$B$139:$K$139,0)),"n/a"))</f>
        <v>5</v>
      </c>
      <c r="O96" s="110">
        <f>IF($B96=2017,IFERROR(INDEX('Salary Cap'!$B$143:$B$172,MATCH($A96,'Salary Cap'!$A$143:$A$172,0)),"n/a"),IFERROR(INDEX('Salary Cap'!$B$10:$K$39,MATCH($A96,'Salary Cap'!$A$10:$A$39,0),MATCH(""&amp;($B96-1),'Salary Cap'!$B$9:$K$9,0)),"n/a"))</f>
        <v>100255533</v>
      </c>
      <c r="P96" s="115">
        <f>IF($B96=2017,IFERROR(INDEX('Salary Cap'!$C$143:$C$172,MATCH($A96,'Salary Cap'!$A$143:$A$172,0)),"n/a"),IFERROR(INDEX('Salary Cap'!$B$109:$K$138,MATCH($A96,'Salary Cap'!$A$109:$A$138,0),MATCH(""&amp;($B96-1),'Salary Cap'!$B$108:$K$108,0)),"n/a"))</f>
        <v>0</v>
      </c>
      <c r="Q96" s="138">
        <f>IF(OR($B96=2021,$B96=2022),1,0)</f>
        <v>0</v>
      </c>
    </row>
    <row r="97" spans="1:17" x14ac:dyDescent="0.2">
      <c r="A97" s="113" t="str" cm="1">
        <f t="array" ref="A97">INDEX('NBA Valuations'!$A$5:$A$34,INT((ROW()-5)/10)+1)</f>
        <v>Golden State Warriors</v>
      </c>
      <c r="B97" s="105">
        <f t="shared" si="2"/>
        <v>2019</v>
      </c>
      <c r="C97" s="106">
        <f>IFERROR(INDEX('NBA Valuations'!$B$5:$K$34,MATCH($A97,'NBA Valuations'!$A$5:$A$34,0),MATCH(""&amp;$B97,'NBA Valuations'!$B$3:$K$3,0)),"n/a")</f>
        <v>3500</v>
      </c>
      <c r="D97" s="106">
        <f>IFERROR(INDEX(Revenue!$B$5:$K$34,MATCH($A97,Revenue!$A$5:$A$34,0),MATCH(""&amp;$B97,Revenue!$B$3:$K$3,0)),"n/a")</f>
        <v>401</v>
      </c>
      <c r="E97" s="106">
        <f>IFERROR(INDEX('Operating Income'!$B$5:$K$34,MATCH($A97,'Operating Income'!$A$5:$A$34,0),MATCH(""&amp;$B97,'Operating Income'!$B$3:$K$3,0)),"n/a")</f>
        <v>103</v>
      </c>
      <c r="F97" s="107">
        <f>IFERROR(INDEX('Market Size'!$L$5:$L$34,MATCH($A97,'Market Size'!$A$5:$A$34,0)),"n/a")</f>
        <v>4745853</v>
      </c>
      <c r="G97" s="108" t="str">
        <f>IFERROR(INDEX('Market Size'!$B$38:$K$67,MATCH($A97,'Market Size'!$A$38:$A$67,0),MATCH(""&amp;($B97-1),'Market Size'!$B$36:$K$36,0)),"n/a")</f>
        <v>n/a</v>
      </c>
      <c r="H97" s="108">
        <f>IFERROR(INDEX(Arena!$B$38:$K$67,MATCH($A97,Arena!$A$38:$A$67,0),MATCH(""&amp;$B97,Arena!$B$36:$K$36,0)),"n/a")</f>
        <v>1966</v>
      </c>
      <c r="I97" s="136" t="str">
        <f>IFERROR(INDEX(Arena!$B$71:$K$100,MATCH($A97,Arena!$A$71:$A$100,0),MATCH(""&amp;$B97,Arena!$B$69:$K$69,0)),"n/a")</f>
        <v>N</v>
      </c>
      <c r="J97" s="137">
        <f>IF(ISNUMBER($H97),($B97-1)-$H97,"n/a")</f>
        <v>52</v>
      </c>
      <c r="K97" s="108">
        <f>IF($B97=2017,IFERROR(INDEX('Team Performance'!$B$241:$B$270,MATCH($A97,'Team Performance'!$A$241:$A$270,0)),"n/a"),IFERROR(INDEX('Team Performance'!$B$6:$K$35,MATCH($A97,'Team Performance'!$A$6:$A$35,0),MATCH(($B97-2)&amp;"-"&amp;RIGHT($B97-1,2),'Team Performance'!$B$5:$K$5,0)),"n/a"))</f>
        <v>58</v>
      </c>
      <c r="L97" s="108">
        <f>IF($B97=2017,IFERROR(INDEX('Team Performance'!$C$241:$C$270,MATCH($A97,'Team Performance'!$A$241:$A$270,0)),"n/a"),IFERROR(INDEX('Team Performance'!$B$39:$K$68,MATCH($A97,'Team Performance'!$A$39:$A$68,0),MATCH(($B97-2)&amp;"-"&amp;RIGHT($B97-1,2),'Team Performance'!$B$38:$K$38,0)),"n/a"))</f>
        <v>24</v>
      </c>
      <c r="M97" s="109">
        <f t="shared" si="3"/>
        <v>0.70731707317073167</v>
      </c>
      <c r="N97" s="108">
        <f>IF($B97=2017,IFERROR(INDEX('Team Performance'!$E$241:$E$270,MATCH($A97,'Team Performance'!$A$241:$A$270,0)),"n/a"),IFERROR(INDEX('Team Performance'!$B$140:$K$169,MATCH($A97,'Team Performance'!$A$140:$A$169,0),MATCH(($B97-2)&amp;"-"&amp;RIGHT($B97-1,2),'Team Performance'!$B$139:$K$139,0)),"n/a"))</f>
        <v>5</v>
      </c>
      <c r="O97" s="110">
        <f>IF($B97=2017,IFERROR(INDEX('Salary Cap'!$B$143:$B$172,MATCH($A97,'Salary Cap'!$A$143:$A$172,0)),"n/a"),IFERROR(INDEX('Salary Cap'!$B$10:$K$39,MATCH($A97,'Salary Cap'!$A$10:$A$39,0),MATCH(""&amp;($B97-1),'Salary Cap'!$B$9:$K$9,0)),"n/a"))</f>
        <v>136027513</v>
      </c>
      <c r="P97" s="115">
        <f>IF($B97=2017,IFERROR(INDEX('Salary Cap'!$C$143:$C$172,MATCH($A97,'Salary Cap'!$A$143:$A$172,0)),"n/a"),IFERROR(INDEX('Salary Cap'!$B$109:$K$138,MATCH($A97,'Salary Cap'!$A$109:$A$138,0),MATCH(""&amp;($B97-1),'Salary Cap'!$B$108:$K$108,0)),"n/a"))</f>
        <v>32263299</v>
      </c>
      <c r="Q97" s="138">
        <f>IF(OR($B97=2021,$B97=2022),1,0)</f>
        <v>0</v>
      </c>
    </row>
    <row r="98" spans="1:17" x14ac:dyDescent="0.2">
      <c r="A98" s="113" t="str" cm="1">
        <f t="array" ref="A98">INDEX('NBA Valuations'!$A$5:$A$34,INT((ROW()-5)/10)+1)</f>
        <v>Golden State Warriors</v>
      </c>
      <c r="B98" s="105">
        <f t="shared" si="2"/>
        <v>2020</v>
      </c>
      <c r="C98" s="106">
        <f>IFERROR(INDEX('NBA Valuations'!$B$5:$K$34,MATCH($A98,'NBA Valuations'!$A$5:$A$34,0),MATCH(""&amp;$B98,'NBA Valuations'!$B$3:$K$3,0)),"n/a")</f>
        <v>4300</v>
      </c>
      <c r="D98" s="106">
        <f>IFERROR(INDEX(Revenue!$B$5:$K$34,MATCH($A98,Revenue!$A$5:$A$34,0),MATCH(""&amp;$B98,Revenue!$B$3:$K$3,0)),"n/a")</f>
        <v>440</v>
      </c>
      <c r="E98" s="106">
        <f>IFERROR(INDEX('Operating Income'!$B$5:$K$34,MATCH($A98,'Operating Income'!$A$5:$A$34,0),MATCH(""&amp;$B98,'Operating Income'!$B$3:$K$3,0)),"n/a")</f>
        <v>109</v>
      </c>
      <c r="F98" s="107">
        <f>IFERROR(INDEX('Market Size'!$L$5:$L$34,MATCH($A98,'Market Size'!$A$5:$A$34,0)),"n/a")</f>
        <v>4745853</v>
      </c>
      <c r="G98" s="108" t="str">
        <f>IFERROR(INDEX('Market Size'!$B$38:$K$67,MATCH($A98,'Market Size'!$A$38:$A$67,0),MATCH(""&amp;($B98-1),'Market Size'!$B$36:$K$36,0)),"n/a")</f>
        <v>n/a</v>
      </c>
      <c r="H98" s="108">
        <f>IFERROR(INDEX(Arena!$B$38:$K$67,MATCH($A98,Arena!$A$38:$A$67,0),MATCH(""&amp;$B98,Arena!$B$36:$K$36,0)),"n/a")</f>
        <v>1966</v>
      </c>
      <c r="I98" s="136" t="str">
        <f>IFERROR(INDEX(Arena!$B$71:$K$100,MATCH($A98,Arena!$A$71:$A$100,0),MATCH(""&amp;$B98,Arena!$B$69:$K$69,0)),"n/a")</f>
        <v>N</v>
      </c>
      <c r="J98" s="137">
        <f>IF(ISNUMBER($H98),($B98-1)-$H98,"n/a")</f>
        <v>53</v>
      </c>
      <c r="K98" s="108">
        <f>IF($B98=2017,IFERROR(INDEX('Team Performance'!$B$241:$B$270,MATCH($A98,'Team Performance'!$A$241:$A$270,0)),"n/a"),IFERROR(INDEX('Team Performance'!$B$6:$K$35,MATCH($A98,'Team Performance'!$A$6:$A$35,0),MATCH(($B98-2)&amp;"-"&amp;RIGHT($B98-1,2),'Team Performance'!$B$5:$K$5,0)),"n/a"))</f>
        <v>57</v>
      </c>
      <c r="L98" s="108">
        <f>IF($B98=2017,IFERROR(INDEX('Team Performance'!$C$241:$C$270,MATCH($A98,'Team Performance'!$A$241:$A$270,0)),"n/a"),IFERROR(INDEX('Team Performance'!$B$39:$K$68,MATCH($A98,'Team Performance'!$A$39:$A$68,0),MATCH(($B98-2)&amp;"-"&amp;RIGHT($B98-1,2),'Team Performance'!$B$38:$K$38,0)),"n/a"))</f>
        <v>25</v>
      </c>
      <c r="M98" s="109">
        <f t="shared" si="3"/>
        <v>0.69512195121951215</v>
      </c>
      <c r="N98" s="108">
        <f>IF($B98=2017,IFERROR(INDEX('Team Performance'!$E$241:$E$270,MATCH($A98,'Team Performance'!$A$241:$A$270,0)),"n/a"),IFERROR(INDEX('Team Performance'!$B$140:$K$169,MATCH($A98,'Team Performance'!$A$140:$A$169,0),MATCH(($B98-2)&amp;"-"&amp;RIGHT($B98-1,2),'Team Performance'!$B$139:$K$139,0)),"n/a"))</f>
        <v>4</v>
      </c>
      <c r="O98" s="110">
        <f>IF($B98=2017,IFERROR(INDEX('Salary Cap'!$B$143:$B$172,MATCH($A98,'Salary Cap'!$A$143:$A$172,0)),"n/a"),IFERROR(INDEX('Salary Cap'!$B$10:$K$39,MATCH($A98,'Salary Cap'!$A$10:$A$39,0),MATCH(""&amp;($B98-1),'Salary Cap'!$B$9:$K$9,0)),"n/a"))</f>
        <v>145463097</v>
      </c>
      <c r="P98" s="115">
        <f>IF($B98=2017,IFERROR(INDEX('Salary Cap'!$C$143:$C$172,MATCH($A98,'Salary Cap'!$A$143:$A$172,0)),"n/a"),IFERROR(INDEX('Salary Cap'!$B$109:$K$138,MATCH($A98,'Salary Cap'!$A$109:$A$138,0),MATCH(""&amp;($B98-1),'Salary Cap'!$B$108:$K$108,0)),"n/a"))</f>
        <v>51500000</v>
      </c>
      <c r="Q98" s="138">
        <f>IF(OR($B98=2021,$B98=2022),1,0)</f>
        <v>0</v>
      </c>
    </row>
    <row r="99" spans="1:17" x14ac:dyDescent="0.2">
      <c r="A99" s="113" t="str" cm="1">
        <f t="array" ref="A99">INDEX('NBA Valuations'!$A$5:$A$34,INT((ROW()-5)/10)+1)</f>
        <v>Golden State Warriors</v>
      </c>
      <c r="B99" s="105">
        <f t="shared" si="2"/>
        <v>2021</v>
      </c>
      <c r="C99" s="106">
        <f>IFERROR(INDEX('NBA Valuations'!$B$5:$K$34,MATCH($A99,'NBA Valuations'!$A$5:$A$34,0),MATCH(""&amp;$B99,'NBA Valuations'!$B$3:$K$3,0)),"n/a")</f>
        <v>4700</v>
      </c>
      <c r="D99" s="106">
        <f>IFERROR(INDEX(Revenue!$B$5:$K$34,MATCH($A99,Revenue!$A$5:$A$34,0),MATCH(""&amp;$B99,Revenue!$B$3:$K$3,0)),"n/a")</f>
        <v>474</v>
      </c>
      <c r="E99" s="106">
        <f>IFERROR(INDEX('Operating Income'!$B$5:$K$34,MATCH($A99,'Operating Income'!$A$5:$A$34,0),MATCH(""&amp;$B99,'Operating Income'!$B$3:$K$3,0)),"n/a")</f>
        <v>200</v>
      </c>
      <c r="F99" s="107">
        <f>IFERROR(INDEX('Market Size'!$L$5:$L$34,MATCH($A99,'Market Size'!$A$5:$A$34,0)),"n/a")</f>
        <v>4745853</v>
      </c>
      <c r="G99" s="108" t="str">
        <f>IFERROR(INDEX('Market Size'!$B$38:$K$67,MATCH($A99,'Market Size'!$A$38:$A$67,0),MATCH(""&amp;($B99-1),'Market Size'!$B$36:$K$36,0)),"n/a")</f>
        <v>n/a</v>
      </c>
      <c r="H99" s="108">
        <f>IFERROR(INDEX(Arena!$B$38:$K$67,MATCH($A99,Arena!$A$38:$A$67,0),MATCH(""&amp;$B99,Arena!$B$36:$K$36,0)),"n/a")</f>
        <v>2019</v>
      </c>
      <c r="I99" s="136" t="str">
        <f>IFERROR(INDEX(Arena!$B$71:$K$100,MATCH($A99,Arena!$A$71:$A$100,0),MATCH(""&amp;$B99,Arena!$B$69:$K$69,0)),"n/a")</f>
        <v>Y</v>
      </c>
      <c r="J99" s="137">
        <f>IF(ISNUMBER($H99),($B99-1)-$H99,"n/a")</f>
        <v>1</v>
      </c>
      <c r="K99" s="108">
        <f>IF($B99=2017,IFERROR(INDEX('Team Performance'!$B$241:$B$270,MATCH($A99,'Team Performance'!$A$241:$A$270,0)),"n/a"),IFERROR(INDEX('Team Performance'!$B$6:$K$35,MATCH($A99,'Team Performance'!$A$6:$A$35,0),MATCH(($B99-2)&amp;"-"&amp;RIGHT($B99-1,2),'Team Performance'!$B$5:$K$5,0)),"n/a"))</f>
        <v>15</v>
      </c>
      <c r="L99" s="108">
        <f>IF($B99=2017,IFERROR(INDEX('Team Performance'!$C$241:$C$270,MATCH($A99,'Team Performance'!$A$241:$A$270,0)),"n/a"),IFERROR(INDEX('Team Performance'!$B$39:$K$68,MATCH($A99,'Team Performance'!$A$39:$A$68,0),MATCH(($B99-2)&amp;"-"&amp;RIGHT($B99-1,2),'Team Performance'!$B$38:$K$38,0)),"n/a"))</f>
        <v>50</v>
      </c>
      <c r="M99" s="109">
        <f t="shared" si="3"/>
        <v>0.23076923076923078</v>
      </c>
      <c r="N99" s="108">
        <f>IF($B99=2017,IFERROR(INDEX('Team Performance'!$E$241:$E$270,MATCH($A99,'Team Performance'!$A$241:$A$270,0)),"n/a"),IFERROR(INDEX('Team Performance'!$B$140:$K$169,MATCH($A99,'Team Performance'!$A$140:$A$169,0),MATCH(($B99-2)&amp;"-"&amp;RIGHT($B99-1,2),'Team Performance'!$B$139:$K$139,0)),"n/a"))</f>
        <v>0</v>
      </c>
      <c r="O99" s="110">
        <f>IF($B99=2017,IFERROR(INDEX('Salary Cap'!$B$143:$B$172,MATCH($A99,'Salary Cap'!$A$143:$A$172,0)),"n/a"),IFERROR(INDEX('Salary Cap'!$B$10:$K$39,MATCH($A99,'Salary Cap'!$A$10:$A$39,0),MATCH(""&amp;($B99-1),'Salary Cap'!$B$9:$K$9,0)),"n/a"))</f>
        <v>132317044</v>
      </c>
      <c r="P99" s="115">
        <f>IF($B99=2017,IFERROR(INDEX('Salary Cap'!$C$143:$C$172,MATCH($A99,'Salary Cap'!$A$143:$A$172,0)),"n/a"),IFERROR(INDEX('Salary Cap'!$B$109:$K$138,MATCH($A99,'Salary Cap'!$A$109:$A$138,0),MATCH(""&amp;($B99-1),'Salary Cap'!$B$108:$K$108,0)),"n/a"))</f>
        <v>0</v>
      </c>
      <c r="Q99" s="138">
        <f>IF(OR($B99=2021,$B99=2022),1,0)</f>
        <v>1</v>
      </c>
    </row>
    <row r="100" spans="1:17" x14ac:dyDescent="0.2">
      <c r="A100" s="113" t="str" cm="1">
        <f t="array" ref="A100">INDEX('NBA Valuations'!$A$5:$A$34,INT((ROW()-5)/10)+1)</f>
        <v>Golden State Warriors</v>
      </c>
      <c r="B100" s="105">
        <f t="shared" si="2"/>
        <v>2022</v>
      </c>
      <c r="C100" s="106">
        <f>IFERROR(INDEX('NBA Valuations'!$B$5:$K$34,MATCH($A100,'NBA Valuations'!$A$5:$A$34,0),MATCH(""&amp;$B100,'NBA Valuations'!$B$3:$K$3,0)),"n/a")</f>
        <v>5600</v>
      </c>
      <c r="D100" s="106">
        <f>IFERROR(INDEX(Revenue!$B$5:$K$34,MATCH($A100,Revenue!$A$5:$A$34,0),MATCH(""&amp;$B100,Revenue!$B$3:$K$3,0)),"n/a")</f>
        <v>258</v>
      </c>
      <c r="E100" s="106">
        <f>IFERROR(INDEX('Operating Income'!$B$5:$K$34,MATCH($A100,'Operating Income'!$A$5:$A$34,0),MATCH(""&amp;$B100,'Operating Income'!$B$3:$K$3,0)),"n/a")</f>
        <v>-44</v>
      </c>
      <c r="F100" s="107">
        <f>IFERROR(INDEX('Market Size'!$L$5:$L$34,MATCH($A100,'Market Size'!$A$5:$A$34,0)),"n/a")</f>
        <v>4745853</v>
      </c>
      <c r="G100" s="108" t="str">
        <f>IFERROR(INDEX('Market Size'!$B$38:$K$67,MATCH($A100,'Market Size'!$A$38:$A$67,0),MATCH(""&amp;($B100-1),'Market Size'!$B$36:$K$36,0)),"n/a")</f>
        <v>n/a</v>
      </c>
      <c r="H100" s="108">
        <f>IFERROR(INDEX(Arena!$B$38:$K$67,MATCH($A100,Arena!$A$38:$A$67,0),MATCH(""&amp;$B100,Arena!$B$36:$K$36,0)),"n/a")</f>
        <v>2019</v>
      </c>
      <c r="I100" s="136" t="str">
        <f>IFERROR(INDEX(Arena!$B$71:$K$100,MATCH($A100,Arena!$A$71:$A$100,0),MATCH(""&amp;$B100,Arena!$B$69:$K$69,0)),"n/a")</f>
        <v>Y</v>
      </c>
      <c r="J100" s="137">
        <f>IF(ISNUMBER($H100),($B100-1)-$H100,"n/a")</f>
        <v>2</v>
      </c>
      <c r="K100" s="108">
        <f>IF($B100=2017,IFERROR(INDEX('Team Performance'!$B$241:$B$270,MATCH($A100,'Team Performance'!$A$241:$A$270,0)),"n/a"),IFERROR(INDEX('Team Performance'!$B$6:$K$35,MATCH($A100,'Team Performance'!$A$6:$A$35,0),MATCH(($B100-2)&amp;"-"&amp;RIGHT($B100-1,2),'Team Performance'!$B$5:$K$5,0)),"n/a"))</f>
        <v>39</v>
      </c>
      <c r="L100" s="108">
        <f>IF($B100=2017,IFERROR(INDEX('Team Performance'!$C$241:$C$270,MATCH($A100,'Team Performance'!$A$241:$A$270,0)),"n/a"),IFERROR(INDEX('Team Performance'!$B$39:$K$68,MATCH($A100,'Team Performance'!$A$39:$A$68,0),MATCH(($B100-2)&amp;"-"&amp;RIGHT($B100-1,2),'Team Performance'!$B$38:$K$38,0)),"n/a"))</f>
        <v>33</v>
      </c>
      <c r="M100" s="109">
        <f t="shared" si="3"/>
        <v>0.54166666666666663</v>
      </c>
      <c r="N100" s="108">
        <f>IF($B100=2017,IFERROR(INDEX('Team Performance'!$E$241:$E$270,MATCH($A100,'Team Performance'!$A$241:$A$270,0)),"n/a"),IFERROR(INDEX('Team Performance'!$B$140:$K$169,MATCH($A100,'Team Performance'!$A$140:$A$169,0),MATCH(($B100-2)&amp;"-"&amp;RIGHT($B100-1,2),'Team Performance'!$B$139:$K$139,0)),"n/a"))</f>
        <v>0</v>
      </c>
      <c r="O100" s="110">
        <f>IF($B100=2017,IFERROR(INDEX('Salary Cap'!$B$143:$B$172,MATCH($A100,'Salary Cap'!$A$143:$A$172,0)),"n/a"),IFERROR(INDEX('Salary Cap'!$B$10:$K$39,MATCH($A100,'Salary Cap'!$A$10:$A$39,0),MATCH(""&amp;($B100-1),'Salary Cap'!$B$9:$K$9,0)),"n/a"))</f>
        <v>169212512</v>
      </c>
      <c r="P100" s="115">
        <f>IF($B100=2017,IFERROR(INDEX('Salary Cap'!$C$143:$C$172,MATCH($A100,'Salary Cap'!$A$143:$A$172,0)),"n/a"),IFERROR(INDEX('Salary Cap'!$B$109:$K$138,MATCH($A100,'Salary Cap'!$A$109:$A$138,0),MATCH(""&amp;($B100-1),'Salary Cap'!$B$108:$K$108,0)),"n/a"))</f>
        <v>68942909</v>
      </c>
      <c r="Q100" s="138">
        <f>IF(OR($B100=2021,$B100=2022),1,0)</f>
        <v>1</v>
      </c>
    </row>
    <row r="101" spans="1:17" x14ac:dyDescent="0.2">
      <c r="A101" s="113" t="str" cm="1">
        <f t="array" ref="A101">INDEX('NBA Valuations'!$A$5:$A$34,INT((ROW()-5)/10)+1)</f>
        <v>Golden State Warriors</v>
      </c>
      <c r="B101" s="105">
        <f t="shared" si="2"/>
        <v>2023</v>
      </c>
      <c r="C101" s="106">
        <f>IFERROR(INDEX('NBA Valuations'!$B$5:$K$34,MATCH($A101,'NBA Valuations'!$A$5:$A$34,0),MATCH(""&amp;$B101,'NBA Valuations'!$B$3:$K$3,0)),"n/a")</f>
        <v>7000</v>
      </c>
      <c r="D101" s="106">
        <f>IFERROR(INDEX(Revenue!$B$5:$K$34,MATCH($A101,Revenue!$A$5:$A$34,0),MATCH(""&amp;$B101,Revenue!$B$3:$K$3,0)),"n/a")</f>
        <v>765</v>
      </c>
      <c r="E101" s="106">
        <f>IFERROR(INDEX('Operating Income'!$B$5:$K$34,MATCH($A101,'Operating Income'!$A$5:$A$34,0),MATCH(""&amp;$B101,'Operating Income'!$B$3:$K$3,0)),"n/a")</f>
        <v>206</v>
      </c>
      <c r="F101" s="107">
        <f>IFERROR(INDEX('Market Size'!$L$5:$L$34,MATCH($A101,'Market Size'!$A$5:$A$34,0)),"n/a")</f>
        <v>4745853</v>
      </c>
      <c r="G101" s="108" t="str">
        <f>IFERROR(INDEX('Market Size'!$B$38:$K$67,MATCH($A101,'Market Size'!$A$38:$A$67,0),MATCH(""&amp;($B101-1),'Market Size'!$B$36:$K$36,0)),"n/a")</f>
        <v>n/a</v>
      </c>
      <c r="H101" s="108">
        <f>IFERROR(INDEX(Arena!$B$38:$K$67,MATCH($A101,Arena!$A$38:$A$67,0),MATCH(""&amp;$B101,Arena!$B$36:$K$36,0)),"n/a")</f>
        <v>2019</v>
      </c>
      <c r="I101" s="136" t="str">
        <f>IFERROR(INDEX(Arena!$B$71:$K$100,MATCH($A101,Arena!$A$71:$A$100,0),MATCH(""&amp;$B101,Arena!$B$69:$K$69,0)),"n/a")</f>
        <v>Y</v>
      </c>
      <c r="J101" s="137">
        <f>IF(ISNUMBER($H101),($B101-1)-$H101,"n/a")</f>
        <v>3</v>
      </c>
      <c r="K101" s="108">
        <f>IF($B101=2017,IFERROR(INDEX('Team Performance'!$B$241:$B$270,MATCH($A101,'Team Performance'!$A$241:$A$270,0)),"n/a"),IFERROR(INDEX('Team Performance'!$B$6:$K$35,MATCH($A101,'Team Performance'!$A$6:$A$35,0),MATCH(($B101-2)&amp;"-"&amp;RIGHT($B101-1,2),'Team Performance'!$B$5:$K$5,0)),"n/a"))</f>
        <v>53</v>
      </c>
      <c r="L101" s="108">
        <f>IF($B101=2017,IFERROR(INDEX('Team Performance'!$C$241:$C$270,MATCH($A101,'Team Performance'!$A$241:$A$270,0)),"n/a"),IFERROR(INDEX('Team Performance'!$B$39:$K$68,MATCH($A101,'Team Performance'!$A$39:$A$68,0),MATCH(($B101-2)&amp;"-"&amp;RIGHT($B101-1,2),'Team Performance'!$B$38:$K$38,0)),"n/a"))</f>
        <v>29</v>
      </c>
      <c r="M101" s="109">
        <f t="shared" si="3"/>
        <v>0.64634146341463417</v>
      </c>
      <c r="N101" s="108">
        <f>IF($B101=2017,IFERROR(INDEX('Team Performance'!$E$241:$E$270,MATCH($A101,'Team Performance'!$A$241:$A$270,0)),"n/a"),IFERROR(INDEX('Team Performance'!$B$140:$K$169,MATCH($A101,'Team Performance'!$A$140:$A$169,0),MATCH(($B101-2)&amp;"-"&amp;RIGHT($B101-1,2),'Team Performance'!$B$139:$K$139,0)),"n/a"))</f>
        <v>5</v>
      </c>
      <c r="O101" s="110">
        <f>IF($B101=2017,IFERROR(INDEX('Salary Cap'!$B$143:$B$172,MATCH($A101,'Salary Cap'!$A$143:$A$172,0)),"n/a"),IFERROR(INDEX('Salary Cap'!$B$10:$K$39,MATCH($A101,'Salary Cap'!$A$10:$A$39,0),MATCH(""&amp;($B101-1),'Salary Cap'!$B$9:$K$9,0)),"n/a"))</f>
        <v>175858992</v>
      </c>
      <c r="P101" s="115">
        <f>IF($B101=2017,IFERROR(INDEX('Salary Cap'!$C$143:$C$172,MATCH($A101,'Salary Cap'!$A$143:$A$172,0)),"n/a"),IFERROR(INDEX('Salary Cap'!$B$109:$K$138,MATCH($A101,'Salary Cap'!$A$109:$A$138,0),MATCH(""&amp;($B101-1),'Salary Cap'!$B$108:$K$108,0)),"n/a"))</f>
        <v>170331194</v>
      </c>
      <c r="Q101" s="138">
        <f>IF(OR($B101=2021,$B101=2022),1,0)</f>
        <v>0</v>
      </c>
    </row>
    <row r="102" spans="1:17" x14ac:dyDescent="0.2">
      <c r="A102" s="113" t="str" cm="1">
        <f t="array" ref="A102">INDEX('NBA Valuations'!$A$5:$A$34,INT((ROW()-5)/10)+1)</f>
        <v>Golden State Warriors</v>
      </c>
      <c r="B102" s="105">
        <f t="shared" si="2"/>
        <v>2024</v>
      </c>
      <c r="C102" s="106">
        <f>IFERROR(INDEX('NBA Valuations'!$B$5:$K$34,MATCH($A102,'NBA Valuations'!$A$5:$A$34,0),MATCH(""&amp;$B102,'NBA Valuations'!$B$3:$K$3,0)),"n/a")</f>
        <v>7700</v>
      </c>
      <c r="D102" s="106">
        <f>IFERROR(INDEX(Revenue!$B$5:$K$34,MATCH($A102,Revenue!$A$5:$A$34,0),MATCH(""&amp;$B102,Revenue!$B$3:$K$3,0)),"n/a")</f>
        <v>765</v>
      </c>
      <c r="E102" s="106">
        <f>IFERROR(INDEX('Operating Income'!$B$5:$K$34,MATCH($A102,'Operating Income'!$A$5:$A$34,0),MATCH(""&amp;$B102,'Operating Income'!$B$3:$K$3,0)),"n/a")</f>
        <v>79</v>
      </c>
      <c r="F102" s="107">
        <f>IFERROR(INDEX('Market Size'!$L$5:$L$34,MATCH($A102,'Market Size'!$A$5:$A$34,0)),"n/a")</f>
        <v>4745853</v>
      </c>
      <c r="G102" s="108" t="str">
        <f>IFERROR(INDEX('Market Size'!$B$38:$K$67,MATCH($A102,'Market Size'!$A$38:$A$67,0),MATCH(""&amp;($B102-1),'Market Size'!$B$36:$K$36,0)),"n/a")</f>
        <v>n/a</v>
      </c>
      <c r="H102" s="108">
        <f>IFERROR(INDEX(Arena!$B$38:$K$67,MATCH($A102,Arena!$A$38:$A$67,0),MATCH(""&amp;$B102,Arena!$B$36:$K$36,0)),"n/a")</f>
        <v>2019</v>
      </c>
      <c r="I102" s="136" t="str">
        <f>IFERROR(INDEX(Arena!$B$71:$K$100,MATCH($A102,Arena!$A$71:$A$100,0),MATCH(""&amp;$B102,Arena!$B$69:$K$69,0)),"n/a")</f>
        <v>Y</v>
      </c>
      <c r="J102" s="137">
        <f>IF(ISNUMBER($H102),($B102-1)-$H102,"n/a")</f>
        <v>4</v>
      </c>
      <c r="K102" s="108">
        <f>IF($B102=2017,IFERROR(INDEX('Team Performance'!$B$241:$B$270,MATCH($A102,'Team Performance'!$A$241:$A$270,0)),"n/a"),IFERROR(INDEX('Team Performance'!$B$6:$K$35,MATCH($A102,'Team Performance'!$A$6:$A$35,0),MATCH(($B102-2)&amp;"-"&amp;RIGHT($B102-1,2),'Team Performance'!$B$5:$K$5,0)),"n/a"))</f>
        <v>44</v>
      </c>
      <c r="L102" s="108">
        <f>IF($B102=2017,IFERROR(INDEX('Team Performance'!$C$241:$C$270,MATCH($A102,'Team Performance'!$A$241:$A$270,0)),"n/a"),IFERROR(INDEX('Team Performance'!$B$39:$K$68,MATCH($A102,'Team Performance'!$A$39:$A$68,0),MATCH(($B102-2)&amp;"-"&amp;RIGHT($B102-1,2),'Team Performance'!$B$38:$K$38,0)),"n/a"))</f>
        <v>38</v>
      </c>
      <c r="M102" s="109">
        <f t="shared" si="3"/>
        <v>0.53658536585365857</v>
      </c>
      <c r="N102" s="108">
        <f>IF($B102=2017,IFERROR(INDEX('Team Performance'!$E$241:$E$270,MATCH($A102,'Team Performance'!$A$241:$A$270,0)),"n/a"),IFERROR(INDEX('Team Performance'!$B$140:$K$169,MATCH($A102,'Team Performance'!$A$140:$A$169,0),MATCH(($B102-2)&amp;"-"&amp;RIGHT($B102-1,2),'Team Performance'!$B$139:$K$139,0)),"n/a"))</f>
        <v>2</v>
      </c>
      <c r="O102" s="110">
        <f>IF($B102=2017,IFERROR(INDEX('Salary Cap'!$B$143:$B$172,MATCH($A102,'Salary Cap'!$A$143:$A$172,0)),"n/a"),IFERROR(INDEX('Salary Cap'!$B$10:$K$39,MATCH($A102,'Salary Cap'!$A$10:$A$39,0),MATCH(""&amp;($B102-1),'Salary Cap'!$B$9:$K$9,0)),"n/a"))</f>
        <v>188371492</v>
      </c>
      <c r="P102" s="115">
        <f>IF($B102=2017,IFERROR(INDEX('Salary Cap'!$C$143:$C$172,MATCH($A102,'Salary Cap'!$A$143:$A$172,0)),"n/a"),IFERROR(INDEX('Salary Cap'!$B$109:$K$138,MATCH($A102,'Salary Cap'!$A$109:$A$138,0),MATCH(""&amp;($B102-1),'Salary Cap'!$B$108:$K$108,0)),"n/a"))</f>
        <v>163153075</v>
      </c>
      <c r="Q102" s="138">
        <f>IF(OR($B102=2021,$B102=2022),1,0)</f>
        <v>0</v>
      </c>
    </row>
    <row r="103" spans="1:17" x14ac:dyDescent="0.2">
      <c r="A103" s="113" t="str" cm="1">
        <f t="array" ref="A103">INDEX('NBA Valuations'!$A$5:$A$34,INT((ROW()-5)/10)+1)</f>
        <v>Golden State Warriors</v>
      </c>
      <c r="B103" s="105">
        <f t="shared" si="2"/>
        <v>2025</v>
      </c>
      <c r="C103" s="106">
        <f>IFERROR(INDEX('NBA Valuations'!$B$5:$K$34,MATCH($A103,'NBA Valuations'!$A$5:$A$34,0),MATCH(""&amp;$B103,'NBA Valuations'!$B$3:$K$3,0)),"n/a")</f>
        <v>8800</v>
      </c>
      <c r="D103" s="106">
        <f>IFERROR(INDEX(Revenue!$B$5:$K$34,MATCH($A103,Revenue!$A$5:$A$34,0),MATCH(""&amp;$B103,Revenue!$B$3:$K$3,0)),"n/a")</f>
        <v>800</v>
      </c>
      <c r="E103" s="106">
        <f>IFERROR(INDEX('Operating Income'!$B$5:$K$34,MATCH($A103,'Operating Income'!$A$5:$A$34,0),MATCH(""&amp;$B103,'Operating Income'!$B$3:$K$3,0)),"n/a")</f>
        <v>142</v>
      </c>
      <c r="F103" s="107">
        <f>IFERROR(INDEX('Market Size'!$L$5:$L$34,MATCH($A103,'Market Size'!$A$5:$A$34,0)),"n/a")</f>
        <v>4745853</v>
      </c>
      <c r="G103" s="108">
        <f>IFERROR(INDEX('Market Size'!$B$38:$K$67,MATCH($A103,'Market Size'!$A$38:$A$67,0),MATCH(""&amp;($B103-1),'Market Size'!$B$36:$K$36,0)),"n/a")</f>
        <v>10</v>
      </c>
      <c r="H103" s="108">
        <f>IFERROR(INDEX(Arena!$B$38:$K$67,MATCH($A103,Arena!$A$38:$A$67,0),MATCH(""&amp;$B103,Arena!$B$36:$K$36,0)),"n/a")</f>
        <v>2019</v>
      </c>
      <c r="I103" s="136" t="str">
        <f>IFERROR(INDEX(Arena!$B$71:$K$100,MATCH($A103,Arena!$A$71:$A$100,0),MATCH(""&amp;$B103,Arena!$B$69:$K$69,0)),"n/a")</f>
        <v>Y</v>
      </c>
      <c r="J103" s="137">
        <f>IF(ISNUMBER($H103),($B103-1)-$H103,"n/a")</f>
        <v>5</v>
      </c>
      <c r="K103" s="108">
        <f>IF($B103=2017,IFERROR(INDEX('Team Performance'!$B$241:$B$270,MATCH($A103,'Team Performance'!$A$241:$A$270,0)),"n/a"),IFERROR(INDEX('Team Performance'!$B$6:$K$35,MATCH($A103,'Team Performance'!$A$6:$A$35,0),MATCH(($B103-2)&amp;"-"&amp;RIGHT($B103-1,2),'Team Performance'!$B$5:$K$5,0)),"n/a"))</f>
        <v>46</v>
      </c>
      <c r="L103" s="108">
        <f>IF($B103=2017,IFERROR(INDEX('Team Performance'!$C$241:$C$270,MATCH($A103,'Team Performance'!$A$241:$A$270,0)),"n/a"),IFERROR(INDEX('Team Performance'!$B$39:$K$68,MATCH($A103,'Team Performance'!$A$39:$A$68,0),MATCH(($B103-2)&amp;"-"&amp;RIGHT($B103-1,2),'Team Performance'!$B$38:$K$38,0)),"n/a"))</f>
        <v>36</v>
      </c>
      <c r="M103" s="109">
        <f t="shared" si="3"/>
        <v>0.56097560975609762</v>
      </c>
      <c r="N103" s="108">
        <f>IF($B103=2017,IFERROR(INDEX('Team Performance'!$E$241:$E$270,MATCH($A103,'Team Performance'!$A$241:$A$270,0)),"n/a"),IFERROR(INDEX('Team Performance'!$B$140:$K$169,MATCH($A103,'Team Performance'!$A$140:$A$169,0),MATCH(($B103-2)&amp;"-"&amp;RIGHT($B103-1,2),'Team Performance'!$B$139:$K$139,0)),"n/a"))</f>
        <v>0</v>
      </c>
      <c r="O103" s="110">
        <f>IF($B103=2017,IFERROR(INDEX('Salary Cap'!$B$143:$B$172,MATCH($A103,'Salary Cap'!$A$143:$A$172,0)),"n/a"),IFERROR(INDEX('Salary Cap'!$B$10:$K$39,MATCH($A103,'Salary Cap'!$A$10:$A$39,0),MATCH(""&amp;($B103-1),'Salary Cap'!$B$9:$K$9,0)),"n/a"))</f>
        <v>205572662</v>
      </c>
      <c r="P103" s="115">
        <f>IF($B103=2017,IFERROR(INDEX('Salary Cap'!$C$143:$C$172,MATCH($A103,'Salary Cap'!$A$143:$A$172,0)),"n/a"),IFERROR(INDEX('Salary Cap'!$B$109:$K$138,MATCH($A103,'Salary Cap'!$A$109:$A$138,0),MATCH(""&amp;($B103-1),'Salary Cap'!$B$108:$K$108,0)),"n/a"))</f>
        <v>176880968</v>
      </c>
      <c r="Q103" s="138">
        <f>IF(OR($B103=2021,$B103=2022),1,0)</f>
        <v>0</v>
      </c>
    </row>
    <row r="104" spans="1:17" x14ac:dyDescent="0.2">
      <c r="A104" s="113" t="str" cm="1">
        <f t="array" ref="A104">INDEX('NBA Valuations'!$A$5:$A$34,INT((ROW()-5)/10)+1)</f>
        <v>Golden State Warriors</v>
      </c>
      <c r="B104" s="105">
        <f t="shared" si="2"/>
        <v>2026</v>
      </c>
      <c r="C104" s="106">
        <f>IFERROR(INDEX('NBA Valuations'!$B$5:$K$34,MATCH($A104,'NBA Valuations'!$A$5:$A$34,0),MATCH(""&amp;$B104,'NBA Valuations'!$B$3:$K$3,0)),"n/a")</f>
        <v>11000</v>
      </c>
      <c r="D104" s="106">
        <f>IFERROR(INDEX(Revenue!$B$5:$K$34,MATCH($A104,Revenue!$A$5:$A$34,0),MATCH(""&amp;$B104,Revenue!$B$3:$K$3,0)),"n/a")</f>
        <v>880</v>
      </c>
      <c r="E104" s="106">
        <f>IFERROR(INDEX('Operating Income'!$B$5:$K$34,MATCH($A104,'Operating Income'!$A$5:$A$34,0),MATCH(""&amp;$B104,'Operating Income'!$B$3:$K$3,0)),"n/a")</f>
        <v>409</v>
      </c>
      <c r="F104" s="107">
        <f>IFERROR(INDEX('Market Size'!$L$5:$L$34,MATCH($A104,'Market Size'!$A$5:$A$34,0)),"n/a")</f>
        <v>4745853</v>
      </c>
      <c r="G104" s="108">
        <f>IFERROR(INDEX('Market Size'!$B$38:$K$67,MATCH($A104,'Market Size'!$A$38:$A$67,0),MATCH(""&amp;($B104-1),'Market Size'!$B$36:$K$36,0)),"n/a")</f>
        <v>10</v>
      </c>
      <c r="H104" s="108">
        <f>IFERROR(INDEX(Arena!$B$38:$K$67,MATCH($A104,Arena!$A$38:$A$67,0),MATCH(""&amp;$B104,Arena!$B$36:$K$36,0)),"n/a")</f>
        <v>2019</v>
      </c>
      <c r="I104" s="136" t="str">
        <f>IFERROR(INDEX(Arena!$B$71:$K$100,MATCH($A104,Arena!$A$71:$A$100,0),MATCH(""&amp;$B104,Arena!$B$69:$K$69,0)),"n/a")</f>
        <v>Y</v>
      </c>
      <c r="J104" s="137">
        <f>IF(ISNUMBER($H104),($B104-1)-$H104,"n/a")</f>
        <v>6</v>
      </c>
      <c r="K104" s="108">
        <f>IF($B104=2017,IFERROR(INDEX('Team Performance'!$B$241:$B$270,MATCH($A104,'Team Performance'!$A$241:$A$270,0)),"n/a"),IFERROR(INDEX('Team Performance'!$B$6:$K$35,MATCH($A104,'Team Performance'!$A$6:$A$35,0),MATCH(($B104-2)&amp;"-"&amp;RIGHT($B104-1,2),'Team Performance'!$B$5:$K$5,0)),"n/a"))</f>
        <v>48</v>
      </c>
      <c r="L104" s="108">
        <f>IF($B104=2017,IFERROR(INDEX('Team Performance'!$C$241:$C$270,MATCH($A104,'Team Performance'!$A$241:$A$270,0)),"n/a"),IFERROR(INDEX('Team Performance'!$B$39:$K$68,MATCH($A104,'Team Performance'!$A$39:$A$68,0),MATCH(($B104-2)&amp;"-"&amp;RIGHT($B104-1,2),'Team Performance'!$B$38:$K$38,0)),"n/a"))</f>
        <v>34</v>
      </c>
      <c r="M104" s="109">
        <f t="shared" si="3"/>
        <v>0.58536585365853655</v>
      </c>
      <c r="N104" s="108">
        <f>IF($B104=2017,IFERROR(INDEX('Team Performance'!$E$241:$E$270,MATCH($A104,'Team Performance'!$A$241:$A$270,0)),"n/a"),IFERROR(INDEX('Team Performance'!$B$140:$K$169,MATCH($A104,'Team Performance'!$A$140:$A$169,0),MATCH(($B104-2)&amp;"-"&amp;RIGHT($B104-1,2),'Team Performance'!$B$139:$K$139,0)),"n/a"))</f>
        <v>2</v>
      </c>
      <c r="O104" s="110">
        <f>IF($B104=2017,IFERROR(INDEX('Salary Cap'!$B$143:$B$172,MATCH($A104,'Salary Cap'!$A$143:$A$172,0)),"n/a"),IFERROR(INDEX('Salary Cap'!$B$10:$K$39,MATCH($A104,'Salary Cap'!$A$10:$A$39,0),MATCH(""&amp;($B104-1),'Salary Cap'!$B$9:$K$9,0)),"n/a"))</f>
        <v>176887433</v>
      </c>
      <c r="P104" s="115">
        <f>IF($B104=2017,IFERROR(INDEX('Salary Cap'!$C$143:$C$172,MATCH($A104,'Salary Cap'!$A$143:$A$172,0)),"n/a"),IFERROR(INDEX('Salary Cap'!$B$109:$K$138,MATCH($A104,'Salary Cap'!$A$109:$A$138,0),MATCH(""&amp;($B104-1),'Salary Cap'!$B$108:$K$108,0)),"n/a"))</f>
        <v>15409941</v>
      </c>
      <c r="Q104" s="138">
        <f>IF(OR($B104=2021,$B104=2022),1,0)</f>
        <v>0</v>
      </c>
    </row>
    <row r="105" spans="1:17" x14ac:dyDescent="0.2">
      <c r="A105" s="113" t="str" cm="1">
        <f t="array" ref="A105">INDEX('NBA Valuations'!$A$5:$A$34,INT((ROW()-5)/10)+1)</f>
        <v>Houston Rockets</v>
      </c>
      <c r="B105" s="105">
        <f t="shared" si="2"/>
        <v>2017</v>
      </c>
      <c r="C105" s="106">
        <f>IFERROR(INDEX('NBA Valuations'!$B$5:$K$34,MATCH($A105,'NBA Valuations'!$A$5:$A$34,0),MATCH(""&amp;$B105,'NBA Valuations'!$B$3:$K$3,0)),"n/a")</f>
        <v>1700</v>
      </c>
      <c r="D105" s="106">
        <f>IFERROR(INDEX(Revenue!$B$5:$K$34,MATCH($A105,Revenue!$A$5:$A$34,0),MATCH(""&amp;$B105,Revenue!$B$3:$K$3,0)),"n/a")</f>
        <v>244</v>
      </c>
      <c r="E105" s="106">
        <f>IFERROR(INDEX('Operating Income'!$B$5:$K$34,MATCH($A105,'Operating Income'!$A$5:$A$34,0),MATCH(""&amp;$B105,'Operating Income'!$B$3:$K$3,0)),"n/a")</f>
        <v>62.7</v>
      </c>
      <c r="F105" s="107">
        <f>IFERROR(INDEX('Market Size'!$L$5:$L$34,MATCH($A105,'Market Size'!$A$5:$A$34,0)),"n/a")</f>
        <v>7169284</v>
      </c>
      <c r="G105" s="108" t="str">
        <f>IFERROR(INDEX('Market Size'!$B$38:$K$67,MATCH($A105,'Market Size'!$A$38:$A$67,0),MATCH(""&amp;($B105-1),'Market Size'!$B$36:$K$36,0)),"n/a")</f>
        <v>n/a</v>
      </c>
      <c r="H105" s="108">
        <f>IFERROR(INDEX(Arena!$B$38:$K$67,MATCH($A105,Arena!$A$38:$A$67,0),MATCH(""&amp;$B105,Arena!$B$36:$K$36,0)),"n/a")</f>
        <v>2003</v>
      </c>
      <c r="I105" s="136" t="str">
        <f>IFERROR(INDEX(Arena!$B$71:$K$100,MATCH($A105,Arena!$A$71:$A$100,0),MATCH(""&amp;$B105,Arena!$B$69:$K$69,0)),"n/a")</f>
        <v>N</v>
      </c>
      <c r="J105" s="137">
        <f>IF(ISNUMBER($H105),($B105-1)-$H105,"n/a")</f>
        <v>13</v>
      </c>
      <c r="K105" s="108">
        <f>IF($B105=2017,IFERROR(INDEX('Team Performance'!$B$241:$B$270,MATCH($A105,'Team Performance'!$A$241:$A$270,0)),"n/a"),IFERROR(INDEX('Team Performance'!$B$6:$K$35,MATCH($A105,'Team Performance'!$A$6:$A$35,0),MATCH(($B105-2)&amp;"-"&amp;RIGHT($B105-1,2),'Team Performance'!$B$5:$K$5,0)),"n/a"))</f>
        <v>41</v>
      </c>
      <c r="L105" s="108">
        <f>IF($B105=2017,IFERROR(INDEX('Team Performance'!$C$241:$C$270,MATCH($A105,'Team Performance'!$A$241:$A$270,0)),"n/a"),IFERROR(INDEX('Team Performance'!$B$39:$K$68,MATCH($A105,'Team Performance'!$A$39:$A$68,0),MATCH(($B105-2)&amp;"-"&amp;RIGHT($B105-1,2),'Team Performance'!$B$38:$K$38,0)),"n/a"))</f>
        <v>41</v>
      </c>
      <c r="M105" s="109">
        <f t="shared" si="3"/>
        <v>0.5</v>
      </c>
      <c r="N105" s="108">
        <f>IF($B105=2017,IFERROR(INDEX('Team Performance'!$E$241:$E$270,MATCH($A105,'Team Performance'!$A$241:$A$270,0)),"n/a"),IFERROR(INDEX('Team Performance'!$B$140:$K$169,MATCH($A105,'Team Performance'!$A$140:$A$169,0),MATCH(($B105-2)&amp;"-"&amp;RIGHT($B105-1,2),'Team Performance'!$B$139:$K$139,0)),"n/a"))</f>
        <v>1</v>
      </c>
      <c r="O105" s="110">
        <f>IF($B105=2017,IFERROR(INDEX('Salary Cap'!$B$143:$B$172,MATCH($A105,'Salary Cap'!$A$143:$A$172,0)),"n/a"),IFERROR(INDEX('Salary Cap'!$B$10:$K$39,MATCH($A105,'Salary Cap'!$A$10:$A$39,0),MATCH(""&amp;($B105-1),'Salary Cap'!$B$9:$K$9,0)),"n/a"))</f>
        <v>88387446</v>
      </c>
      <c r="P105" s="115">
        <f>IF($B105=2017,IFERROR(INDEX('Salary Cap'!$C$143:$C$172,MATCH($A105,'Salary Cap'!$A$143:$A$172,0)),"n/a"),IFERROR(INDEX('Salary Cap'!$B$109:$K$138,MATCH($A105,'Salary Cap'!$A$109:$A$138,0),MATCH(""&amp;($B105-1),'Salary Cap'!$B$108:$K$108,0)),"n/a"))</f>
        <v>5471169</v>
      </c>
      <c r="Q105" s="138">
        <f>IF(OR($B105=2021,$B105=2022),1,0)</f>
        <v>0</v>
      </c>
    </row>
    <row r="106" spans="1:17" x14ac:dyDescent="0.2">
      <c r="A106" s="113" t="str" cm="1">
        <f t="array" ref="A106">INDEX('NBA Valuations'!$A$5:$A$34,INT((ROW()-5)/10)+1)</f>
        <v>Houston Rockets</v>
      </c>
      <c r="B106" s="105">
        <f t="shared" si="2"/>
        <v>2018</v>
      </c>
      <c r="C106" s="106">
        <f>IFERROR(INDEX('NBA Valuations'!$B$5:$K$34,MATCH($A106,'NBA Valuations'!$A$5:$A$34,0),MATCH(""&amp;$B106,'NBA Valuations'!$B$3:$K$3,0)),"n/a")</f>
        <v>2200</v>
      </c>
      <c r="D106" s="106">
        <f>IFERROR(INDEX(Revenue!$B$5:$K$34,MATCH($A106,Revenue!$A$5:$A$34,0),MATCH(""&amp;$B106,Revenue!$B$3:$K$3,0)),"n/a")</f>
        <v>296</v>
      </c>
      <c r="E106" s="106">
        <f>IFERROR(INDEX('Operating Income'!$B$5:$K$34,MATCH($A106,'Operating Income'!$A$5:$A$34,0),MATCH(""&amp;$B106,'Operating Income'!$B$3:$K$3,0)),"n/a")</f>
        <v>95</v>
      </c>
      <c r="F106" s="107">
        <f>IFERROR(INDEX('Market Size'!$L$5:$L$34,MATCH($A106,'Market Size'!$A$5:$A$34,0)),"n/a")</f>
        <v>7169284</v>
      </c>
      <c r="G106" s="108" t="str">
        <f>IFERROR(INDEX('Market Size'!$B$38:$K$67,MATCH($A106,'Market Size'!$A$38:$A$67,0),MATCH(""&amp;($B106-1),'Market Size'!$B$36:$K$36,0)),"n/a")</f>
        <v>n/a</v>
      </c>
      <c r="H106" s="108">
        <f>IFERROR(INDEX(Arena!$B$38:$K$67,MATCH($A106,Arena!$A$38:$A$67,0),MATCH(""&amp;$B106,Arena!$B$36:$K$36,0)),"n/a")</f>
        <v>2003</v>
      </c>
      <c r="I106" s="136" t="str">
        <f>IFERROR(INDEX(Arena!$B$71:$K$100,MATCH($A106,Arena!$A$71:$A$100,0),MATCH(""&amp;$B106,Arena!$B$69:$K$69,0)),"n/a")</f>
        <v>N</v>
      </c>
      <c r="J106" s="137">
        <f>IF(ISNUMBER($H106),($B106-1)-$H106,"n/a")</f>
        <v>14</v>
      </c>
      <c r="K106" s="108">
        <f>IF($B106=2017,IFERROR(INDEX('Team Performance'!$B$241:$B$270,MATCH($A106,'Team Performance'!$A$241:$A$270,0)),"n/a"),IFERROR(INDEX('Team Performance'!$B$6:$K$35,MATCH($A106,'Team Performance'!$A$6:$A$35,0),MATCH(($B106-2)&amp;"-"&amp;RIGHT($B106-1,2),'Team Performance'!$B$5:$K$5,0)),"n/a"))</f>
        <v>55</v>
      </c>
      <c r="L106" s="108">
        <f>IF($B106=2017,IFERROR(INDEX('Team Performance'!$C$241:$C$270,MATCH($A106,'Team Performance'!$A$241:$A$270,0)),"n/a"),IFERROR(INDEX('Team Performance'!$B$39:$K$68,MATCH($A106,'Team Performance'!$A$39:$A$68,0),MATCH(($B106-2)&amp;"-"&amp;RIGHT($B106-1,2),'Team Performance'!$B$38:$K$38,0)),"n/a"))</f>
        <v>27</v>
      </c>
      <c r="M106" s="109">
        <f t="shared" si="3"/>
        <v>0.67073170731707321</v>
      </c>
      <c r="N106" s="108">
        <f>IF($B106=2017,IFERROR(INDEX('Team Performance'!$E$241:$E$270,MATCH($A106,'Team Performance'!$A$241:$A$270,0)),"n/a"),IFERROR(INDEX('Team Performance'!$B$140:$K$169,MATCH($A106,'Team Performance'!$A$140:$A$169,0),MATCH(($B106-2)&amp;"-"&amp;RIGHT($B106-1,2),'Team Performance'!$B$139:$K$139,0)),"n/a"))</f>
        <v>2</v>
      </c>
      <c r="O106" s="110">
        <f>IF($B106=2017,IFERROR(INDEX('Salary Cap'!$B$143:$B$172,MATCH($A106,'Salary Cap'!$A$143:$A$172,0)),"n/a"),IFERROR(INDEX('Salary Cap'!$B$10:$K$39,MATCH($A106,'Salary Cap'!$A$10:$A$39,0),MATCH(""&amp;($B106-1),'Salary Cap'!$B$9:$K$9,0)),"n/a"))</f>
        <v>91492845</v>
      </c>
      <c r="P106" s="115">
        <f>IF($B106=2017,IFERROR(INDEX('Salary Cap'!$C$143:$C$172,MATCH($A106,'Salary Cap'!$A$143:$A$172,0)),"n/a"),IFERROR(INDEX('Salary Cap'!$B$109:$K$138,MATCH($A106,'Salary Cap'!$A$109:$A$138,0),MATCH(""&amp;($B106-1),'Salary Cap'!$B$108:$K$108,0)),"n/a"))</f>
        <v>0</v>
      </c>
      <c r="Q106" s="138">
        <f>IF(OR($B106=2021,$B106=2022),1,0)</f>
        <v>0</v>
      </c>
    </row>
    <row r="107" spans="1:17" x14ac:dyDescent="0.2">
      <c r="A107" s="113" t="str" cm="1">
        <f t="array" ref="A107">INDEX('NBA Valuations'!$A$5:$A$34,INT((ROW()-5)/10)+1)</f>
        <v>Houston Rockets</v>
      </c>
      <c r="B107" s="105">
        <f t="shared" si="2"/>
        <v>2019</v>
      </c>
      <c r="C107" s="106">
        <f>IFERROR(INDEX('NBA Valuations'!$B$5:$K$34,MATCH($A107,'NBA Valuations'!$A$5:$A$34,0),MATCH(""&amp;$B107,'NBA Valuations'!$B$3:$K$3,0)),"n/a")</f>
        <v>2300</v>
      </c>
      <c r="D107" s="106">
        <f>IFERROR(INDEX(Revenue!$B$5:$K$34,MATCH($A107,Revenue!$A$5:$A$34,0),MATCH(""&amp;$B107,Revenue!$B$3:$K$3,0)),"n/a")</f>
        <v>326</v>
      </c>
      <c r="E107" s="106">
        <f>IFERROR(INDEX('Operating Income'!$B$5:$K$34,MATCH($A107,'Operating Income'!$A$5:$A$34,0),MATCH(""&amp;$B107,'Operating Income'!$B$3:$K$3,0)),"n/a")</f>
        <v>103</v>
      </c>
      <c r="F107" s="107">
        <f>IFERROR(INDEX('Market Size'!$L$5:$L$34,MATCH($A107,'Market Size'!$A$5:$A$34,0)),"n/a")</f>
        <v>7169284</v>
      </c>
      <c r="G107" s="108" t="str">
        <f>IFERROR(INDEX('Market Size'!$B$38:$K$67,MATCH($A107,'Market Size'!$A$38:$A$67,0),MATCH(""&amp;($B107-1),'Market Size'!$B$36:$K$36,0)),"n/a")</f>
        <v>n/a</v>
      </c>
      <c r="H107" s="108">
        <f>IFERROR(INDEX(Arena!$B$38:$K$67,MATCH($A107,Arena!$A$38:$A$67,0),MATCH(""&amp;$B107,Arena!$B$36:$K$36,0)),"n/a")</f>
        <v>2003</v>
      </c>
      <c r="I107" s="136" t="str">
        <f>IFERROR(INDEX(Arena!$B$71:$K$100,MATCH($A107,Arena!$A$71:$A$100,0),MATCH(""&amp;$B107,Arena!$B$69:$K$69,0)),"n/a")</f>
        <v>N</v>
      </c>
      <c r="J107" s="137">
        <f>IF(ISNUMBER($H107),($B107-1)-$H107,"n/a")</f>
        <v>15</v>
      </c>
      <c r="K107" s="108">
        <f>IF($B107=2017,IFERROR(INDEX('Team Performance'!$B$241:$B$270,MATCH($A107,'Team Performance'!$A$241:$A$270,0)),"n/a"),IFERROR(INDEX('Team Performance'!$B$6:$K$35,MATCH($A107,'Team Performance'!$A$6:$A$35,0),MATCH(($B107-2)&amp;"-"&amp;RIGHT($B107-1,2),'Team Performance'!$B$5:$K$5,0)),"n/a"))</f>
        <v>65</v>
      </c>
      <c r="L107" s="108">
        <f>IF($B107=2017,IFERROR(INDEX('Team Performance'!$C$241:$C$270,MATCH($A107,'Team Performance'!$A$241:$A$270,0)),"n/a"),IFERROR(INDEX('Team Performance'!$B$39:$K$68,MATCH($A107,'Team Performance'!$A$39:$A$68,0),MATCH(($B107-2)&amp;"-"&amp;RIGHT($B107-1,2),'Team Performance'!$B$38:$K$38,0)),"n/a"))</f>
        <v>17</v>
      </c>
      <c r="M107" s="109">
        <f t="shared" si="3"/>
        <v>0.79268292682926833</v>
      </c>
      <c r="N107" s="108">
        <f>IF($B107=2017,IFERROR(INDEX('Team Performance'!$E$241:$E$270,MATCH($A107,'Team Performance'!$A$241:$A$270,0)),"n/a"),IFERROR(INDEX('Team Performance'!$B$140:$K$169,MATCH($A107,'Team Performance'!$A$140:$A$169,0),MATCH(($B107-2)&amp;"-"&amp;RIGHT($B107-1,2),'Team Performance'!$B$139:$K$139,0)),"n/a"))</f>
        <v>3</v>
      </c>
      <c r="O107" s="110">
        <f>IF($B107=2017,IFERROR(INDEX('Salary Cap'!$B$143:$B$172,MATCH($A107,'Salary Cap'!$A$143:$A$172,0)),"n/a"),IFERROR(INDEX('Salary Cap'!$B$10:$K$39,MATCH($A107,'Salary Cap'!$A$10:$A$39,0),MATCH(""&amp;($B107-1),'Salary Cap'!$B$9:$K$9,0)),"n/a"))</f>
        <v>118271451</v>
      </c>
      <c r="P107" s="115">
        <f>IF($B107=2017,IFERROR(INDEX('Salary Cap'!$C$143:$C$172,MATCH($A107,'Salary Cap'!$A$143:$A$172,0)),"n/a"),IFERROR(INDEX('Salary Cap'!$B$109:$K$138,MATCH($A107,'Salary Cap'!$A$109:$A$138,0),MATCH(""&amp;($B107-1),'Salary Cap'!$B$108:$K$108,0)),"n/a"))</f>
        <v>0</v>
      </c>
      <c r="Q107" s="138">
        <f>IF(OR($B107=2021,$B107=2022),1,0)</f>
        <v>0</v>
      </c>
    </row>
    <row r="108" spans="1:17" x14ac:dyDescent="0.2">
      <c r="A108" s="113" t="str" cm="1">
        <f t="array" ref="A108">INDEX('NBA Valuations'!$A$5:$A$34,INT((ROW()-5)/10)+1)</f>
        <v>Houston Rockets</v>
      </c>
      <c r="B108" s="105">
        <f t="shared" si="2"/>
        <v>2020</v>
      </c>
      <c r="C108" s="106">
        <f>IFERROR(INDEX('NBA Valuations'!$B$5:$K$34,MATCH($A108,'NBA Valuations'!$A$5:$A$34,0),MATCH(""&amp;$B108,'NBA Valuations'!$B$3:$K$3,0)),"n/a")</f>
        <v>2500</v>
      </c>
      <c r="D108" s="106">
        <f>IFERROR(INDEX(Revenue!$B$5:$K$34,MATCH($A108,Revenue!$A$5:$A$34,0),MATCH(""&amp;$B108,Revenue!$B$3:$K$3,0)),"n/a")</f>
        <v>348</v>
      </c>
      <c r="E108" s="106">
        <f>IFERROR(INDEX('Operating Income'!$B$5:$K$34,MATCH($A108,'Operating Income'!$A$5:$A$34,0),MATCH(""&amp;$B108,'Operating Income'!$B$3:$K$3,0)),"n/a")</f>
        <v>110</v>
      </c>
      <c r="F108" s="107">
        <f>IFERROR(INDEX('Market Size'!$L$5:$L$34,MATCH($A108,'Market Size'!$A$5:$A$34,0)),"n/a")</f>
        <v>7169284</v>
      </c>
      <c r="G108" s="108" t="str">
        <f>IFERROR(INDEX('Market Size'!$B$38:$K$67,MATCH($A108,'Market Size'!$A$38:$A$67,0),MATCH(""&amp;($B108-1),'Market Size'!$B$36:$K$36,0)),"n/a")</f>
        <v>n/a</v>
      </c>
      <c r="H108" s="108">
        <f>IFERROR(INDEX(Arena!$B$38:$K$67,MATCH($A108,Arena!$A$38:$A$67,0),MATCH(""&amp;$B108,Arena!$B$36:$K$36,0)),"n/a")</f>
        <v>2003</v>
      </c>
      <c r="I108" s="136" t="str">
        <f>IFERROR(INDEX(Arena!$B$71:$K$100,MATCH($A108,Arena!$A$71:$A$100,0),MATCH(""&amp;$B108,Arena!$B$69:$K$69,0)),"n/a")</f>
        <v>N</v>
      </c>
      <c r="J108" s="137">
        <f>IF(ISNUMBER($H108),($B108-1)-$H108,"n/a")</f>
        <v>16</v>
      </c>
      <c r="K108" s="108">
        <f>IF($B108=2017,IFERROR(INDEX('Team Performance'!$B$241:$B$270,MATCH($A108,'Team Performance'!$A$241:$A$270,0)),"n/a"),IFERROR(INDEX('Team Performance'!$B$6:$K$35,MATCH($A108,'Team Performance'!$A$6:$A$35,0),MATCH(($B108-2)&amp;"-"&amp;RIGHT($B108-1,2),'Team Performance'!$B$5:$K$5,0)),"n/a"))</f>
        <v>53</v>
      </c>
      <c r="L108" s="108">
        <f>IF($B108=2017,IFERROR(INDEX('Team Performance'!$C$241:$C$270,MATCH($A108,'Team Performance'!$A$241:$A$270,0)),"n/a"),IFERROR(INDEX('Team Performance'!$B$39:$K$68,MATCH($A108,'Team Performance'!$A$39:$A$68,0),MATCH(($B108-2)&amp;"-"&amp;RIGHT($B108-1,2),'Team Performance'!$B$38:$K$38,0)),"n/a"))</f>
        <v>29</v>
      </c>
      <c r="M108" s="109">
        <f t="shared" si="3"/>
        <v>0.64634146341463417</v>
      </c>
      <c r="N108" s="108">
        <f>IF($B108=2017,IFERROR(INDEX('Team Performance'!$E$241:$E$270,MATCH($A108,'Team Performance'!$A$241:$A$270,0)),"n/a"),IFERROR(INDEX('Team Performance'!$B$140:$K$169,MATCH($A108,'Team Performance'!$A$140:$A$169,0),MATCH(($B108-2)&amp;"-"&amp;RIGHT($B108-1,2),'Team Performance'!$B$139:$K$139,0)),"n/a"))</f>
        <v>2</v>
      </c>
      <c r="O108" s="110">
        <f>IF($B108=2017,IFERROR(INDEX('Salary Cap'!$B$143:$B$172,MATCH($A108,'Salary Cap'!$A$143:$A$172,0)),"n/a"),IFERROR(INDEX('Salary Cap'!$B$10:$K$39,MATCH($A108,'Salary Cap'!$A$10:$A$39,0),MATCH(""&amp;($B108-1),'Salary Cap'!$B$9:$K$9,0)),"n/a"))</f>
        <v>121818799</v>
      </c>
      <c r="P108" s="115">
        <f>IF($B108=2017,IFERROR(INDEX('Salary Cap'!$C$143:$C$172,MATCH($A108,'Salary Cap'!$A$143:$A$172,0)),"n/a"),IFERROR(INDEX('Salary Cap'!$B$109:$K$138,MATCH($A108,'Salary Cap'!$A$109:$A$138,0),MATCH(""&amp;($B108-1),'Salary Cap'!$B$108:$K$108,0)),"n/a"))</f>
        <v>0</v>
      </c>
      <c r="Q108" s="138">
        <f>IF(OR($B108=2021,$B108=2022),1,0)</f>
        <v>0</v>
      </c>
    </row>
    <row r="109" spans="1:17" x14ac:dyDescent="0.2">
      <c r="A109" s="113" t="str" cm="1">
        <f t="array" ref="A109">INDEX('NBA Valuations'!$A$5:$A$34,INT((ROW()-5)/10)+1)</f>
        <v>Houston Rockets</v>
      </c>
      <c r="B109" s="105">
        <f t="shared" si="2"/>
        <v>2021</v>
      </c>
      <c r="C109" s="106">
        <f>IFERROR(INDEX('NBA Valuations'!$B$5:$K$34,MATCH($A109,'NBA Valuations'!$A$5:$A$34,0),MATCH(""&amp;$B109,'NBA Valuations'!$B$3:$K$3,0)),"n/a")</f>
        <v>2500</v>
      </c>
      <c r="D109" s="106">
        <f>IFERROR(INDEX(Revenue!$B$5:$K$34,MATCH($A109,Revenue!$A$5:$A$34,0),MATCH(""&amp;$B109,Revenue!$B$3:$K$3,0)),"n/a")</f>
        <v>308</v>
      </c>
      <c r="E109" s="106">
        <f>IFERROR(INDEX('Operating Income'!$B$5:$K$34,MATCH($A109,'Operating Income'!$A$5:$A$34,0),MATCH(""&amp;$B109,'Operating Income'!$B$3:$K$3,0)),"n/a")</f>
        <v>94</v>
      </c>
      <c r="F109" s="107">
        <f>IFERROR(INDEX('Market Size'!$L$5:$L$34,MATCH($A109,'Market Size'!$A$5:$A$34,0)),"n/a")</f>
        <v>7169284</v>
      </c>
      <c r="G109" s="108" t="str">
        <f>IFERROR(INDEX('Market Size'!$B$38:$K$67,MATCH($A109,'Market Size'!$A$38:$A$67,0),MATCH(""&amp;($B109-1),'Market Size'!$B$36:$K$36,0)),"n/a")</f>
        <v>n/a</v>
      </c>
      <c r="H109" s="108">
        <f>IFERROR(INDEX(Arena!$B$38:$K$67,MATCH($A109,Arena!$A$38:$A$67,0),MATCH(""&amp;$B109,Arena!$B$36:$K$36,0)),"n/a")</f>
        <v>2003</v>
      </c>
      <c r="I109" s="136" t="str">
        <f>IFERROR(INDEX(Arena!$B$71:$K$100,MATCH($A109,Arena!$A$71:$A$100,0),MATCH(""&amp;$B109,Arena!$B$69:$K$69,0)),"n/a")</f>
        <v>N</v>
      </c>
      <c r="J109" s="137">
        <f>IF(ISNUMBER($H109),($B109-1)-$H109,"n/a")</f>
        <v>17</v>
      </c>
      <c r="K109" s="108">
        <f>IF($B109=2017,IFERROR(INDEX('Team Performance'!$B$241:$B$270,MATCH($A109,'Team Performance'!$A$241:$A$270,0)),"n/a"),IFERROR(INDEX('Team Performance'!$B$6:$K$35,MATCH($A109,'Team Performance'!$A$6:$A$35,0),MATCH(($B109-2)&amp;"-"&amp;RIGHT($B109-1,2),'Team Performance'!$B$5:$K$5,0)),"n/a"))</f>
        <v>44</v>
      </c>
      <c r="L109" s="108">
        <f>IF($B109=2017,IFERROR(INDEX('Team Performance'!$C$241:$C$270,MATCH($A109,'Team Performance'!$A$241:$A$270,0)),"n/a"),IFERROR(INDEX('Team Performance'!$B$39:$K$68,MATCH($A109,'Team Performance'!$A$39:$A$68,0),MATCH(($B109-2)&amp;"-"&amp;RIGHT($B109-1,2),'Team Performance'!$B$38:$K$38,0)),"n/a"))</f>
        <v>28</v>
      </c>
      <c r="M109" s="109">
        <f t="shared" si="3"/>
        <v>0.61111111111111116</v>
      </c>
      <c r="N109" s="108">
        <f>IF($B109=2017,IFERROR(INDEX('Team Performance'!$E$241:$E$270,MATCH($A109,'Team Performance'!$A$241:$A$270,0)),"n/a"),IFERROR(INDEX('Team Performance'!$B$140:$K$169,MATCH($A109,'Team Performance'!$A$140:$A$169,0),MATCH(($B109-2)&amp;"-"&amp;RIGHT($B109-1,2),'Team Performance'!$B$139:$K$139,0)),"n/a"))</f>
        <v>2</v>
      </c>
      <c r="O109" s="110">
        <f>IF($B109=2017,IFERROR(INDEX('Salary Cap'!$B$143:$B$172,MATCH($A109,'Salary Cap'!$A$143:$A$172,0)),"n/a"),IFERROR(INDEX('Salary Cap'!$B$10:$K$39,MATCH($A109,'Salary Cap'!$A$10:$A$39,0),MATCH(""&amp;($B109-1),'Salary Cap'!$B$9:$K$9,0)),"n/a"))</f>
        <v>127339416</v>
      </c>
      <c r="P109" s="115">
        <f>IF($B109=2017,IFERROR(INDEX('Salary Cap'!$C$143:$C$172,MATCH($A109,'Salary Cap'!$A$143:$A$172,0)),"n/a"),IFERROR(INDEX('Salary Cap'!$B$109:$K$138,MATCH($A109,'Salary Cap'!$A$109:$A$138,0),MATCH(""&amp;($B109-1),'Salary Cap'!$B$108:$K$108,0)),"n/a"))</f>
        <v>0</v>
      </c>
      <c r="Q109" s="138">
        <f>IF(OR($B109=2021,$B109=2022),1,0)</f>
        <v>1</v>
      </c>
    </row>
    <row r="110" spans="1:17" x14ac:dyDescent="0.2">
      <c r="A110" s="113" t="str" cm="1">
        <f t="array" ref="A110">INDEX('NBA Valuations'!$A$5:$A$34,INT((ROW()-5)/10)+1)</f>
        <v>Houston Rockets</v>
      </c>
      <c r="B110" s="105">
        <f t="shared" si="2"/>
        <v>2022</v>
      </c>
      <c r="C110" s="106">
        <f>IFERROR(INDEX('NBA Valuations'!$B$5:$K$34,MATCH($A110,'NBA Valuations'!$A$5:$A$34,0),MATCH(""&amp;$B110,'NBA Valuations'!$B$3:$K$3,0)),"n/a")</f>
        <v>2750</v>
      </c>
      <c r="D110" s="106">
        <f>IFERROR(INDEX(Revenue!$B$5:$K$34,MATCH($A110,Revenue!$A$5:$A$34,0),MATCH(""&amp;$B110,Revenue!$B$3:$K$3,0)),"n/a")</f>
        <v>223</v>
      </c>
      <c r="E110" s="106">
        <f>IFERROR(INDEX('Operating Income'!$B$5:$K$34,MATCH($A110,'Operating Income'!$A$5:$A$34,0),MATCH(""&amp;$B110,'Operating Income'!$B$3:$K$3,0)),"n/a")</f>
        <v>33</v>
      </c>
      <c r="F110" s="107">
        <f>IFERROR(INDEX('Market Size'!$L$5:$L$34,MATCH($A110,'Market Size'!$A$5:$A$34,0)),"n/a")</f>
        <v>7169284</v>
      </c>
      <c r="G110" s="108" t="str">
        <f>IFERROR(INDEX('Market Size'!$B$38:$K$67,MATCH($A110,'Market Size'!$A$38:$A$67,0),MATCH(""&amp;($B110-1),'Market Size'!$B$36:$K$36,0)),"n/a")</f>
        <v>n/a</v>
      </c>
      <c r="H110" s="108">
        <f>IFERROR(INDEX(Arena!$B$38:$K$67,MATCH($A110,Arena!$A$38:$A$67,0),MATCH(""&amp;$B110,Arena!$B$36:$K$36,0)),"n/a")</f>
        <v>2003</v>
      </c>
      <c r="I110" s="136" t="str">
        <f>IFERROR(INDEX(Arena!$B$71:$K$100,MATCH($A110,Arena!$A$71:$A$100,0),MATCH(""&amp;$B110,Arena!$B$69:$K$69,0)),"n/a")</f>
        <v>N</v>
      </c>
      <c r="J110" s="137">
        <f>IF(ISNUMBER($H110),($B110-1)-$H110,"n/a")</f>
        <v>18</v>
      </c>
      <c r="K110" s="108">
        <f>IF($B110=2017,IFERROR(INDEX('Team Performance'!$B$241:$B$270,MATCH($A110,'Team Performance'!$A$241:$A$270,0)),"n/a"),IFERROR(INDEX('Team Performance'!$B$6:$K$35,MATCH($A110,'Team Performance'!$A$6:$A$35,0),MATCH(($B110-2)&amp;"-"&amp;RIGHT($B110-1,2),'Team Performance'!$B$5:$K$5,0)),"n/a"))</f>
        <v>17</v>
      </c>
      <c r="L110" s="108">
        <f>IF($B110=2017,IFERROR(INDEX('Team Performance'!$C$241:$C$270,MATCH($A110,'Team Performance'!$A$241:$A$270,0)),"n/a"),IFERROR(INDEX('Team Performance'!$B$39:$K$68,MATCH($A110,'Team Performance'!$A$39:$A$68,0),MATCH(($B110-2)&amp;"-"&amp;RIGHT($B110-1,2),'Team Performance'!$B$38:$K$38,0)),"n/a"))</f>
        <v>55</v>
      </c>
      <c r="M110" s="109">
        <f t="shared" si="3"/>
        <v>0.2361111111111111</v>
      </c>
      <c r="N110" s="108">
        <f>IF($B110=2017,IFERROR(INDEX('Team Performance'!$E$241:$E$270,MATCH($A110,'Team Performance'!$A$241:$A$270,0)),"n/a"),IFERROR(INDEX('Team Performance'!$B$140:$K$169,MATCH($A110,'Team Performance'!$A$140:$A$169,0),MATCH(($B110-2)&amp;"-"&amp;RIGHT($B110-1,2),'Team Performance'!$B$139:$K$139,0)),"n/a"))</f>
        <v>0</v>
      </c>
      <c r="O110" s="110">
        <f>IF($B110=2017,IFERROR(INDEX('Salary Cap'!$B$143:$B$172,MATCH($A110,'Salary Cap'!$A$143:$A$172,0)),"n/a"),IFERROR(INDEX('Salary Cap'!$B$10:$K$39,MATCH($A110,'Salary Cap'!$A$10:$A$39,0),MATCH(""&amp;($B110-1),'Salary Cap'!$B$9:$K$9,0)),"n/a"))</f>
        <v>128530270</v>
      </c>
      <c r="P110" s="115">
        <f>IF($B110=2017,IFERROR(INDEX('Salary Cap'!$C$143:$C$172,MATCH($A110,'Salary Cap'!$A$143:$A$172,0)),"n/a"),IFERROR(INDEX('Salary Cap'!$B$109:$K$138,MATCH($A110,'Salary Cap'!$A$109:$A$138,0),MATCH(""&amp;($B110-1),'Salary Cap'!$B$108:$K$108,0)),"n/a"))</f>
        <v>0</v>
      </c>
      <c r="Q110" s="138">
        <f>IF(OR($B110=2021,$B110=2022),1,0)</f>
        <v>1</v>
      </c>
    </row>
    <row r="111" spans="1:17" x14ac:dyDescent="0.2">
      <c r="A111" s="113" t="str" cm="1">
        <f t="array" ref="A111">INDEX('NBA Valuations'!$A$5:$A$34,INT((ROW()-5)/10)+1)</f>
        <v>Houston Rockets</v>
      </c>
      <c r="B111" s="105">
        <f t="shared" si="2"/>
        <v>2023</v>
      </c>
      <c r="C111" s="106">
        <f>IFERROR(INDEX('NBA Valuations'!$B$5:$K$34,MATCH($A111,'NBA Valuations'!$A$5:$A$34,0),MATCH(""&amp;$B111,'NBA Valuations'!$B$3:$K$3,0)),"n/a")</f>
        <v>3200</v>
      </c>
      <c r="D111" s="106">
        <f>IFERROR(INDEX(Revenue!$B$5:$K$34,MATCH($A111,Revenue!$A$5:$A$34,0),MATCH(""&amp;$B111,Revenue!$B$3:$K$3,0)),"n/a")</f>
        <v>350</v>
      </c>
      <c r="E111" s="106">
        <f>IFERROR(INDEX('Operating Income'!$B$5:$K$34,MATCH($A111,'Operating Income'!$A$5:$A$34,0),MATCH(""&amp;$B111,'Operating Income'!$B$3:$K$3,0)),"n/a")</f>
        <v>113</v>
      </c>
      <c r="F111" s="107">
        <f>IFERROR(INDEX('Market Size'!$L$5:$L$34,MATCH($A111,'Market Size'!$A$5:$A$34,0)),"n/a")</f>
        <v>7169284</v>
      </c>
      <c r="G111" s="108" t="str">
        <f>IFERROR(INDEX('Market Size'!$B$38:$K$67,MATCH($A111,'Market Size'!$A$38:$A$67,0),MATCH(""&amp;($B111-1),'Market Size'!$B$36:$K$36,0)),"n/a")</f>
        <v>n/a</v>
      </c>
      <c r="H111" s="108">
        <f>IFERROR(INDEX(Arena!$B$38:$K$67,MATCH($A111,Arena!$A$38:$A$67,0),MATCH(""&amp;$B111,Arena!$B$36:$K$36,0)),"n/a")</f>
        <v>2003</v>
      </c>
      <c r="I111" s="136" t="str">
        <f>IFERROR(INDEX(Arena!$B$71:$K$100,MATCH($A111,Arena!$A$71:$A$100,0),MATCH(""&amp;$B111,Arena!$B$69:$K$69,0)),"n/a")</f>
        <v>N</v>
      </c>
      <c r="J111" s="137">
        <f>IF(ISNUMBER($H111),($B111-1)-$H111,"n/a")</f>
        <v>19</v>
      </c>
      <c r="K111" s="108">
        <f>IF($B111=2017,IFERROR(INDEX('Team Performance'!$B$241:$B$270,MATCH($A111,'Team Performance'!$A$241:$A$270,0)),"n/a"),IFERROR(INDEX('Team Performance'!$B$6:$K$35,MATCH($A111,'Team Performance'!$A$6:$A$35,0),MATCH(($B111-2)&amp;"-"&amp;RIGHT($B111-1,2),'Team Performance'!$B$5:$K$5,0)),"n/a"))</f>
        <v>20</v>
      </c>
      <c r="L111" s="108">
        <f>IF($B111=2017,IFERROR(INDEX('Team Performance'!$C$241:$C$270,MATCH($A111,'Team Performance'!$A$241:$A$270,0)),"n/a"),IFERROR(INDEX('Team Performance'!$B$39:$K$68,MATCH($A111,'Team Performance'!$A$39:$A$68,0),MATCH(($B111-2)&amp;"-"&amp;RIGHT($B111-1,2),'Team Performance'!$B$38:$K$38,0)),"n/a"))</f>
        <v>62</v>
      </c>
      <c r="M111" s="109">
        <f t="shared" si="3"/>
        <v>0.24390243902439024</v>
      </c>
      <c r="N111" s="108">
        <f>IF($B111=2017,IFERROR(INDEX('Team Performance'!$E$241:$E$270,MATCH($A111,'Team Performance'!$A$241:$A$270,0)),"n/a"),IFERROR(INDEX('Team Performance'!$B$140:$K$169,MATCH($A111,'Team Performance'!$A$140:$A$169,0),MATCH(($B111-2)&amp;"-"&amp;RIGHT($B111-1,2),'Team Performance'!$B$139:$K$139,0)),"n/a"))</f>
        <v>0</v>
      </c>
      <c r="O111" s="110">
        <f>IF($B111=2017,IFERROR(INDEX('Salary Cap'!$B$143:$B$172,MATCH($A111,'Salary Cap'!$A$143:$A$172,0)),"n/a"),IFERROR(INDEX('Salary Cap'!$B$10:$K$39,MATCH($A111,'Salary Cap'!$A$10:$A$39,0),MATCH(""&amp;($B111-1),'Salary Cap'!$B$9:$K$9,0)),"n/a"))</f>
        <v>130727899</v>
      </c>
      <c r="P111" s="115">
        <f>IF($B111=2017,IFERROR(INDEX('Salary Cap'!$C$143:$C$172,MATCH($A111,'Salary Cap'!$A$143:$A$172,0)),"n/a"),IFERROR(INDEX('Salary Cap'!$B$109:$K$138,MATCH($A111,'Salary Cap'!$A$109:$A$138,0),MATCH(""&amp;($B111-1),'Salary Cap'!$B$108:$K$108,0)),"n/a"))</f>
        <v>0</v>
      </c>
      <c r="Q111" s="138">
        <f>IF(OR($B111=2021,$B111=2022),1,0)</f>
        <v>0</v>
      </c>
    </row>
    <row r="112" spans="1:17" x14ac:dyDescent="0.2">
      <c r="A112" s="113" t="str" cm="1">
        <f t="array" ref="A112">INDEX('NBA Valuations'!$A$5:$A$34,INT((ROW()-5)/10)+1)</f>
        <v>Houston Rockets</v>
      </c>
      <c r="B112" s="105">
        <f t="shared" si="2"/>
        <v>2024</v>
      </c>
      <c r="C112" s="106">
        <f>IFERROR(INDEX('NBA Valuations'!$B$5:$K$34,MATCH($A112,'NBA Valuations'!$A$5:$A$34,0),MATCH(""&amp;$B112,'NBA Valuations'!$B$3:$K$3,0)),"n/a")</f>
        <v>4400</v>
      </c>
      <c r="D112" s="106">
        <f>IFERROR(INDEX(Revenue!$B$5:$K$34,MATCH($A112,Revenue!$A$5:$A$34,0),MATCH(""&amp;$B112,Revenue!$B$3:$K$3,0)),"n/a")</f>
        <v>381</v>
      </c>
      <c r="E112" s="106">
        <f>IFERROR(INDEX('Operating Income'!$B$5:$K$34,MATCH($A112,'Operating Income'!$A$5:$A$34,0),MATCH(""&amp;$B112,'Operating Income'!$B$3:$K$3,0)),"n/a")</f>
        <v>125</v>
      </c>
      <c r="F112" s="107">
        <f>IFERROR(INDEX('Market Size'!$L$5:$L$34,MATCH($A112,'Market Size'!$A$5:$A$34,0)),"n/a")</f>
        <v>7169284</v>
      </c>
      <c r="G112" s="108" t="str">
        <f>IFERROR(INDEX('Market Size'!$B$38:$K$67,MATCH($A112,'Market Size'!$A$38:$A$67,0),MATCH(""&amp;($B112-1),'Market Size'!$B$36:$K$36,0)),"n/a")</f>
        <v>n/a</v>
      </c>
      <c r="H112" s="108">
        <f>IFERROR(INDEX(Arena!$B$38:$K$67,MATCH($A112,Arena!$A$38:$A$67,0),MATCH(""&amp;$B112,Arena!$B$36:$K$36,0)),"n/a")</f>
        <v>2003</v>
      </c>
      <c r="I112" s="136" t="str">
        <f>IFERROR(INDEX(Arena!$B$71:$K$100,MATCH($A112,Arena!$A$71:$A$100,0),MATCH(""&amp;$B112,Arena!$B$69:$K$69,0)),"n/a")</f>
        <v>N</v>
      </c>
      <c r="J112" s="137">
        <f>IF(ISNUMBER($H112),($B112-1)-$H112,"n/a")</f>
        <v>20</v>
      </c>
      <c r="K112" s="108">
        <f>IF($B112=2017,IFERROR(INDEX('Team Performance'!$B$241:$B$270,MATCH($A112,'Team Performance'!$A$241:$A$270,0)),"n/a"),IFERROR(INDEX('Team Performance'!$B$6:$K$35,MATCH($A112,'Team Performance'!$A$6:$A$35,0),MATCH(($B112-2)&amp;"-"&amp;RIGHT($B112-1,2),'Team Performance'!$B$5:$K$5,0)),"n/a"))</f>
        <v>22</v>
      </c>
      <c r="L112" s="108">
        <f>IF($B112=2017,IFERROR(INDEX('Team Performance'!$C$241:$C$270,MATCH($A112,'Team Performance'!$A$241:$A$270,0)),"n/a"),IFERROR(INDEX('Team Performance'!$B$39:$K$68,MATCH($A112,'Team Performance'!$A$39:$A$68,0),MATCH(($B112-2)&amp;"-"&amp;RIGHT($B112-1,2),'Team Performance'!$B$38:$K$38,0)),"n/a"))</f>
        <v>60</v>
      </c>
      <c r="M112" s="109">
        <f t="shared" si="3"/>
        <v>0.26829268292682928</v>
      </c>
      <c r="N112" s="108">
        <f>IF($B112=2017,IFERROR(INDEX('Team Performance'!$E$241:$E$270,MATCH($A112,'Team Performance'!$A$241:$A$270,0)),"n/a"),IFERROR(INDEX('Team Performance'!$B$140:$K$169,MATCH($A112,'Team Performance'!$A$140:$A$169,0),MATCH(($B112-2)&amp;"-"&amp;RIGHT($B112-1,2),'Team Performance'!$B$139:$K$139,0)),"n/a"))</f>
        <v>0</v>
      </c>
      <c r="O112" s="110">
        <f>IF($B112=2017,IFERROR(INDEX('Salary Cap'!$B$143:$B$172,MATCH($A112,'Salary Cap'!$A$143:$A$172,0)),"n/a"),IFERROR(INDEX('Salary Cap'!$B$10:$K$39,MATCH($A112,'Salary Cap'!$A$10:$A$39,0),MATCH(""&amp;($B112-1),'Salary Cap'!$B$9:$K$9,0)),"n/a"))</f>
        <v>135916481</v>
      </c>
      <c r="P112" s="115">
        <f>IF($B112=2017,IFERROR(INDEX('Salary Cap'!$C$143:$C$172,MATCH($A112,'Salary Cap'!$A$143:$A$172,0)),"n/a"),IFERROR(INDEX('Salary Cap'!$B$109:$K$138,MATCH($A112,'Salary Cap'!$A$109:$A$138,0),MATCH(""&amp;($B112-1),'Salary Cap'!$B$108:$K$108,0)),"n/a"))</f>
        <v>0</v>
      </c>
      <c r="Q112" s="138">
        <f>IF(OR($B112=2021,$B112=2022),1,0)</f>
        <v>0</v>
      </c>
    </row>
    <row r="113" spans="1:17" x14ac:dyDescent="0.2">
      <c r="A113" s="113" t="str" cm="1">
        <f t="array" ref="A113">INDEX('NBA Valuations'!$A$5:$A$34,INT((ROW()-5)/10)+1)</f>
        <v>Houston Rockets</v>
      </c>
      <c r="B113" s="105">
        <f t="shared" si="2"/>
        <v>2025</v>
      </c>
      <c r="C113" s="106">
        <f>IFERROR(INDEX('NBA Valuations'!$B$5:$K$34,MATCH($A113,'NBA Valuations'!$A$5:$A$34,0),MATCH(""&amp;$B113,'NBA Valuations'!$B$3:$K$3,0)),"n/a")</f>
        <v>4900</v>
      </c>
      <c r="D113" s="106">
        <f>IFERROR(INDEX(Revenue!$B$5:$K$34,MATCH($A113,Revenue!$A$5:$A$34,0),MATCH(""&amp;$B113,Revenue!$B$3:$K$3,0)),"n/a")</f>
        <v>416</v>
      </c>
      <c r="E113" s="106">
        <f>IFERROR(INDEX('Operating Income'!$B$5:$K$34,MATCH($A113,'Operating Income'!$A$5:$A$34,0),MATCH(""&amp;$B113,'Operating Income'!$B$3:$K$3,0)),"n/a")</f>
        <v>160</v>
      </c>
      <c r="F113" s="107">
        <f>IFERROR(INDEX('Market Size'!$L$5:$L$34,MATCH($A113,'Market Size'!$A$5:$A$34,0)),"n/a")</f>
        <v>7169284</v>
      </c>
      <c r="G113" s="108">
        <f>IFERROR(INDEX('Market Size'!$B$38:$K$67,MATCH($A113,'Market Size'!$A$38:$A$67,0),MATCH(""&amp;($B113-1),'Market Size'!$B$36:$K$36,0)),"n/a")</f>
        <v>7</v>
      </c>
      <c r="H113" s="108">
        <f>IFERROR(INDEX(Arena!$B$38:$K$67,MATCH($A113,Arena!$A$38:$A$67,0),MATCH(""&amp;$B113,Arena!$B$36:$K$36,0)),"n/a")</f>
        <v>2003</v>
      </c>
      <c r="I113" s="136" t="str">
        <f>IFERROR(INDEX(Arena!$B$71:$K$100,MATCH($A113,Arena!$A$71:$A$100,0),MATCH(""&amp;$B113,Arena!$B$69:$K$69,0)),"n/a")</f>
        <v>N</v>
      </c>
      <c r="J113" s="137">
        <f>IF(ISNUMBER($H113),($B113-1)-$H113,"n/a")</f>
        <v>21</v>
      </c>
      <c r="K113" s="108">
        <f>IF($B113=2017,IFERROR(INDEX('Team Performance'!$B$241:$B$270,MATCH($A113,'Team Performance'!$A$241:$A$270,0)),"n/a"),IFERROR(INDEX('Team Performance'!$B$6:$K$35,MATCH($A113,'Team Performance'!$A$6:$A$35,0),MATCH(($B113-2)&amp;"-"&amp;RIGHT($B113-1,2),'Team Performance'!$B$5:$K$5,0)),"n/a"))</f>
        <v>41</v>
      </c>
      <c r="L113" s="108">
        <f>IF($B113=2017,IFERROR(INDEX('Team Performance'!$C$241:$C$270,MATCH($A113,'Team Performance'!$A$241:$A$270,0)),"n/a"),IFERROR(INDEX('Team Performance'!$B$39:$K$68,MATCH($A113,'Team Performance'!$A$39:$A$68,0),MATCH(($B113-2)&amp;"-"&amp;RIGHT($B113-1,2),'Team Performance'!$B$38:$K$38,0)),"n/a"))</f>
        <v>41</v>
      </c>
      <c r="M113" s="109">
        <f t="shared" si="3"/>
        <v>0.5</v>
      </c>
      <c r="N113" s="108">
        <f>IF($B113=2017,IFERROR(INDEX('Team Performance'!$E$241:$E$270,MATCH($A113,'Team Performance'!$A$241:$A$270,0)),"n/a"),IFERROR(INDEX('Team Performance'!$B$140:$K$169,MATCH($A113,'Team Performance'!$A$140:$A$169,0),MATCH(($B113-2)&amp;"-"&amp;RIGHT($B113-1,2),'Team Performance'!$B$139:$K$139,0)),"n/a"))</f>
        <v>0</v>
      </c>
      <c r="O113" s="110">
        <f>IF($B113=2017,IFERROR(INDEX('Salary Cap'!$B$143:$B$172,MATCH($A113,'Salary Cap'!$A$143:$A$172,0)),"n/a"),IFERROR(INDEX('Salary Cap'!$B$10:$K$39,MATCH($A113,'Salary Cap'!$A$10:$A$39,0),MATCH(""&amp;($B113-1),'Salary Cap'!$B$9:$K$9,0)),"n/a"))</f>
        <v>145269849</v>
      </c>
      <c r="P113" s="115">
        <f>IF($B113=2017,IFERROR(INDEX('Salary Cap'!$C$143:$C$172,MATCH($A113,'Salary Cap'!$A$143:$A$172,0)),"n/a"),IFERROR(INDEX('Salary Cap'!$B$109:$K$138,MATCH($A113,'Salary Cap'!$A$109:$A$138,0),MATCH(""&amp;($B113-1),'Salary Cap'!$B$108:$K$108,0)),"n/a"))</f>
        <v>0</v>
      </c>
      <c r="Q113" s="138">
        <f>IF(OR($B113=2021,$B113=2022),1,0)</f>
        <v>0</v>
      </c>
    </row>
    <row r="114" spans="1:17" x14ac:dyDescent="0.2">
      <c r="A114" s="113" t="str" cm="1">
        <f t="array" ref="A114">INDEX('NBA Valuations'!$A$5:$A$34,INT((ROW()-5)/10)+1)</f>
        <v>Houston Rockets</v>
      </c>
      <c r="B114" s="105">
        <f t="shared" si="2"/>
        <v>2026</v>
      </c>
      <c r="C114" s="106">
        <f>IFERROR(INDEX('NBA Valuations'!$B$5:$K$34,MATCH($A114,'NBA Valuations'!$A$5:$A$34,0),MATCH(""&amp;$B114,'NBA Valuations'!$B$3:$K$3,0)),"n/a")</f>
        <v>5900</v>
      </c>
      <c r="D114" s="106">
        <f>IFERROR(INDEX(Revenue!$B$5:$K$34,MATCH($A114,Revenue!$A$5:$A$34,0),MATCH(""&amp;$B114,Revenue!$B$3:$K$3,0)),"n/a")</f>
        <v>467</v>
      </c>
      <c r="E114" s="106">
        <f>IFERROR(INDEX('Operating Income'!$B$5:$K$34,MATCH($A114,'Operating Income'!$A$5:$A$34,0),MATCH(""&amp;$B114,'Operating Income'!$B$3:$K$3,0)),"n/a")</f>
        <v>191</v>
      </c>
      <c r="F114" s="107">
        <f>IFERROR(INDEX('Market Size'!$L$5:$L$34,MATCH($A114,'Market Size'!$A$5:$A$34,0)),"n/a")</f>
        <v>7169284</v>
      </c>
      <c r="G114" s="108">
        <f>IFERROR(INDEX('Market Size'!$B$38:$K$67,MATCH($A114,'Market Size'!$A$38:$A$67,0),MATCH(""&amp;($B114-1),'Market Size'!$B$36:$K$36,0)),"n/a")</f>
        <v>6</v>
      </c>
      <c r="H114" s="108">
        <f>IFERROR(INDEX(Arena!$B$38:$K$67,MATCH($A114,Arena!$A$38:$A$67,0),MATCH(""&amp;$B114,Arena!$B$36:$K$36,0)),"n/a")</f>
        <v>2003</v>
      </c>
      <c r="I114" s="136" t="str">
        <f>IFERROR(INDEX(Arena!$B$71:$K$100,MATCH($A114,Arena!$A$71:$A$100,0),MATCH(""&amp;$B114,Arena!$B$69:$K$69,0)),"n/a")</f>
        <v>N</v>
      </c>
      <c r="J114" s="137">
        <f>IF(ISNUMBER($H114),($B114-1)-$H114,"n/a")</f>
        <v>22</v>
      </c>
      <c r="K114" s="108">
        <f>IF($B114=2017,IFERROR(INDEX('Team Performance'!$B$241:$B$270,MATCH($A114,'Team Performance'!$A$241:$A$270,0)),"n/a"),IFERROR(INDEX('Team Performance'!$B$6:$K$35,MATCH($A114,'Team Performance'!$A$6:$A$35,0),MATCH(($B114-2)&amp;"-"&amp;RIGHT($B114-1,2),'Team Performance'!$B$5:$K$5,0)),"n/a"))</f>
        <v>52</v>
      </c>
      <c r="L114" s="108">
        <f>IF($B114=2017,IFERROR(INDEX('Team Performance'!$C$241:$C$270,MATCH($A114,'Team Performance'!$A$241:$A$270,0)),"n/a"),IFERROR(INDEX('Team Performance'!$B$39:$K$68,MATCH($A114,'Team Performance'!$A$39:$A$68,0),MATCH(($B114-2)&amp;"-"&amp;RIGHT($B114-1,2),'Team Performance'!$B$38:$K$38,0)),"n/a"))</f>
        <v>30</v>
      </c>
      <c r="M114" s="109">
        <f t="shared" si="3"/>
        <v>0.63414634146341464</v>
      </c>
      <c r="N114" s="108">
        <f>IF($B114=2017,IFERROR(INDEX('Team Performance'!$E$241:$E$270,MATCH($A114,'Team Performance'!$A$241:$A$270,0)),"n/a"),IFERROR(INDEX('Team Performance'!$B$140:$K$169,MATCH($A114,'Team Performance'!$A$140:$A$169,0),MATCH(($B114-2)&amp;"-"&amp;RIGHT($B114-1,2),'Team Performance'!$B$139:$K$139,0)),"n/a"))</f>
        <v>1</v>
      </c>
      <c r="O114" s="110">
        <f>IF($B114=2017,IFERROR(INDEX('Salary Cap'!$B$143:$B$172,MATCH($A114,'Salary Cap'!$A$143:$A$172,0)),"n/a"),IFERROR(INDEX('Salary Cap'!$B$10:$K$39,MATCH($A114,'Salary Cap'!$A$10:$A$39,0),MATCH(""&amp;($B114-1),'Salary Cap'!$B$9:$K$9,0)),"n/a"))</f>
        <v>169193565</v>
      </c>
      <c r="P114" s="115">
        <f>IF($B114=2017,IFERROR(INDEX('Salary Cap'!$C$143:$C$172,MATCH($A114,'Salary Cap'!$A$143:$A$172,0)),"n/a"),IFERROR(INDEX('Salary Cap'!$B$109:$K$138,MATCH($A114,'Salary Cap'!$A$109:$A$138,0),MATCH(""&amp;($B114-1),'Salary Cap'!$B$108:$K$108,0)),"n/a"))</f>
        <v>0</v>
      </c>
      <c r="Q114" s="138">
        <f>IF(OR($B114=2021,$B114=2022),1,0)</f>
        <v>0</v>
      </c>
    </row>
    <row r="115" spans="1:17" x14ac:dyDescent="0.2">
      <c r="A115" s="113" t="str" cm="1">
        <f t="array" ref="A115">INDEX('NBA Valuations'!$A$5:$A$34,INT((ROW()-5)/10)+1)</f>
        <v>Indiana Pacers</v>
      </c>
      <c r="B115" s="105">
        <f t="shared" si="2"/>
        <v>2017</v>
      </c>
      <c r="C115" s="106">
        <f>IFERROR(INDEX('NBA Valuations'!$B$5:$K$34,MATCH($A115,'NBA Valuations'!$A$5:$A$34,0),MATCH(""&amp;$B115,'NBA Valuations'!$B$3:$K$3,0)),"n/a")</f>
        <v>880</v>
      </c>
      <c r="D115" s="106">
        <f>IFERROR(INDEX(Revenue!$B$5:$K$34,MATCH($A115,Revenue!$A$5:$A$34,0),MATCH(""&amp;$B115,Revenue!$B$3:$K$3,0)),"n/a")</f>
        <v>157</v>
      </c>
      <c r="E115" s="106">
        <f>IFERROR(INDEX('Operating Income'!$B$5:$K$34,MATCH($A115,'Operating Income'!$A$5:$A$34,0),MATCH(""&amp;$B115,'Operating Income'!$B$3:$K$3,0)),"n/a")</f>
        <v>23.9</v>
      </c>
      <c r="F115" s="107">
        <f>IFERROR(INDEX('Market Size'!$L$5:$L$34,MATCH($A115,'Market Size'!$A$5:$A$34,0)),"n/a")</f>
        <v>2092783</v>
      </c>
      <c r="G115" s="108" t="str">
        <f>IFERROR(INDEX('Market Size'!$B$38:$K$67,MATCH($A115,'Market Size'!$A$38:$A$67,0),MATCH(""&amp;($B115-1),'Market Size'!$B$36:$K$36,0)),"n/a")</f>
        <v>n/a</v>
      </c>
      <c r="H115" s="108">
        <f>IFERROR(INDEX(Arena!$B$38:$K$67,MATCH($A115,Arena!$A$38:$A$67,0),MATCH(""&amp;$B115,Arena!$B$36:$K$36,0)),"n/a")</f>
        <v>1999</v>
      </c>
      <c r="I115" s="136" t="str">
        <f>IFERROR(INDEX(Arena!$B$71:$K$100,MATCH($A115,Arena!$A$71:$A$100,0),MATCH(""&amp;$B115,Arena!$B$69:$K$69,0)),"n/a")</f>
        <v>N</v>
      </c>
      <c r="J115" s="137">
        <f>IF(ISNUMBER($H115),($B115-1)-$H115,"n/a")</f>
        <v>17</v>
      </c>
      <c r="K115" s="108">
        <f>IF($B115=2017,IFERROR(INDEX('Team Performance'!$B$241:$B$270,MATCH($A115,'Team Performance'!$A$241:$A$270,0)),"n/a"),IFERROR(INDEX('Team Performance'!$B$6:$K$35,MATCH($A115,'Team Performance'!$A$6:$A$35,0),MATCH(($B115-2)&amp;"-"&amp;RIGHT($B115-1,2),'Team Performance'!$B$5:$K$5,0)),"n/a"))</f>
        <v>45</v>
      </c>
      <c r="L115" s="108">
        <f>IF($B115=2017,IFERROR(INDEX('Team Performance'!$C$241:$C$270,MATCH($A115,'Team Performance'!$A$241:$A$270,0)),"n/a"),IFERROR(INDEX('Team Performance'!$B$39:$K$68,MATCH($A115,'Team Performance'!$A$39:$A$68,0),MATCH(($B115-2)&amp;"-"&amp;RIGHT($B115-1,2),'Team Performance'!$B$38:$K$38,0)),"n/a"))</f>
        <v>37</v>
      </c>
      <c r="M115" s="109">
        <f t="shared" si="3"/>
        <v>0.54878048780487809</v>
      </c>
      <c r="N115" s="108">
        <f>IF($B115=2017,IFERROR(INDEX('Team Performance'!$E$241:$E$270,MATCH($A115,'Team Performance'!$A$241:$A$270,0)),"n/a"),IFERROR(INDEX('Team Performance'!$B$140:$K$169,MATCH($A115,'Team Performance'!$A$140:$A$169,0),MATCH(($B115-2)&amp;"-"&amp;RIGHT($B115-1,2),'Team Performance'!$B$139:$K$139,0)),"n/a"))</f>
        <v>1</v>
      </c>
      <c r="O115" s="110">
        <f>IF($B115=2017,IFERROR(INDEX('Salary Cap'!$B$143:$B$172,MATCH($A115,'Salary Cap'!$A$143:$A$172,0)),"n/a"),IFERROR(INDEX('Salary Cap'!$B$10:$K$39,MATCH($A115,'Salary Cap'!$A$10:$A$39,0),MATCH(""&amp;($B115-1),'Salary Cap'!$B$9:$K$9,0)),"n/a"))</f>
        <v>72413726</v>
      </c>
      <c r="P115" s="115">
        <f>IF($B115=2017,IFERROR(INDEX('Salary Cap'!$C$143:$C$172,MATCH($A115,'Salary Cap'!$A$143:$A$172,0)),"n/a"),IFERROR(INDEX('Salary Cap'!$B$109:$K$138,MATCH($A115,'Salary Cap'!$A$109:$A$138,0),MATCH(""&amp;($B115-1),'Salary Cap'!$B$108:$K$108,0)),"n/a"))</f>
        <v>0</v>
      </c>
      <c r="Q115" s="138">
        <f>IF(OR($B115=2021,$B115=2022),1,0)</f>
        <v>0</v>
      </c>
    </row>
    <row r="116" spans="1:17" x14ac:dyDescent="0.2">
      <c r="A116" s="113" t="str" cm="1">
        <f t="array" ref="A116">INDEX('NBA Valuations'!$A$5:$A$34,INT((ROW()-5)/10)+1)</f>
        <v>Indiana Pacers</v>
      </c>
      <c r="B116" s="105">
        <f t="shared" si="2"/>
        <v>2018</v>
      </c>
      <c r="C116" s="106">
        <f>IFERROR(INDEX('NBA Valuations'!$B$5:$K$34,MATCH($A116,'NBA Valuations'!$A$5:$A$34,0),MATCH(""&amp;$B116,'NBA Valuations'!$B$3:$K$3,0)),"n/a")</f>
        <v>1200</v>
      </c>
      <c r="D116" s="106">
        <f>IFERROR(INDEX(Revenue!$B$5:$K$34,MATCH($A116,Revenue!$A$5:$A$34,0),MATCH(""&amp;$B116,Revenue!$B$3:$K$3,0)),"n/a")</f>
        <v>205</v>
      </c>
      <c r="E116" s="106">
        <f>IFERROR(INDEX('Operating Income'!$B$5:$K$34,MATCH($A116,'Operating Income'!$A$5:$A$34,0),MATCH(""&amp;$B116,'Operating Income'!$B$3:$K$3,0)),"n/a")</f>
        <v>29</v>
      </c>
      <c r="F116" s="107">
        <f>IFERROR(INDEX('Market Size'!$L$5:$L$34,MATCH($A116,'Market Size'!$A$5:$A$34,0)),"n/a")</f>
        <v>2092783</v>
      </c>
      <c r="G116" s="108" t="str">
        <f>IFERROR(INDEX('Market Size'!$B$38:$K$67,MATCH($A116,'Market Size'!$A$38:$A$67,0),MATCH(""&amp;($B116-1),'Market Size'!$B$36:$K$36,0)),"n/a")</f>
        <v>n/a</v>
      </c>
      <c r="H116" s="108">
        <f>IFERROR(INDEX(Arena!$B$38:$K$67,MATCH($A116,Arena!$A$38:$A$67,0),MATCH(""&amp;$B116,Arena!$B$36:$K$36,0)),"n/a")</f>
        <v>1999</v>
      </c>
      <c r="I116" s="136" t="str">
        <f>IFERROR(INDEX(Arena!$B$71:$K$100,MATCH($A116,Arena!$A$71:$A$100,0),MATCH(""&amp;$B116,Arena!$B$69:$K$69,0)),"n/a")</f>
        <v>N</v>
      </c>
      <c r="J116" s="137">
        <f>IF(ISNUMBER($H116),($B116-1)-$H116,"n/a")</f>
        <v>18</v>
      </c>
      <c r="K116" s="108">
        <f>IF($B116=2017,IFERROR(INDEX('Team Performance'!$B$241:$B$270,MATCH($A116,'Team Performance'!$A$241:$A$270,0)),"n/a"),IFERROR(INDEX('Team Performance'!$B$6:$K$35,MATCH($A116,'Team Performance'!$A$6:$A$35,0),MATCH(($B116-2)&amp;"-"&amp;RIGHT($B116-1,2),'Team Performance'!$B$5:$K$5,0)),"n/a"))</f>
        <v>42</v>
      </c>
      <c r="L116" s="108">
        <f>IF($B116=2017,IFERROR(INDEX('Team Performance'!$C$241:$C$270,MATCH($A116,'Team Performance'!$A$241:$A$270,0)),"n/a"),IFERROR(INDEX('Team Performance'!$B$39:$K$68,MATCH($A116,'Team Performance'!$A$39:$A$68,0),MATCH(($B116-2)&amp;"-"&amp;RIGHT($B116-1,2),'Team Performance'!$B$38:$K$38,0)),"n/a"))</f>
        <v>40</v>
      </c>
      <c r="M116" s="109">
        <f t="shared" si="3"/>
        <v>0.51219512195121952</v>
      </c>
      <c r="N116" s="108">
        <f>IF($B116=2017,IFERROR(INDEX('Team Performance'!$E$241:$E$270,MATCH($A116,'Team Performance'!$A$241:$A$270,0)),"n/a"),IFERROR(INDEX('Team Performance'!$B$140:$K$169,MATCH($A116,'Team Performance'!$A$140:$A$169,0),MATCH(($B116-2)&amp;"-"&amp;RIGHT($B116-1,2),'Team Performance'!$B$139:$K$139,0)),"n/a"))</f>
        <v>1</v>
      </c>
      <c r="O116" s="110">
        <f>IF($B116=2017,IFERROR(INDEX('Salary Cap'!$B$143:$B$172,MATCH($A116,'Salary Cap'!$A$143:$A$172,0)),"n/a"),IFERROR(INDEX('Salary Cap'!$B$10:$K$39,MATCH($A116,'Salary Cap'!$A$10:$A$39,0),MATCH(""&amp;($B116-1),'Salary Cap'!$B$9:$K$9,0)),"n/a"))</f>
        <v>94002004</v>
      </c>
      <c r="P116" s="115">
        <f>IF($B116=2017,IFERROR(INDEX('Salary Cap'!$C$143:$C$172,MATCH($A116,'Salary Cap'!$A$143:$A$172,0)),"n/a"),IFERROR(INDEX('Salary Cap'!$B$109:$K$138,MATCH($A116,'Salary Cap'!$A$109:$A$138,0),MATCH(""&amp;($B116-1),'Salary Cap'!$B$108:$K$108,0)),"n/a"))</f>
        <v>0</v>
      </c>
      <c r="Q116" s="138">
        <f>IF(OR($B116=2021,$B116=2022),1,0)</f>
        <v>0</v>
      </c>
    </row>
    <row r="117" spans="1:17" x14ac:dyDescent="0.2">
      <c r="A117" s="113" t="str" cm="1">
        <f t="array" ref="A117">INDEX('NBA Valuations'!$A$5:$A$34,INT((ROW()-5)/10)+1)</f>
        <v>Indiana Pacers</v>
      </c>
      <c r="B117" s="105">
        <f t="shared" si="2"/>
        <v>2019</v>
      </c>
      <c r="C117" s="106">
        <f>IFERROR(INDEX('NBA Valuations'!$B$5:$K$34,MATCH($A117,'NBA Valuations'!$A$5:$A$34,0),MATCH(""&amp;$B117,'NBA Valuations'!$B$3:$K$3,0)),"n/a")</f>
        <v>1400</v>
      </c>
      <c r="D117" s="106">
        <f>IFERROR(INDEX(Revenue!$B$5:$K$34,MATCH($A117,Revenue!$A$5:$A$34,0),MATCH(""&amp;$B117,Revenue!$B$3:$K$3,0)),"n/a")</f>
        <v>222</v>
      </c>
      <c r="E117" s="106">
        <f>IFERROR(INDEX('Operating Income'!$B$5:$K$34,MATCH($A117,'Operating Income'!$A$5:$A$34,0),MATCH(""&amp;$B117,'Operating Income'!$B$3:$K$3,0)),"n/a")</f>
        <v>50</v>
      </c>
      <c r="F117" s="107">
        <f>IFERROR(INDEX('Market Size'!$L$5:$L$34,MATCH($A117,'Market Size'!$A$5:$A$34,0)),"n/a")</f>
        <v>2092783</v>
      </c>
      <c r="G117" s="108" t="str">
        <f>IFERROR(INDEX('Market Size'!$B$38:$K$67,MATCH($A117,'Market Size'!$A$38:$A$67,0),MATCH(""&amp;($B117-1),'Market Size'!$B$36:$K$36,0)),"n/a")</f>
        <v>n/a</v>
      </c>
      <c r="H117" s="108">
        <f>IFERROR(INDEX(Arena!$B$38:$K$67,MATCH($A117,Arena!$A$38:$A$67,0),MATCH(""&amp;$B117,Arena!$B$36:$K$36,0)),"n/a")</f>
        <v>1999</v>
      </c>
      <c r="I117" s="136" t="str">
        <f>IFERROR(INDEX(Arena!$B$71:$K$100,MATCH($A117,Arena!$A$71:$A$100,0),MATCH(""&amp;$B117,Arena!$B$69:$K$69,0)),"n/a")</f>
        <v>N</v>
      </c>
      <c r="J117" s="137">
        <f>IF(ISNUMBER($H117),($B117-1)-$H117,"n/a")</f>
        <v>19</v>
      </c>
      <c r="K117" s="108">
        <f>IF($B117=2017,IFERROR(INDEX('Team Performance'!$B$241:$B$270,MATCH($A117,'Team Performance'!$A$241:$A$270,0)),"n/a"),IFERROR(INDEX('Team Performance'!$B$6:$K$35,MATCH($A117,'Team Performance'!$A$6:$A$35,0),MATCH(($B117-2)&amp;"-"&amp;RIGHT($B117-1,2),'Team Performance'!$B$5:$K$5,0)),"n/a"))</f>
        <v>48</v>
      </c>
      <c r="L117" s="108">
        <f>IF($B117=2017,IFERROR(INDEX('Team Performance'!$C$241:$C$270,MATCH($A117,'Team Performance'!$A$241:$A$270,0)),"n/a"),IFERROR(INDEX('Team Performance'!$B$39:$K$68,MATCH($A117,'Team Performance'!$A$39:$A$68,0),MATCH(($B117-2)&amp;"-"&amp;RIGHT($B117-1,2),'Team Performance'!$B$38:$K$38,0)),"n/a"))</f>
        <v>34</v>
      </c>
      <c r="M117" s="109">
        <f t="shared" si="3"/>
        <v>0.58536585365853655</v>
      </c>
      <c r="N117" s="108">
        <f>IF($B117=2017,IFERROR(INDEX('Team Performance'!$E$241:$E$270,MATCH($A117,'Team Performance'!$A$241:$A$270,0)),"n/a"),IFERROR(INDEX('Team Performance'!$B$140:$K$169,MATCH($A117,'Team Performance'!$A$140:$A$169,0),MATCH(($B117-2)&amp;"-"&amp;RIGHT($B117-1,2),'Team Performance'!$B$139:$K$139,0)),"n/a"))</f>
        <v>1</v>
      </c>
      <c r="O117" s="110">
        <f>IF($B117=2017,IFERROR(INDEX('Salary Cap'!$B$143:$B$172,MATCH($A117,'Salary Cap'!$A$143:$A$172,0)),"n/a"),IFERROR(INDEX('Salary Cap'!$B$10:$K$39,MATCH($A117,'Salary Cap'!$A$10:$A$39,0),MATCH(""&amp;($B117-1),'Salary Cap'!$B$9:$K$9,0)),"n/a"))</f>
        <v>93661969</v>
      </c>
      <c r="P117" s="115">
        <f>IF($B117=2017,IFERROR(INDEX('Salary Cap'!$C$143:$C$172,MATCH($A117,'Salary Cap'!$A$143:$A$172,0)),"n/a"),IFERROR(INDEX('Salary Cap'!$B$109:$K$138,MATCH($A117,'Salary Cap'!$A$109:$A$138,0),MATCH(""&amp;($B117-1),'Salary Cap'!$B$108:$K$108,0)),"n/a"))</f>
        <v>0</v>
      </c>
      <c r="Q117" s="138">
        <f>IF(OR($B117=2021,$B117=2022),1,0)</f>
        <v>0</v>
      </c>
    </row>
    <row r="118" spans="1:17" x14ac:dyDescent="0.2">
      <c r="A118" s="113" t="str" cm="1">
        <f t="array" ref="A118">INDEX('NBA Valuations'!$A$5:$A$34,INT((ROW()-5)/10)+1)</f>
        <v>Indiana Pacers</v>
      </c>
      <c r="B118" s="105">
        <f t="shared" si="2"/>
        <v>2020</v>
      </c>
      <c r="C118" s="106">
        <f>IFERROR(INDEX('NBA Valuations'!$B$5:$K$34,MATCH($A118,'NBA Valuations'!$A$5:$A$34,0),MATCH(""&amp;$B118,'NBA Valuations'!$B$3:$K$3,0)),"n/a")</f>
        <v>1500</v>
      </c>
      <c r="D118" s="106">
        <f>IFERROR(INDEX(Revenue!$B$5:$K$34,MATCH($A118,Revenue!$A$5:$A$34,0),MATCH(""&amp;$B118,Revenue!$B$3:$K$3,0)),"n/a")</f>
        <v>243</v>
      </c>
      <c r="E118" s="106">
        <f>IFERROR(INDEX('Operating Income'!$B$5:$K$34,MATCH($A118,'Operating Income'!$A$5:$A$34,0),MATCH(""&amp;$B118,'Operating Income'!$B$3:$K$3,0)),"n/a")</f>
        <v>55</v>
      </c>
      <c r="F118" s="107">
        <f>IFERROR(INDEX('Market Size'!$L$5:$L$34,MATCH($A118,'Market Size'!$A$5:$A$34,0)),"n/a")</f>
        <v>2092783</v>
      </c>
      <c r="G118" s="108" t="str">
        <f>IFERROR(INDEX('Market Size'!$B$38:$K$67,MATCH($A118,'Market Size'!$A$38:$A$67,0),MATCH(""&amp;($B118-1),'Market Size'!$B$36:$K$36,0)),"n/a")</f>
        <v>n/a</v>
      </c>
      <c r="H118" s="108">
        <f>IFERROR(INDEX(Arena!$B$38:$K$67,MATCH($A118,Arena!$A$38:$A$67,0),MATCH(""&amp;$B118,Arena!$B$36:$K$36,0)),"n/a")</f>
        <v>1999</v>
      </c>
      <c r="I118" s="136" t="str">
        <f>IFERROR(INDEX(Arena!$B$71:$K$100,MATCH($A118,Arena!$A$71:$A$100,0),MATCH(""&amp;$B118,Arena!$B$69:$K$69,0)),"n/a")</f>
        <v>N</v>
      </c>
      <c r="J118" s="137">
        <f>IF(ISNUMBER($H118),($B118-1)-$H118,"n/a")</f>
        <v>20</v>
      </c>
      <c r="K118" s="108">
        <f>IF($B118=2017,IFERROR(INDEX('Team Performance'!$B$241:$B$270,MATCH($A118,'Team Performance'!$A$241:$A$270,0)),"n/a"),IFERROR(INDEX('Team Performance'!$B$6:$K$35,MATCH($A118,'Team Performance'!$A$6:$A$35,0),MATCH(($B118-2)&amp;"-"&amp;RIGHT($B118-1,2),'Team Performance'!$B$5:$K$5,0)),"n/a"))</f>
        <v>48</v>
      </c>
      <c r="L118" s="108">
        <f>IF($B118=2017,IFERROR(INDEX('Team Performance'!$C$241:$C$270,MATCH($A118,'Team Performance'!$A$241:$A$270,0)),"n/a"),IFERROR(INDEX('Team Performance'!$B$39:$K$68,MATCH($A118,'Team Performance'!$A$39:$A$68,0),MATCH(($B118-2)&amp;"-"&amp;RIGHT($B118-1,2),'Team Performance'!$B$38:$K$38,0)),"n/a"))</f>
        <v>34</v>
      </c>
      <c r="M118" s="109">
        <f t="shared" si="3"/>
        <v>0.58536585365853655</v>
      </c>
      <c r="N118" s="108">
        <f>IF($B118=2017,IFERROR(INDEX('Team Performance'!$E$241:$E$270,MATCH($A118,'Team Performance'!$A$241:$A$270,0)),"n/a"),IFERROR(INDEX('Team Performance'!$B$140:$K$169,MATCH($A118,'Team Performance'!$A$140:$A$169,0),MATCH(($B118-2)&amp;"-"&amp;RIGHT($B118-1,2),'Team Performance'!$B$139:$K$139,0)),"n/a"))</f>
        <v>1</v>
      </c>
      <c r="O118" s="110">
        <f>IF($B118=2017,IFERROR(INDEX('Salary Cap'!$B$143:$B$172,MATCH($A118,'Salary Cap'!$A$143:$A$172,0)),"n/a"),IFERROR(INDEX('Salary Cap'!$B$10:$K$39,MATCH($A118,'Salary Cap'!$A$10:$A$39,0),MATCH(""&amp;($B118-1),'Salary Cap'!$B$9:$K$9,0)),"n/a"))</f>
        <v>110579462</v>
      </c>
      <c r="P118" s="115">
        <f>IF($B118=2017,IFERROR(INDEX('Salary Cap'!$C$143:$C$172,MATCH($A118,'Salary Cap'!$A$143:$A$172,0)),"n/a"),IFERROR(INDEX('Salary Cap'!$B$109:$K$138,MATCH($A118,'Salary Cap'!$A$109:$A$138,0),MATCH(""&amp;($B118-1),'Salary Cap'!$B$108:$K$108,0)),"n/a"))</f>
        <v>0</v>
      </c>
      <c r="Q118" s="138">
        <f>IF(OR($B118=2021,$B118=2022),1,0)</f>
        <v>0</v>
      </c>
    </row>
    <row r="119" spans="1:17" x14ac:dyDescent="0.2">
      <c r="A119" s="113" t="str" cm="1">
        <f t="array" ref="A119">INDEX('NBA Valuations'!$A$5:$A$34,INT((ROW()-5)/10)+1)</f>
        <v>Indiana Pacers</v>
      </c>
      <c r="B119" s="105">
        <f t="shared" si="2"/>
        <v>2021</v>
      </c>
      <c r="C119" s="106">
        <f>IFERROR(INDEX('NBA Valuations'!$B$5:$K$34,MATCH($A119,'NBA Valuations'!$A$5:$A$34,0),MATCH(""&amp;$B119,'NBA Valuations'!$B$3:$K$3,0)),"n/a")</f>
        <v>1550</v>
      </c>
      <c r="D119" s="106">
        <f>IFERROR(INDEX(Revenue!$B$5:$K$34,MATCH($A119,Revenue!$A$5:$A$34,0),MATCH(""&amp;$B119,Revenue!$B$3:$K$3,0)),"n/a")</f>
        <v>217</v>
      </c>
      <c r="E119" s="106">
        <f>IFERROR(INDEX('Operating Income'!$B$5:$K$34,MATCH($A119,'Operating Income'!$A$5:$A$34,0),MATCH(""&amp;$B119,'Operating Income'!$B$3:$K$3,0)),"n/a")</f>
        <v>39</v>
      </c>
      <c r="F119" s="107">
        <f>IFERROR(INDEX('Market Size'!$L$5:$L$34,MATCH($A119,'Market Size'!$A$5:$A$34,0)),"n/a")</f>
        <v>2092783</v>
      </c>
      <c r="G119" s="108" t="str">
        <f>IFERROR(INDEX('Market Size'!$B$38:$K$67,MATCH($A119,'Market Size'!$A$38:$A$67,0),MATCH(""&amp;($B119-1),'Market Size'!$B$36:$K$36,0)),"n/a")</f>
        <v>n/a</v>
      </c>
      <c r="H119" s="108">
        <f>IFERROR(INDEX(Arena!$B$38:$K$67,MATCH($A119,Arena!$A$38:$A$67,0),MATCH(""&amp;$B119,Arena!$B$36:$K$36,0)),"n/a")</f>
        <v>1999</v>
      </c>
      <c r="I119" s="136" t="str">
        <f>IFERROR(INDEX(Arena!$B$71:$K$100,MATCH($A119,Arena!$A$71:$A$100,0),MATCH(""&amp;$B119,Arena!$B$69:$K$69,0)),"n/a")</f>
        <v>N</v>
      </c>
      <c r="J119" s="137">
        <f>IF(ISNUMBER($H119),($B119-1)-$H119,"n/a")</f>
        <v>21</v>
      </c>
      <c r="K119" s="108">
        <f>IF($B119=2017,IFERROR(INDEX('Team Performance'!$B$241:$B$270,MATCH($A119,'Team Performance'!$A$241:$A$270,0)),"n/a"),IFERROR(INDEX('Team Performance'!$B$6:$K$35,MATCH($A119,'Team Performance'!$A$6:$A$35,0),MATCH(($B119-2)&amp;"-"&amp;RIGHT($B119-1,2),'Team Performance'!$B$5:$K$5,0)),"n/a"))</f>
        <v>45</v>
      </c>
      <c r="L119" s="108">
        <f>IF($B119=2017,IFERROR(INDEX('Team Performance'!$C$241:$C$270,MATCH($A119,'Team Performance'!$A$241:$A$270,0)),"n/a"),IFERROR(INDEX('Team Performance'!$B$39:$K$68,MATCH($A119,'Team Performance'!$A$39:$A$68,0),MATCH(($B119-2)&amp;"-"&amp;RIGHT($B119-1,2),'Team Performance'!$B$38:$K$38,0)),"n/a"))</f>
        <v>28</v>
      </c>
      <c r="M119" s="109">
        <f t="shared" si="3"/>
        <v>0.61643835616438358</v>
      </c>
      <c r="N119" s="108">
        <f>IF($B119=2017,IFERROR(INDEX('Team Performance'!$E$241:$E$270,MATCH($A119,'Team Performance'!$A$241:$A$270,0)),"n/a"),IFERROR(INDEX('Team Performance'!$B$140:$K$169,MATCH($A119,'Team Performance'!$A$140:$A$169,0),MATCH(($B119-2)&amp;"-"&amp;RIGHT($B119-1,2),'Team Performance'!$B$139:$K$139,0)),"n/a"))</f>
        <v>1</v>
      </c>
      <c r="O119" s="110">
        <f>IF($B119=2017,IFERROR(INDEX('Salary Cap'!$B$143:$B$172,MATCH($A119,'Salary Cap'!$A$143:$A$172,0)),"n/a"),IFERROR(INDEX('Salary Cap'!$B$10:$K$39,MATCH($A119,'Salary Cap'!$A$10:$A$39,0),MATCH(""&amp;($B119-1),'Salary Cap'!$B$9:$K$9,0)),"n/a"))</f>
        <v>114591944</v>
      </c>
      <c r="P119" s="115">
        <f>IF($B119=2017,IFERROR(INDEX('Salary Cap'!$C$143:$C$172,MATCH($A119,'Salary Cap'!$A$143:$A$172,0)),"n/a"),IFERROR(INDEX('Salary Cap'!$B$109:$K$138,MATCH($A119,'Salary Cap'!$A$109:$A$138,0),MATCH(""&amp;($B119-1),'Salary Cap'!$B$108:$K$108,0)),"n/a"))</f>
        <v>0</v>
      </c>
      <c r="Q119" s="138">
        <f>IF(OR($B119=2021,$B119=2022),1,0)</f>
        <v>1</v>
      </c>
    </row>
    <row r="120" spans="1:17" x14ac:dyDescent="0.2">
      <c r="A120" s="113" t="str" cm="1">
        <f t="array" ref="A120">INDEX('NBA Valuations'!$A$5:$A$34,INT((ROW()-5)/10)+1)</f>
        <v>Indiana Pacers</v>
      </c>
      <c r="B120" s="105">
        <f t="shared" si="2"/>
        <v>2022</v>
      </c>
      <c r="C120" s="106">
        <f>IFERROR(INDEX('NBA Valuations'!$B$5:$K$34,MATCH($A120,'NBA Valuations'!$A$5:$A$34,0),MATCH(""&amp;$B120,'NBA Valuations'!$B$3:$K$3,0)),"n/a")</f>
        <v>1670</v>
      </c>
      <c r="D120" s="106">
        <f>IFERROR(INDEX(Revenue!$B$5:$K$34,MATCH($A120,Revenue!$A$5:$A$34,0),MATCH(""&amp;$B120,Revenue!$B$3:$K$3,0)),"n/a")</f>
        <v>179</v>
      </c>
      <c r="E120" s="106">
        <f>IFERROR(INDEX('Operating Income'!$B$5:$K$34,MATCH($A120,'Operating Income'!$A$5:$A$34,0),MATCH(""&amp;$B120,'Operating Income'!$B$3:$K$3,0)),"n/a")</f>
        <v>4.0999999999999996</v>
      </c>
      <c r="F120" s="107">
        <f>IFERROR(INDEX('Market Size'!$L$5:$L$34,MATCH($A120,'Market Size'!$A$5:$A$34,0)),"n/a")</f>
        <v>2092783</v>
      </c>
      <c r="G120" s="108" t="str">
        <f>IFERROR(INDEX('Market Size'!$B$38:$K$67,MATCH($A120,'Market Size'!$A$38:$A$67,0),MATCH(""&amp;($B120-1),'Market Size'!$B$36:$K$36,0)),"n/a")</f>
        <v>n/a</v>
      </c>
      <c r="H120" s="108">
        <f>IFERROR(INDEX(Arena!$B$38:$K$67,MATCH($A120,Arena!$A$38:$A$67,0),MATCH(""&amp;$B120,Arena!$B$36:$K$36,0)),"n/a")</f>
        <v>1999</v>
      </c>
      <c r="I120" s="136" t="str">
        <f>IFERROR(INDEX(Arena!$B$71:$K$100,MATCH($A120,Arena!$A$71:$A$100,0),MATCH(""&amp;$B120,Arena!$B$69:$K$69,0)),"n/a")</f>
        <v>N</v>
      </c>
      <c r="J120" s="137">
        <f>IF(ISNUMBER($H120),($B120-1)-$H120,"n/a")</f>
        <v>22</v>
      </c>
      <c r="K120" s="108">
        <f>IF($B120=2017,IFERROR(INDEX('Team Performance'!$B$241:$B$270,MATCH($A120,'Team Performance'!$A$241:$A$270,0)),"n/a"),IFERROR(INDEX('Team Performance'!$B$6:$K$35,MATCH($A120,'Team Performance'!$A$6:$A$35,0),MATCH(($B120-2)&amp;"-"&amp;RIGHT($B120-1,2),'Team Performance'!$B$5:$K$5,0)),"n/a"))</f>
        <v>34</v>
      </c>
      <c r="L120" s="108">
        <f>IF($B120=2017,IFERROR(INDEX('Team Performance'!$C$241:$C$270,MATCH($A120,'Team Performance'!$A$241:$A$270,0)),"n/a"),IFERROR(INDEX('Team Performance'!$B$39:$K$68,MATCH($A120,'Team Performance'!$A$39:$A$68,0),MATCH(($B120-2)&amp;"-"&amp;RIGHT($B120-1,2),'Team Performance'!$B$38:$K$38,0)),"n/a"))</f>
        <v>38</v>
      </c>
      <c r="M120" s="109">
        <f t="shared" si="3"/>
        <v>0.47222222222222221</v>
      </c>
      <c r="N120" s="108">
        <f>IF($B120=2017,IFERROR(INDEX('Team Performance'!$E$241:$E$270,MATCH($A120,'Team Performance'!$A$241:$A$270,0)),"n/a"),IFERROR(INDEX('Team Performance'!$B$140:$K$169,MATCH($A120,'Team Performance'!$A$140:$A$169,0),MATCH(($B120-2)&amp;"-"&amp;RIGHT($B120-1,2),'Team Performance'!$B$139:$K$139,0)),"n/a"))</f>
        <v>0</v>
      </c>
      <c r="O120" s="110">
        <f>IF($B120=2017,IFERROR(INDEX('Salary Cap'!$B$143:$B$172,MATCH($A120,'Salary Cap'!$A$143:$A$172,0)),"n/a"),IFERROR(INDEX('Salary Cap'!$B$10:$K$39,MATCH($A120,'Salary Cap'!$A$10:$A$39,0),MATCH(""&amp;($B120-1),'Salary Cap'!$B$9:$K$9,0)),"n/a"))</f>
        <v>128919308</v>
      </c>
      <c r="P120" s="115">
        <f>IF($B120=2017,IFERROR(INDEX('Salary Cap'!$C$143:$C$172,MATCH($A120,'Salary Cap'!$A$143:$A$172,0)),"n/a"),IFERROR(INDEX('Salary Cap'!$B$109:$K$138,MATCH($A120,'Salary Cap'!$A$109:$A$138,0),MATCH(""&amp;($B120-1),'Salary Cap'!$B$108:$K$108,0)),"n/a"))</f>
        <v>0</v>
      </c>
      <c r="Q120" s="138">
        <f>IF(OR($B120=2021,$B120=2022),1,0)</f>
        <v>1</v>
      </c>
    </row>
    <row r="121" spans="1:17" x14ac:dyDescent="0.2">
      <c r="A121" s="113" t="str" cm="1">
        <f t="array" ref="A121">INDEX('NBA Valuations'!$A$5:$A$34,INT((ROW()-5)/10)+1)</f>
        <v>Indiana Pacers</v>
      </c>
      <c r="B121" s="105">
        <f t="shared" si="2"/>
        <v>2023</v>
      </c>
      <c r="C121" s="106">
        <f>IFERROR(INDEX('NBA Valuations'!$B$5:$K$34,MATCH($A121,'NBA Valuations'!$A$5:$A$34,0),MATCH(""&amp;$B121,'NBA Valuations'!$B$3:$K$3,0)),"n/a")</f>
        <v>1800</v>
      </c>
      <c r="D121" s="106">
        <f>IFERROR(INDEX(Revenue!$B$5:$K$34,MATCH($A121,Revenue!$A$5:$A$34,0),MATCH(""&amp;$B121,Revenue!$B$3:$K$3,0)),"n/a")</f>
        <v>264</v>
      </c>
      <c r="E121" s="106">
        <f>IFERROR(INDEX('Operating Income'!$B$5:$K$34,MATCH($A121,'Operating Income'!$A$5:$A$34,0),MATCH(""&amp;$B121,'Operating Income'!$B$3:$K$3,0)),"n/a")</f>
        <v>65</v>
      </c>
      <c r="F121" s="107">
        <f>IFERROR(INDEX('Market Size'!$L$5:$L$34,MATCH($A121,'Market Size'!$A$5:$A$34,0)),"n/a")</f>
        <v>2092783</v>
      </c>
      <c r="G121" s="108" t="str">
        <f>IFERROR(INDEX('Market Size'!$B$38:$K$67,MATCH($A121,'Market Size'!$A$38:$A$67,0),MATCH(""&amp;($B121-1),'Market Size'!$B$36:$K$36,0)),"n/a")</f>
        <v>n/a</v>
      </c>
      <c r="H121" s="108">
        <f>IFERROR(INDEX(Arena!$B$38:$K$67,MATCH($A121,Arena!$A$38:$A$67,0),MATCH(""&amp;$B121,Arena!$B$36:$K$36,0)),"n/a")</f>
        <v>1999</v>
      </c>
      <c r="I121" s="136" t="str">
        <f>IFERROR(INDEX(Arena!$B$71:$K$100,MATCH($A121,Arena!$A$71:$A$100,0),MATCH(""&amp;$B121,Arena!$B$69:$K$69,0)),"n/a")</f>
        <v>N</v>
      </c>
      <c r="J121" s="137">
        <f>IF(ISNUMBER($H121),($B121-1)-$H121,"n/a")</f>
        <v>23</v>
      </c>
      <c r="K121" s="108">
        <f>IF($B121=2017,IFERROR(INDEX('Team Performance'!$B$241:$B$270,MATCH($A121,'Team Performance'!$A$241:$A$270,0)),"n/a"),IFERROR(INDEX('Team Performance'!$B$6:$K$35,MATCH($A121,'Team Performance'!$A$6:$A$35,0),MATCH(($B121-2)&amp;"-"&amp;RIGHT($B121-1,2),'Team Performance'!$B$5:$K$5,0)),"n/a"))</f>
        <v>25</v>
      </c>
      <c r="L121" s="108">
        <f>IF($B121=2017,IFERROR(INDEX('Team Performance'!$C$241:$C$270,MATCH($A121,'Team Performance'!$A$241:$A$270,0)),"n/a"),IFERROR(INDEX('Team Performance'!$B$39:$K$68,MATCH($A121,'Team Performance'!$A$39:$A$68,0),MATCH(($B121-2)&amp;"-"&amp;RIGHT($B121-1,2),'Team Performance'!$B$38:$K$38,0)),"n/a"))</f>
        <v>57</v>
      </c>
      <c r="M121" s="109">
        <f t="shared" si="3"/>
        <v>0.3048780487804878</v>
      </c>
      <c r="N121" s="108">
        <f>IF($B121=2017,IFERROR(INDEX('Team Performance'!$E$241:$E$270,MATCH($A121,'Team Performance'!$A$241:$A$270,0)),"n/a"),IFERROR(INDEX('Team Performance'!$B$140:$K$169,MATCH($A121,'Team Performance'!$A$140:$A$169,0),MATCH(($B121-2)&amp;"-"&amp;RIGHT($B121-1,2),'Team Performance'!$B$139:$K$139,0)),"n/a"))</f>
        <v>0</v>
      </c>
      <c r="O121" s="110">
        <f>IF($B121=2017,IFERROR(INDEX('Salary Cap'!$B$143:$B$172,MATCH($A121,'Salary Cap'!$A$143:$A$172,0)),"n/a"),IFERROR(INDEX('Salary Cap'!$B$10:$K$39,MATCH($A121,'Salary Cap'!$A$10:$A$39,0),MATCH(""&amp;($B121-1),'Salary Cap'!$B$9:$K$9,0)),"n/a"))</f>
        <v>136538630</v>
      </c>
      <c r="P121" s="115">
        <f>IF($B121=2017,IFERROR(INDEX('Salary Cap'!$C$143:$C$172,MATCH($A121,'Salary Cap'!$A$143:$A$172,0)),"n/a"),IFERROR(INDEX('Salary Cap'!$B$109:$K$138,MATCH($A121,'Salary Cap'!$A$109:$A$138,0),MATCH(""&amp;($B121-1),'Salary Cap'!$B$108:$K$108,0)),"n/a"))</f>
        <v>0</v>
      </c>
      <c r="Q121" s="138">
        <f>IF(OR($B121=2021,$B121=2022),1,0)</f>
        <v>0</v>
      </c>
    </row>
    <row r="122" spans="1:17" x14ac:dyDescent="0.2">
      <c r="A122" s="113" t="str" cm="1">
        <f t="array" ref="A122">INDEX('NBA Valuations'!$A$5:$A$34,INT((ROW()-5)/10)+1)</f>
        <v>Indiana Pacers</v>
      </c>
      <c r="B122" s="105">
        <f t="shared" si="2"/>
        <v>2024</v>
      </c>
      <c r="C122" s="106">
        <f>IFERROR(INDEX('NBA Valuations'!$B$5:$K$34,MATCH($A122,'NBA Valuations'!$A$5:$A$34,0),MATCH(""&amp;$B122,'NBA Valuations'!$B$3:$K$3,0)),"n/a")</f>
        <v>2900</v>
      </c>
      <c r="D122" s="106">
        <f>IFERROR(INDEX(Revenue!$B$5:$K$34,MATCH($A122,Revenue!$A$5:$A$34,0),MATCH(""&amp;$B122,Revenue!$B$3:$K$3,0)),"n/a")</f>
        <v>263</v>
      </c>
      <c r="E122" s="106">
        <f>IFERROR(INDEX('Operating Income'!$B$5:$K$34,MATCH($A122,'Operating Income'!$A$5:$A$34,0),MATCH(""&amp;$B122,'Operating Income'!$B$3:$K$3,0)),"n/a")</f>
        <v>68</v>
      </c>
      <c r="F122" s="107">
        <f>IFERROR(INDEX('Market Size'!$L$5:$L$34,MATCH($A122,'Market Size'!$A$5:$A$34,0)),"n/a")</f>
        <v>2092783</v>
      </c>
      <c r="G122" s="108" t="str">
        <f>IFERROR(INDEX('Market Size'!$B$38:$K$67,MATCH($A122,'Market Size'!$A$38:$A$67,0),MATCH(""&amp;($B122-1),'Market Size'!$B$36:$K$36,0)),"n/a")</f>
        <v>n/a</v>
      </c>
      <c r="H122" s="108">
        <f>IFERROR(INDEX(Arena!$B$38:$K$67,MATCH($A122,Arena!$A$38:$A$67,0),MATCH(""&amp;$B122,Arena!$B$36:$K$36,0)),"n/a")</f>
        <v>1999</v>
      </c>
      <c r="I122" s="136" t="str">
        <f>IFERROR(INDEX(Arena!$B$71:$K$100,MATCH($A122,Arena!$A$71:$A$100,0),MATCH(""&amp;$B122,Arena!$B$69:$K$69,0)),"n/a")</f>
        <v>N</v>
      </c>
      <c r="J122" s="137">
        <f>IF(ISNUMBER($H122),($B122-1)-$H122,"n/a")</f>
        <v>24</v>
      </c>
      <c r="K122" s="108">
        <f>IF($B122=2017,IFERROR(INDEX('Team Performance'!$B$241:$B$270,MATCH($A122,'Team Performance'!$A$241:$A$270,0)),"n/a"),IFERROR(INDEX('Team Performance'!$B$6:$K$35,MATCH($A122,'Team Performance'!$A$6:$A$35,0),MATCH(($B122-2)&amp;"-"&amp;RIGHT($B122-1,2),'Team Performance'!$B$5:$K$5,0)),"n/a"))</f>
        <v>35</v>
      </c>
      <c r="L122" s="108">
        <f>IF($B122=2017,IFERROR(INDEX('Team Performance'!$C$241:$C$270,MATCH($A122,'Team Performance'!$A$241:$A$270,0)),"n/a"),IFERROR(INDEX('Team Performance'!$B$39:$K$68,MATCH($A122,'Team Performance'!$A$39:$A$68,0),MATCH(($B122-2)&amp;"-"&amp;RIGHT($B122-1,2),'Team Performance'!$B$38:$K$38,0)),"n/a"))</f>
        <v>47</v>
      </c>
      <c r="M122" s="109">
        <f t="shared" si="3"/>
        <v>0.42682926829268292</v>
      </c>
      <c r="N122" s="108">
        <f>IF($B122=2017,IFERROR(INDEX('Team Performance'!$E$241:$E$270,MATCH($A122,'Team Performance'!$A$241:$A$270,0)),"n/a"),IFERROR(INDEX('Team Performance'!$B$140:$K$169,MATCH($A122,'Team Performance'!$A$140:$A$169,0),MATCH(($B122-2)&amp;"-"&amp;RIGHT($B122-1,2),'Team Performance'!$B$139:$K$139,0)),"n/a"))</f>
        <v>0</v>
      </c>
      <c r="O122" s="110">
        <f>IF($B122=2017,IFERROR(INDEX('Salary Cap'!$B$143:$B$172,MATCH($A122,'Salary Cap'!$A$143:$A$172,0)),"n/a"),IFERROR(INDEX('Salary Cap'!$B$10:$K$39,MATCH($A122,'Salary Cap'!$A$10:$A$39,0),MATCH(""&amp;($B122-1),'Salary Cap'!$B$9:$K$9,0)),"n/a"))</f>
        <v>122361469</v>
      </c>
      <c r="P122" s="115">
        <f>IF($B122=2017,IFERROR(INDEX('Salary Cap'!$C$143:$C$172,MATCH($A122,'Salary Cap'!$A$143:$A$172,0)),"n/a"),IFERROR(INDEX('Salary Cap'!$B$109:$K$138,MATCH($A122,'Salary Cap'!$A$109:$A$138,0),MATCH(""&amp;($B122-1),'Salary Cap'!$B$108:$K$108,0)),"n/a"))</f>
        <v>0</v>
      </c>
      <c r="Q122" s="138">
        <f>IF(OR($B122=2021,$B122=2022),1,0)</f>
        <v>0</v>
      </c>
    </row>
    <row r="123" spans="1:17" x14ac:dyDescent="0.2">
      <c r="A123" s="113" t="str" cm="1">
        <f t="array" ref="A123">INDEX('NBA Valuations'!$A$5:$A$34,INT((ROW()-5)/10)+1)</f>
        <v>Indiana Pacers</v>
      </c>
      <c r="B123" s="105">
        <f t="shared" si="2"/>
        <v>2025</v>
      </c>
      <c r="C123" s="106">
        <f>IFERROR(INDEX('NBA Valuations'!$B$5:$K$34,MATCH($A123,'NBA Valuations'!$A$5:$A$34,0),MATCH(""&amp;$B123,'NBA Valuations'!$B$3:$K$3,0)),"n/a")</f>
        <v>3600</v>
      </c>
      <c r="D123" s="106">
        <f>IFERROR(INDEX(Revenue!$B$5:$K$34,MATCH($A123,Revenue!$A$5:$A$34,0),MATCH(""&amp;$B123,Revenue!$B$3:$K$3,0)),"n/a")</f>
        <v>320</v>
      </c>
      <c r="E123" s="106">
        <f>IFERROR(INDEX('Operating Income'!$B$5:$K$34,MATCH($A123,'Operating Income'!$A$5:$A$34,0),MATCH(""&amp;$B123,'Operating Income'!$B$3:$K$3,0)),"n/a")</f>
        <v>94</v>
      </c>
      <c r="F123" s="107">
        <f>IFERROR(INDEX('Market Size'!$L$5:$L$34,MATCH($A123,'Market Size'!$A$5:$A$34,0)),"n/a")</f>
        <v>2092783</v>
      </c>
      <c r="G123" s="108">
        <f>IFERROR(INDEX('Market Size'!$B$38:$K$67,MATCH($A123,'Market Size'!$A$38:$A$67,0),MATCH(""&amp;($B123-1),'Market Size'!$B$36:$K$36,0)),"n/a")</f>
        <v>25</v>
      </c>
      <c r="H123" s="108">
        <f>IFERROR(INDEX(Arena!$B$38:$K$67,MATCH($A123,Arena!$A$38:$A$67,0),MATCH(""&amp;$B123,Arena!$B$36:$K$36,0)),"n/a")</f>
        <v>1999</v>
      </c>
      <c r="I123" s="136" t="str">
        <f>IFERROR(INDEX(Arena!$B$71:$K$100,MATCH($A123,Arena!$A$71:$A$100,0),MATCH(""&amp;$B123,Arena!$B$69:$K$69,0)),"n/a")</f>
        <v>N</v>
      </c>
      <c r="J123" s="137">
        <f>IF(ISNUMBER($H123),($B123-1)-$H123,"n/a")</f>
        <v>25</v>
      </c>
      <c r="K123" s="108">
        <f>IF($B123=2017,IFERROR(INDEX('Team Performance'!$B$241:$B$270,MATCH($A123,'Team Performance'!$A$241:$A$270,0)),"n/a"),IFERROR(INDEX('Team Performance'!$B$6:$K$35,MATCH($A123,'Team Performance'!$A$6:$A$35,0),MATCH(($B123-2)&amp;"-"&amp;RIGHT($B123-1,2),'Team Performance'!$B$5:$K$5,0)),"n/a"))</f>
        <v>47</v>
      </c>
      <c r="L123" s="108">
        <f>IF($B123=2017,IFERROR(INDEX('Team Performance'!$C$241:$C$270,MATCH($A123,'Team Performance'!$A$241:$A$270,0)),"n/a"),IFERROR(INDEX('Team Performance'!$B$39:$K$68,MATCH($A123,'Team Performance'!$A$39:$A$68,0),MATCH(($B123-2)&amp;"-"&amp;RIGHT($B123-1,2),'Team Performance'!$B$38:$K$38,0)),"n/a"))</f>
        <v>35</v>
      </c>
      <c r="M123" s="109">
        <f t="shared" si="3"/>
        <v>0.57317073170731703</v>
      </c>
      <c r="N123" s="108">
        <f>IF($B123=2017,IFERROR(INDEX('Team Performance'!$E$241:$E$270,MATCH($A123,'Team Performance'!$A$241:$A$270,0)),"n/a"),IFERROR(INDEX('Team Performance'!$B$140:$K$169,MATCH($A123,'Team Performance'!$A$140:$A$169,0),MATCH(($B123-2)&amp;"-"&amp;RIGHT($B123-1,2),'Team Performance'!$B$139:$K$139,0)),"n/a"))</f>
        <v>3</v>
      </c>
      <c r="O123" s="110">
        <f>IF($B123=2017,IFERROR(INDEX('Salary Cap'!$B$143:$B$172,MATCH($A123,'Salary Cap'!$A$143:$A$172,0)),"n/a"),IFERROR(INDEX('Salary Cap'!$B$10:$K$39,MATCH($A123,'Salary Cap'!$A$10:$A$39,0),MATCH(""&amp;($B123-1),'Salary Cap'!$B$9:$K$9,0)),"n/a"))</f>
        <v>144877509</v>
      </c>
      <c r="P123" s="115">
        <f>IF($B123=2017,IFERROR(INDEX('Salary Cap'!$C$143:$C$172,MATCH($A123,'Salary Cap'!$A$143:$A$172,0)),"n/a"),IFERROR(INDEX('Salary Cap'!$B$109:$K$138,MATCH($A123,'Salary Cap'!$A$109:$A$138,0),MATCH(""&amp;($B123-1),'Salary Cap'!$B$108:$K$108,0)),"n/a"))</f>
        <v>0</v>
      </c>
      <c r="Q123" s="138">
        <f>IF(OR($B123=2021,$B123=2022),1,0)</f>
        <v>0</v>
      </c>
    </row>
    <row r="124" spans="1:17" x14ac:dyDescent="0.2">
      <c r="A124" s="113" t="str" cm="1">
        <f t="array" ref="A124">INDEX('NBA Valuations'!$A$5:$A$34,INT((ROW()-5)/10)+1)</f>
        <v>Indiana Pacers</v>
      </c>
      <c r="B124" s="105">
        <f t="shared" si="2"/>
        <v>2026</v>
      </c>
      <c r="C124" s="106">
        <f>IFERROR(INDEX('NBA Valuations'!$B$5:$K$34,MATCH($A124,'NBA Valuations'!$A$5:$A$34,0),MATCH(""&amp;$B124,'NBA Valuations'!$B$3:$K$3,0)),"n/a")</f>
        <v>4200</v>
      </c>
      <c r="D124" s="106">
        <f>IFERROR(INDEX(Revenue!$B$5:$K$34,MATCH($A124,Revenue!$A$5:$A$34,0),MATCH(""&amp;$B124,Revenue!$B$3:$K$3,0)),"n/a")</f>
        <v>342</v>
      </c>
      <c r="E124" s="106">
        <f>IFERROR(INDEX('Operating Income'!$B$5:$K$34,MATCH($A124,'Operating Income'!$A$5:$A$34,0),MATCH(""&amp;$B124,'Operating Income'!$B$3:$K$3,0)),"n/a")</f>
        <v>89</v>
      </c>
      <c r="F124" s="107">
        <f>IFERROR(INDEX('Market Size'!$L$5:$L$34,MATCH($A124,'Market Size'!$A$5:$A$34,0)),"n/a")</f>
        <v>2092783</v>
      </c>
      <c r="G124" s="108">
        <f>IFERROR(INDEX('Market Size'!$B$38:$K$67,MATCH($A124,'Market Size'!$A$38:$A$67,0),MATCH(""&amp;($B124-1),'Market Size'!$B$36:$K$36,0)),"n/a")</f>
        <v>25</v>
      </c>
      <c r="H124" s="108">
        <f>IFERROR(INDEX(Arena!$B$38:$K$67,MATCH($A124,Arena!$A$38:$A$67,0),MATCH(""&amp;$B124,Arena!$B$36:$K$36,0)),"n/a")</f>
        <v>1999</v>
      </c>
      <c r="I124" s="136" t="str">
        <f>IFERROR(INDEX(Arena!$B$71:$K$100,MATCH($A124,Arena!$A$71:$A$100,0),MATCH(""&amp;$B124,Arena!$B$69:$K$69,0)),"n/a")</f>
        <v>N</v>
      </c>
      <c r="J124" s="137">
        <f>IF(ISNUMBER($H124),($B124-1)-$H124,"n/a")</f>
        <v>26</v>
      </c>
      <c r="K124" s="108">
        <f>IF($B124=2017,IFERROR(INDEX('Team Performance'!$B$241:$B$270,MATCH($A124,'Team Performance'!$A$241:$A$270,0)),"n/a"),IFERROR(INDEX('Team Performance'!$B$6:$K$35,MATCH($A124,'Team Performance'!$A$6:$A$35,0),MATCH(($B124-2)&amp;"-"&amp;RIGHT($B124-1,2),'Team Performance'!$B$5:$K$5,0)),"n/a"))</f>
        <v>50</v>
      </c>
      <c r="L124" s="108">
        <f>IF($B124=2017,IFERROR(INDEX('Team Performance'!$C$241:$C$270,MATCH($A124,'Team Performance'!$A$241:$A$270,0)),"n/a"),IFERROR(INDEX('Team Performance'!$B$39:$K$68,MATCH($A124,'Team Performance'!$A$39:$A$68,0),MATCH(($B124-2)&amp;"-"&amp;RIGHT($B124-1,2),'Team Performance'!$B$38:$K$38,0)),"n/a"))</f>
        <v>32</v>
      </c>
      <c r="M124" s="109">
        <f t="shared" si="3"/>
        <v>0.6097560975609756</v>
      </c>
      <c r="N124" s="108">
        <f>IF($B124=2017,IFERROR(INDEX('Team Performance'!$E$241:$E$270,MATCH($A124,'Team Performance'!$A$241:$A$270,0)),"n/a"),IFERROR(INDEX('Team Performance'!$B$140:$K$169,MATCH($A124,'Team Performance'!$A$140:$A$169,0),MATCH(($B124-2)&amp;"-"&amp;RIGHT($B124-1,2),'Team Performance'!$B$139:$K$139,0)),"n/a"))</f>
        <v>4</v>
      </c>
      <c r="O124" s="110">
        <f>IF($B124=2017,IFERROR(INDEX('Salary Cap'!$B$143:$B$172,MATCH($A124,'Salary Cap'!$A$143:$A$172,0)),"n/a"),IFERROR(INDEX('Salary Cap'!$B$10:$K$39,MATCH($A124,'Salary Cap'!$A$10:$A$39,0),MATCH(""&amp;($B124-1),'Salary Cap'!$B$9:$K$9,0)),"n/a"))</f>
        <v>169319284</v>
      </c>
      <c r="P124" s="115">
        <f>IF($B124=2017,IFERROR(INDEX('Salary Cap'!$C$143:$C$172,MATCH($A124,'Salary Cap'!$A$143:$A$172,0)),"n/a"),IFERROR(INDEX('Salary Cap'!$B$109:$K$138,MATCH($A124,'Salary Cap'!$A$109:$A$138,0),MATCH(""&amp;($B124-1),'Salary Cap'!$B$108:$K$108,0)),"n/a"))</f>
        <v>0</v>
      </c>
      <c r="Q124" s="138">
        <f>IF(OR($B124=2021,$B124=2022),1,0)</f>
        <v>0</v>
      </c>
    </row>
    <row r="125" spans="1:17" x14ac:dyDescent="0.2">
      <c r="A125" s="113" t="str" cm="1">
        <f t="array" ref="A125">INDEX('NBA Valuations'!$A$5:$A$34,INT((ROW()-5)/10)+1)</f>
        <v>LA Clippers</v>
      </c>
      <c r="B125" s="105">
        <f t="shared" si="2"/>
        <v>2017</v>
      </c>
      <c r="C125" s="106">
        <f>IFERROR(INDEX('NBA Valuations'!$B$5:$K$34,MATCH($A125,'NBA Valuations'!$A$5:$A$34,0),MATCH(""&amp;$B125,'NBA Valuations'!$B$3:$K$3,0)),"n/a")</f>
        <v>2000</v>
      </c>
      <c r="D125" s="106">
        <f>IFERROR(INDEX(Revenue!$B$5:$K$34,MATCH($A125,Revenue!$A$5:$A$34,0),MATCH(""&amp;$B125,Revenue!$B$3:$K$3,0)),"n/a")</f>
        <v>185</v>
      </c>
      <c r="E125" s="106">
        <f>IFERROR(INDEX('Operating Income'!$B$5:$K$34,MATCH($A125,'Operating Income'!$A$5:$A$34,0),MATCH(""&amp;$B125,'Operating Income'!$B$3:$K$3,0)),"n/a")</f>
        <v>-11.8</v>
      </c>
      <c r="F125" s="107">
        <f>IFERROR(INDEX('Market Size'!$L$5:$L$34,MATCH($A125,'Market Size'!$A$5:$A$34,0)),"n/a")</f>
        <v>13182677</v>
      </c>
      <c r="G125" s="108" t="str">
        <f>IFERROR(INDEX('Market Size'!$B$38:$K$67,MATCH($A125,'Market Size'!$A$38:$A$67,0),MATCH(""&amp;($B125-1),'Market Size'!$B$36:$K$36,0)),"n/a")</f>
        <v>n/a</v>
      </c>
      <c r="H125" s="108">
        <f>IFERROR(INDEX(Arena!$B$38:$K$67,MATCH($A125,Arena!$A$38:$A$67,0),MATCH(""&amp;$B125,Arena!$B$36:$K$36,0)),"n/a")</f>
        <v>1999</v>
      </c>
      <c r="I125" s="136" t="str">
        <f>IFERROR(INDEX(Arena!$B$71:$K$100,MATCH($A125,Arena!$A$71:$A$100,0),MATCH(""&amp;$B125,Arena!$B$69:$K$69,0)),"n/a")</f>
        <v>N</v>
      </c>
      <c r="J125" s="137">
        <f>IF(ISNUMBER($H125),($B125-1)-$H125,"n/a")</f>
        <v>17</v>
      </c>
      <c r="K125" s="108">
        <f>IF($B125=2017,IFERROR(INDEX('Team Performance'!$B$241:$B$270,MATCH($A125,'Team Performance'!$A$241:$A$270,0)),"n/a"),IFERROR(INDEX('Team Performance'!$B$6:$K$35,MATCH($A125,'Team Performance'!$A$6:$A$35,0),MATCH(($B125-2)&amp;"-"&amp;RIGHT($B125-1,2),'Team Performance'!$B$5:$K$5,0)),"n/a"))</f>
        <v>53</v>
      </c>
      <c r="L125" s="108">
        <f>IF($B125=2017,IFERROR(INDEX('Team Performance'!$C$241:$C$270,MATCH($A125,'Team Performance'!$A$241:$A$270,0)),"n/a"),IFERROR(INDEX('Team Performance'!$B$39:$K$68,MATCH($A125,'Team Performance'!$A$39:$A$68,0),MATCH(($B125-2)&amp;"-"&amp;RIGHT($B125-1,2),'Team Performance'!$B$38:$K$38,0)),"n/a"))</f>
        <v>29</v>
      </c>
      <c r="M125" s="109">
        <f t="shared" si="3"/>
        <v>0.64634146341463417</v>
      </c>
      <c r="N125" s="108">
        <f>IF($B125=2017,IFERROR(INDEX('Team Performance'!$E$241:$E$270,MATCH($A125,'Team Performance'!$A$241:$A$270,0)),"n/a"),IFERROR(INDEX('Team Performance'!$B$140:$K$169,MATCH($A125,'Team Performance'!$A$140:$A$169,0),MATCH(($B125-2)&amp;"-"&amp;RIGHT($B125-1,2),'Team Performance'!$B$139:$K$139,0)),"n/a"))</f>
        <v>1</v>
      </c>
      <c r="O125" s="110">
        <f>IF($B125=2017,IFERROR(INDEX('Salary Cap'!$B$143:$B$172,MATCH($A125,'Salary Cap'!$A$143:$A$172,0)),"n/a"),IFERROR(INDEX('Salary Cap'!$B$10:$K$39,MATCH($A125,'Salary Cap'!$A$10:$A$39,0),MATCH(""&amp;($B125-1),'Salary Cap'!$B$9:$K$9,0)),"n/a"))</f>
        <v>96140524</v>
      </c>
      <c r="P125" s="115">
        <f>IF($B125=2017,IFERROR(INDEX('Salary Cap'!$C$143:$C$172,MATCH($A125,'Salary Cap'!$A$143:$A$172,0)),"n/a"),IFERROR(INDEX('Salary Cap'!$B$109:$K$138,MATCH($A125,'Salary Cap'!$A$109:$A$138,0),MATCH(""&amp;($B125-1),'Salary Cap'!$B$108:$K$108,0)),"n/a"))</f>
        <v>19751310</v>
      </c>
      <c r="Q125" s="138">
        <f>IF(OR($B125=2021,$B125=2022),1,0)</f>
        <v>0</v>
      </c>
    </row>
    <row r="126" spans="1:17" x14ac:dyDescent="0.2">
      <c r="A126" s="113" t="str" cm="1">
        <f t="array" ref="A126">INDEX('NBA Valuations'!$A$5:$A$34,INT((ROW()-5)/10)+1)</f>
        <v>LA Clippers</v>
      </c>
      <c r="B126" s="105">
        <f t="shared" si="2"/>
        <v>2018</v>
      </c>
      <c r="C126" s="106">
        <f>IFERROR(INDEX('NBA Valuations'!$B$5:$K$34,MATCH($A126,'NBA Valuations'!$A$5:$A$34,0),MATCH(""&amp;$B126,'NBA Valuations'!$B$3:$K$3,0)),"n/a")</f>
        <v>2200</v>
      </c>
      <c r="D126" s="106">
        <f>IFERROR(INDEX(Revenue!$B$5:$K$34,MATCH($A126,Revenue!$A$5:$A$34,0),MATCH(""&amp;$B126,Revenue!$B$3:$K$3,0)),"n/a")</f>
        <v>257</v>
      </c>
      <c r="E126" s="106">
        <f>IFERROR(INDEX('Operating Income'!$B$5:$K$34,MATCH($A126,'Operating Income'!$A$5:$A$34,0),MATCH(""&amp;$B126,'Operating Income'!$B$3:$K$3,0)),"n/a")</f>
        <v>35</v>
      </c>
      <c r="F126" s="107">
        <f>IFERROR(INDEX('Market Size'!$L$5:$L$34,MATCH($A126,'Market Size'!$A$5:$A$34,0)),"n/a")</f>
        <v>13182677</v>
      </c>
      <c r="G126" s="108" t="str">
        <f>IFERROR(INDEX('Market Size'!$B$38:$K$67,MATCH($A126,'Market Size'!$A$38:$A$67,0),MATCH(""&amp;($B126-1),'Market Size'!$B$36:$K$36,0)),"n/a")</f>
        <v>n/a</v>
      </c>
      <c r="H126" s="108">
        <f>IFERROR(INDEX(Arena!$B$38:$K$67,MATCH($A126,Arena!$A$38:$A$67,0),MATCH(""&amp;$B126,Arena!$B$36:$K$36,0)),"n/a")</f>
        <v>1999</v>
      </c>
      <c r="I126" s="136" t="str">
        <f>IFERROR(INDEX(Arena!$B$71:$K$100,MATCH($A126,Arena!$A$71:$A$100,0),MATCH(""&amp;$B126,Arena!$B$69:$K$69,0)),"n/a")</f>
        <v>N</v>
      </c>
      <c r="J126" s="137">
        <f>IF(ISNUMBER($H126),($B126-1)-$H126,"n/a")</f>
        <v>18</v>
      </c>
      <c r="K126" s="108">
        <f>IF($B126=2017,IFERROR(INDEX('Team Performance'!$B$241:$B$270,MATCH($A126,'Team Performance'!$A$241:$A$270,0)),"n/a"),IFERROR(INDEX('Team Performance'!$B$6:$K$35,MATCH($A126,'Team Performance'!$A$6:$A$35,0),MATCH(($B126-2)&amp;"-"&amp;RIGHT($B126-1,2),'Team Performance'!$B$5:$K$5,0)),"n/a"))</f>
        <v>51</v>
      </c>
      <c r="L126" s="108">
        <f>IF($B126=2017,IFERROR(INDEX('Team Performance'!$C$241:$C$270,MATCH($A126,'Team Performance'!$A$241:$A$270,0)),"n/a"),IFERROR(INDEX('Team Performance'!$B$39:$K$68,MATCH($A126,'Team Performance'!$A$39:$A$68,0),MATCH(($B126-2)&amp;"-"&amp;RIGHT($B126-1,2),'Team Performance'!$B$38:$K$38,0)),"n/a"))</f>
        <v>31</v>
      </c>
      <c r="M126" s="109">
        <f t="shared" si="3"/>
        <v>0.62195121951219512</v>
      </c>
      <c r="N126" s="108">
        <f>IF($B126=2017,IFERROR(INDEX('Team Performance'!$E$241:$E$270,MATCH($A126,'Team Performance'!$A$241:$A$270,0)),"n/a"),IFERROR(INDEX('Team Performance'!$B$140:$K$169,MATCH($A126,'Team Performance'!$A$140:$A$169,0),MATCH(($B126-2)&amp;"-"&amp;RIGHT($B126-1,2),'Team Performance'!$B$139:$K$139,0)),"n/a"))</f>
        <v>1</v>
      </c>
      <c r="O126" s="110">
        <f>IF($B126=2017,IFERROR(INDEX('Salary Cap'!$B$143:$B$172,MATCH($A126,'Salary Cap'!$A$143:$A$172,0)),"n/a"),IFERROR(INDEX('Salary Cap'!$B$10:$K$39,MATCH($A126,'Salary Cap'!$A$10:$A$39,0),MATCH(""&amp;($B126-1),'Salary Cap'!$B$9:$K$9,0)),"n/a"))</f>
        <v>115507492</v>
      </c>
      <c r="P126" s="115">
        <f>IF($B126=2017,IFERROR(INDEX('Salary Cap'!$C$143:$C$172,MATCH($A126,'Salary Cap'!$A$143:$A$172,0)),"n/a"),IFERROR(INDEX('Salary Cap'!$B$109:$K$138,MATCH($A126,'Salary Cap'!$A$109:$A$138,0),MATCH(""&amp;($B126-1),'Salary Cap'!$B$108:$K$108,0)),"n/a"))</f>
        <v>3632580</v>
      </c>
      <c r="Q126" s="138">
        <f>IF(OR($B126=2021,$B126=2022),1,0)</f>
        <v>0</v>
      </c>
    </row>
    <row r="127" spans="1:17" x14ac:dyDescent="0.2">
      <c r="A127" s="113" t="str" cm="1">
        <f t="array" ref="A127">INDEX('NBA Valuations'!$A$5:$A$34,INT((ROW()-5)/10)+1)</f>
        <v>LA Clippers</v>
      </c>
      <c r="B127" s="105">
        <f t="shared" si="2"/>
        <v>2019</v>
      </c>
      <c r="C127" s="106">
        <f>IFERROR(INDEX('NBA Valuations'!$B$5:$K$34,MATCH($A127,'NBA Valuations'!$A$5:$A$34,0),MATCH(""&amp;$B127,'NBA Valuations'!$B$3:$K$3,0)),"n/a")</f>
        <v>2200</v>
      </c>
      <c r="D127" s="106">
        <f>IFERROR(INDEX(Revenue!$B$5:$K$34,MATCH($A127,Revenue!$A$5:$A$34,0),MATCH(""&amp;$B127,Revenue!$B$3:$K$3,0)),"n/a")</f>
        <v>258</v>
      </c>
      <c r="E127" s="106">
        <f>IFERROR(INDEX('Operating Income'!$B$5:$K$34,MATCH($A127,'Operating Income'!$A$5:$A$34,0),MATCH(""&amp;$B127,'Operating Income'!$B$3:$K$3,0)),"n/a")</f>
        <v>40</v>
      </c>
      <c r="F127" s="107">
        <f>IFERROR(INDEX('Market Size'!$L$5:$L$34,MATCH($A127,'Market Size'!$A$5:$A$34,0)),"n/a")</f>
        <v>13182677</v>
      </c>
      <c r="G127" s="108" t="str">
        <f>IFERROR(INDEX('Market Size'!$B$38:$K$67,MATCH($A127,'Market Size'!$A$38:$A$67,0),MATCH(""&amp;($B127-1),'Market Size'!$B$36:$K$36,0)),"n/a")</f>
        <v>n/a</v>
      </c>
      <c r="H127" s="108">
        <f>IFERROR(INDEX(Arena!$B$38:$K$67,MATCH($A127,Arena!$A$38:$A$67,0),MATCH(""&amp;$B127,Arena!$B$36:$K$36,0)),"n/a")</f>
        <v>1999</v>
      </c>
      <c r="I127" s="136" t="str">
        <f>IFERROR(INDEX(Arena!$B$71:$K$100,MATCH($A127,Arena!$A$71:$A$100,0),MATCH(""&amp;$B127,Arena!$B$69:$K$69,0)),"n/a")</f>
        <v>N</v>
      </c>
      <c r="J127" s="137">
        <f>IF(ISNUMBER($H127),($B127-1)-$H127,"n/a")</f>
        <v>19</v>
      </c>
      <c r="K127" s="108">
        <f>IF($B127=2017,IFERROR(INDEX('Team Performance'!$B$241:$B$270,MATCH($A127,'Team Performance'!$A$241:$A$270,0)),"n/a"),IFERROR(INDEX('Team Performance'!$B$6:$K$35,MATCH($A127,'Team Performance'!$A$6:$A$35,0),MATCH(($B127-2)&amp;"-"&amp;RIGHT($B127-1,2),'Team Performance'!$B$5:$K$5,0)),"n/a"))</f>
        <v>42</v>
      </c>
      <c r="L127" s="108">
        <f>IF($B127=2017,IFERROR(INDEX('Team Performance'!$C$241:$C$270,MATCH($A127,'Team Performance'!$A$241:$A$270,0)),"n/a"),IFERROR(INDEX('Team Performance'!$B$39:$K$68,MATCH($A127,'Team Performance'!$A$39:$A$68,0),MATCH(($B127-2)&amp;"-"&amp;RIGHT($B127-1,2),'Team Performance'!$B$38:$K$38,0)),"n/a"))</f>
        <v>40</v>
      </c>
      <c r="M127" s="109">
        <f t="shared" si="3"/>
        <v>0.51219512195121952</v>
      </c>
      <c r="N127" s="108">
        <f>IF($B127=2017,IFERROR(INDEX('Team Performance'!$E$241:$E$270,MATCH($A127,'Team Performance'!$A$241:$A$270,0)),"n/a"),IFERROR(INDEX('Team Performance'!$B$140:$K$169,MATCH($A127,'Team Performance'!$A$140:$A$169,0),MATCH(($B127-2)&amp;"-"&amp;RIGHT($B127-1,2),'Team Performance'!$B$139:$K$139,0)),"n/a"))</f>
        <v>0</v>
      </c>
      <c r="O127" s="110">
        <f>IF($B127=2017,IFERROR(INDEX('Salary Cap'!$B$143:$B$172,MATCH($A127,'Salary Cap'!$A$143:$A$172,0)),"n/a"),IFERROR(INDEX('Salary Cap'!$B$10:$K$39,MATCH($A127,'Salary Cap'!$A$10:$A$39,0),MATCH(""&amp;($B127-1),'Salary Cap'!$B$9:$K$9,0)),"n/a"))</f>
        <v>118817049</v>
      </c>
      <c r="P127" s="115">
        <f>IF($B127=2017,IFERROR(INDEX('Salary Cap'!$C$143:$C$172,MATCH($A127,'Salary Cap'!$A$143:$A$172,0)),"n/a"),IFERROR(INDEX('Salary Cap'!$B$109:$K$138,MATCH($A127,'Salary Cap'!$A$109:$A$138,0),MATCH(""&amp;($B127-1),'Salary Cap'!$B$108:$K$108,0)),"n/a"))</f>
        <v>0</v>
      </c>
      <c r="Q127" s="138">
        <f>IF(OR($B127=2021,$B127=2022),1,0)</f>
        <v>0</v>
      </c>
    </row>
    <row r="128" spans="1:17" x14ac:dyDescent="0.2">
      <c r="A128" s="113" t="str" cm="1">
        <f t="array" ref="A128">INDEX('NBA Valuations'!$A$5:$A$34,INT((ROW()-5)/10)+1)</f>
        <v>LA Clippers</v>
      </c>
      <c r="B128" s="105">
        <f t="shared" si="2"/>
        <v>2020</v>
      </c>
      <c r="C128" s="106">
        <f>IFERROR(INDEX('NBA Valuations'!$B$5:$K$34,MATCH($A128,'NBA Valuations'!$A$5:$A$34,0),MATCH(""&amp;$B128,'NBA Valuations'!$B$3:$K$3,0)),"n/a")</f>
        <v>2600</v>
      </c>
      <c r="D128" s="106">
        <f>IFERROR(INDEX(Revenue!$B$5:$K$34,MATCH($A128,Revenue!$A$5:$A$34,0),MATCH(""&amp;$B128,Revenue!$B$3:$K$3,0)),"n/a")</f>
        <v>282</v>
      </c>
      <c r="E128" s="106">
        <f>IFERROR(INDEX('Operating Income'!$B$5:$K$34,MATCH($A128,'Operating Income'!$A$5:$A$34,0),MATCH(""&amp;$B128,'Operating Income'!$B$3:$K$3,0)),"n/a")</f>
        <v>73</v>
      </c>
      <c r="F128" s="107">
        <f>IFERROR(INDEX('Market Size'!$L$5:$L$34,MATCH($A128,'Market Size'!$A$5:$A$34,0)),"n/a")</f>
        <v>13182677</v>
      </c>
      <c r="G128" s="108" t="str">
        <f>IFERROR(INDEX('Market Size'!$B$38:$K$67,MATCH($A128,'Market Size'!$A$38:$A$67,0),MATCH(""&amp;($B128-1),'Market Size'!$B$36:$K$36,0)),"n/a")</f>
        <v>n/a</v>
      </c>
      <c r="H128" s="108">
        <f>IFERROR(INDEX(Arena!$B$38:$K$67,MATCH($A128,Arena!$A$38:$A$67,0),MATCH(""&amp;$B128,Arena!$B$36:$K$36,0)),"n/a")</f>
        <v>1999</v>
      </c>
      <c r="I128" s="136" t="str">
        <f>IFERROR(INDEX(Arena!$B$71:$K$100,MATCH($A128,Arena!$A$71:$A$100,0),MATCH(""&amp;$B128,Arena!$B$69:$K$69,0)),"n/a")</f>
        <v>N</v>
      </c>
      <c r="J128" s="137">
        <f>IF(ISNUMBER($H128),($B128-1)-$H128,"n/a")</f>
        <v>20</v>
      </c>
      <c r="K128" s="108">
        <f>IF($B128=2017,IFERROR(INDEX('Team Performance'!$B$241:$B$270,MATCH($A128,'Team Performance'!$A$241:$A$270,0)),"n/a"),IFERROR(INDEX('Team Performance'!$B$6:$K$35,MATCH($A128,'Team Performance'!$A$6:$A$35,0),MATCH(($B128-2)&amp;"-"&amp;RIGHT($B128-1,2),'Team Performance'!$B$5:$K$5,0)),"n/a"))</f>
        <v>48</v>
      </c>
      <c r="L128" s="108">
        <f>IF($B128=2017,IFERROR(INDEX('Team Performance'!$C$241:$C$270,MATCH($A128,'Team Performance'!$A$241:$A$270,0)),"n/a"),IFERROR(INDEX('Team Performance'!$B$39:$K$68,MATCH($A128,'Team Performance'!$A$39:$A$68,0),MATCH(($B128-2)&amp;"-"&amp;RIGHT($B128-1,2),'Team Performance'!$B$38:$K$38,0)),"n/a"))</f>
        <v>34</v>
      </c>
      <c r="M128" s="109">
        <f t="shared" si="3"/>
        <v>0.58536585365853655</v>
      </c>
      <c r="N128" s="108">
        <f>IF($B128=2017,IFERROR(INDEX('Team Performance'!$E$241:$E$270,MATCH($A128,'Team Performance'!$A$241:$A$270,0)),"n/a"),IFERROR(INDEX('Team Performance'!$B$140:$K$169,MATCH($A128,'Team Performance'!$A$140:$A$169,0),MATCH(($B128-2)&amp;"-"&amp;RIGHT($B128-1,2),'Team Performance'!$B$139:$K$139,0)),"n/a"))</f>
        <v>1</v>
      </c>
      <c r="O128" s="110">
        <f>IF($B128=2017,IFERROR(INDEX('Salary Cap'!$B$143:$B$172,MATCH($A128,'Salary Cap'!$A$143:$A$172,0)),"n/a"),IFERROR(INDEX('Salary Cap'!$B$10:$K$39,MATCH($A128,'Salary Cap'!$A$10:$A$39,0),MATCH(""&amp;($B128-1),'Salary Cap'!$B$9:$K$9,0)),"n/a"))</f>
        <v>118646874</v>
      </c>
      <c r="P128" s="115">
        <f>IF($B128=2017,IFERROR(INDEX('Salary Cap'!$C$143:$C$172,MATCH($A128,'Salary Cap'!$A$143:$A$172,0)),"n/a"),IFERROR(INDEX('Salary Cap'!$B$109:$K$138,MATCH($A128,'Salary Cap'!$A$109:$A$138,0),MATCH(""&amp;($B128-1),'Salary Cap'!$B$108:$K$108,0)),"n/a"))</f>
        <v>0</v>
      </c>
      <c r="Q128" s="138">
        <f>IF(OR($B128=2021,$B128=2022),1,0)</f>
        <v>0</v>
      </c>
    </row>
    <row r="129" spans="1:17" x14ac:dyDescent="0.2">
      <c r="A129" s="113" t="str" cm="1">
        <f t="array" ref="A129">INDEX('NBA Valuations'!$A$5:$A$34,INT((ROW()-5)/10)+1)</f>
        <v>LA Clippers</v>
      </c>
      <c r="B129" s="105">
        <f t="shared" si="2"/>
        <v>2021</v>
      </c>
      <c r="C129" s="106">
        <f>IFERROR(INDEX('NBA Valuations'!$B$5:$K$34,MATCH($A129,'NBA Valuations'!$A$5:$A$34,0),MATCH(""&amp;$B129,'NBA Valuations'!$B$3:$K$3,0)),"n/a")</f>
        <v>2750</v>
      </c>
      <c r="D129" s="106">
        <f>IFERROR(INDEX(Revenue!$B$5:$K$34,MATCH($A129,Revenue!$A$5:$A$34,0),MATCH(""&amp;$B129,Revenue!$B$3:$K$3,0)),"n/a")</f>
        <v>262</v>
      </c>
      <c r="E129" s="106">
        <f>IFERROR(INDEX('Operating Income'!$B$5:$K$34,MATCH($A129,'Operating Income'!$A$5:$A$34,0),MATCH(""&amp;$B129,'Operating Income'!$B$3:$K$3,0)),"n/a")</f>
        <v>57</v>
      </c>
      <c r="F129" s="107">
        <f>IFERROR(INDEX('Market Size'!$L$5:$L$34,MATCH($A129,'Market Size'!$A$5:$A$34,0)),"n/a")</f>
        <v>13182677</v>
      </c>
      <c r="G129" s="108" t="str">
        <f>IFERROR(INDEX('Market Size'!$B$38:$K$67,MATCH($A129,'Market Size'!$A$38:$A$67,0),MATCH(""&amp;($B129-1),'Market Size'!$B$36:$K$36,0)),"n/a")</f>
        <v>n/a</v>
      </c>
      <c r="H129" s="108">
        <f>IFERROR(INDEX(Arena!$B$38:$K$67,MATCH($A129,Arena!$A$38:$A$67,0),MATCH(""&amp;$B129,Arena!$B$36:$K$36,0)),"n/a")</f>
        <v>1999</v>
      </c>
      <c r="I129" s="136" t="str">
        <f>IFERROR(INDEX(Arena!$B$71:$K$100,MATCH($A129,Arena!$A$71:$A$100,0),MATCH(""&amp;$B129,Arena!$B$69:$K$69,0)),"n/a")</f>
        <v>N</v>
      </c>
      <c r="J129" s="137">
        <f>IF(ISNUMBER($H129),($B129-1)-$H129,"n/a")</f>
        <v>21</v>
      </c>
      <c r="K129" s="108">
        <f>IF($B129=2017,IFERROR(INDEX('Team Performance'!$B$241:$B$270,MATCH($A129,'Team Performance'!$A$241:$A$270,0)),"n/a"),IFERROR(INDEX('Team Performance'!$B$6:$K$35,MATCH($A129,'Team Performance'!$A$6:$A$35,0),MATCH(($B129-2)&amp;"-"&amp;RIGHT($B129-1,2),'Team Performance'!$B$5:$K$5,0)),"n/a"))</f>
        <v>49</v>
      </c>
      <c r="L129" s="108">
        <f>IF($B129=2017,IFERROR(INDEX('Team Performance'!$C$241:$C$270,MATCH($A129,'Team Performance'!$A$241:$A$270,0)),"n/a"),IFERROR(INDEX('Team Performance'!$B$39:$K$68,MATCH($A129,'Team Performance'!$A$39:$A$68,0),MATCH(($B129-2)&amp;"-"&amp;RIGHT($B129-1,2),'Team Performance'!$B$38:$K$38,0)),"n/a"))</f>
        <v>23</v>
      </c>
      <c r="M129" s="109">
        <f t="shared" si="3"/>
        <v>0.68055555555555558</v>
      </c>
      <c r="N129" s="108">
        <f>IF($B129=2017,IFERROR(INDEX('Team Performance'!$E$241:$E$270,MATCH($A129,'Team Performance'!$A$241:$A$270,0)),"n/a"),IFERROR(INDEX('Team Performance'!$B$140:$K$169,MATCH($A129,'Team Performance'!$A$140:$A$169,0),MATCH(($B129-2)&amp;"-"&amp;RIGHT($B129-1,2),'Team Performance'!$B$139:$K$139,0)),"n/a"))</f>
        <v>2</v>
      </c>
      <c r="O129" s="110">
        <f>IF($B129=2017,IFERROR(INDEX('Salary Cap'!$B$143:$B$172,MATCH($A129,'Salary Cap'!$A$143:$A$172,0)),"n/a"),IFERROR(INDEX('Salary Cap'!$B$10:$K$39,MATCH($A129,'Salary Cap'!$A$10:$A$39,0),MATCH(""&amp;($B129-1),'Salary Cap'!$B$9:$K$9,0)),"n/a"))</f>
        <v>130154932</v>
      </c>
      <c r="P129" s="115">
        <f>IF($B129=2017,IFERROR(INDEX('Salary Cap'!$C$143:$C$172,MATCH($A129,'Salary Cap'!$A$143:$A$172,0)),"n/a"),IFERROR(INDEX('Salary Cap'!$B$109:$K$138,MATCH($A129,'Salary Cap'!$A$109:$A$138,0),MATCH(""&amp;($B129-1),'Salary Cap'!$B$108:$K$108,0)),"n/a"))</f>
        <v>0</v>
      </c>
      <c r="Q129" s="138">
        <f>IF(OR($B129=2021,$B129=2022),1,0)</f>
        <v>1</v>
      </c>
    </row>
    <row r="130" spans="1:17" x14ac:dyDescent="0.2">
      <c r="A130" s="113" t="str" cm="1">
        <f t="array" ref="A130">INDEX('NBA Valuations'!$A$5:$A$34,INT((ROW()-5)/10)+1)</f>
        <v>LA Clippers</v>
      </c>
      <c r="B130" s="105">
        <f t="shared" si="2"/>
        <v>2022</v>
      </c>
      <c r="C130" s="106">
        <f>IFERROR(INDEX('NBA Valuations'!$B$5:$K$34,MATCH($A130,'NBA Valuations'!$A$5:$A$34,0),MATCH(""&amp;$B130,'NBA Valuations'!$B$3:$K$3,0)),"n/a")</f>
        <v>3300</v>
      </c>
      <c r="D130" s="106">
        <f>IFERROR(INDEX(Revenue!$B$5:$K$34,MATCH($A130,Revenue!$A$5:$A$34,0),MATCH(""&amp;$B130,Revenue!$B$3:$K$3,0)),"n/a")</f>
        <v>219</v>
      </c>
      <c r="E130" s="106">
        <f>IFERROR(INDEX('Operating Income'!$B$5:$K$34,MATCH($A130,'Operating Income'!$A$5:$A$34,0),MATCH(""&amp;$B130,'Operating Income'!$B$3:$K$3,0)),"n/a")</f>
        <v>18</v>
      </c>
      <c r="F130" s="107">
        <f>IFERROR(INDEX('Market Size'!$L$5:$L$34,MATCH($A130,'Market Size'!$A$5:$A$34,0)),"n/a")</f>
        <v>13182677</v>
      </c>
      <c r="G130" s="108" t="str">
        <f>IFERROR(INDEX('Market Size'!$B$38:$K$67,MATCH($A130,'Market Size'!$A$38:$A$67,0),MATCH(""&amp;($B130-1),'Market Size'!$B$36:$K$36,0)),"n/a")</f>
        <v>n/a</v>
      </c>
      <c r="H130" s="108">
        <f>IFERROR(INDEX(Arena!$B$38:$K$67,MATCH($A130,Arena!$A$38:$A$67,0),MATCH(""&amp;$B130,Arena!$B$36:$K$36,0)),"n/a")</f>
        <v>1999</v>
      </c>
      <c r="I130" s="136" t="str">
        <f>IFERROR(INDEX(Arena!$B$71:$K$100,MATCH($A130,Arena!$A$71:$A$100,0),MATCH(""&amp;$B130,Arena!$B$69:$K$69,0)),"n/a")</f>
        <v>N</v>
      </c>
      <c r="J130" s="137">
        <f>IF(ISNUMBER($H130),($B130-1)-$H130,"n/a")</f>
        <v>22</v>
      </c>
      <c r="K130" s="108">
        <f>IF($B130=2017,IFERROR(INDEX('Team Performance'!$B$241:$B$270,MATCH($A130,'Team Performance'!$A$241:$A$270,0)),"n/a"),IFERROR(INDEX('Team Performance'!$B$6:$K$35,MATCH($A130,'Team Performance'!$A$6:$A$35,0),MATCH(($B130-2)&amp;"-"&amp;RIGHT($B130-1,2),'Team Performance'!$B$5:$K$5,0)),"n/a"))</f>
        <v>47</v>
      </c>
      <c r="L130" s="108">
        <f>IF($B130=2017,IFERROR(INDEX('Team Performance'!$C$241:$C$270,MATCH($A130,'Team Performance'!$A$241:$A$270,0)),"n/a"),IFERROR(INDEX('Team Performance'!$B$39:$K$68,MATCH($A130,'Team Performance'!$A$39:$A$68,0),MATCH(($B130-2)&amp;"-"&amp;RIGHT($B130-1,2),'Team Performance'!$B$38:$K$38,0)),"n/a"))</f>
        <v>25</v>
      </c>
      <c r="M130" s="109">
        <f t="shared" si="3"/>
        <v>0.65277777777777779</v>
      </c>
      <c r="N130" s="108">
        <f>IF($B130=2017,IFERROR(INDEX('Team Performance'!$E$241:$E$270,MATCH($A130,'Team Performance'!$A$241:$A$270,0)),"n/a"),IFERROR(INDEX('Team Performance'!$B$140:$K$169,MATCH($A130,'Team Performance'!$A$140:$A$169,0),MATCH(($B130-2)&amp;"-"&amp;RIGHT($B130-1,2),'Team Performance'!$B$139:$K$139,0)),"n/a"))</f>
        <v>3</v>
      </c>
      <c r="O130" s="110">
        <f>IF($B130=2017,IFERROR(INDEX('Salary Cap'!$B$143:$B$172,MATCH($A130,'Salary Cap'!$A$143:$A$172,0)),"n/a"),IFERROR(INDEX('Salary Cap'!$B$10:$K$39,MATCH($A130,'Salary Cap'!$A$10:$A$39,0),MATCH(""&amp;($B130-1),'Salary Cap'!$B$9:$K$9,0)),"n/a"))</f>
        <v>137454771</v>
      </c>
      <c r="P130" s="115">
        <f>IF($B130=2017,IFERROR(INDEX('Salary Cap'!$C$143:$C$172,MATCH($A130,'Salary Cap'!$A$143:$A$172,0)),"n/a"),IFERROR(INDEX('Salary Cap'!$B$109:$K$138,MATCH($A130,'Salary Cap'!$A$109:$A$138,0),MATCH(""&amp;($B130-1),'Salary Cap'!$B$108:$K$108,0)),"n/a"))</f>
        <v>5100000</v>
      </c>
      <c r="Q130" s="138">
        <f>IF(OR($B130=2021,$B130=2022),1,0)</f>
        <v>1</v>
      </c>
    </row>
    <row r="131" spans="1:17" x14ac:dyDescent="0.2">
      <c r="A131" s="113" t="str" cm="1">
        <f t="array" ref="A131">INDEX('NBA Valuations'!$A$5:$A$34,INT((ROW()-5)/10)+1)</f>
        <v>LA Clippers</v>
      </c>
      <c r="B131" s="105">
        <f t="shared" si="2"/>
        <v>2023</v>
      </c>
      <c r="C131" s="106">
        <f>IFERROR(INDEX('NBA Valuations'!$B$5:$K$34,MATCH($A131,'NBA Valuations'!$A$5:$A$34,0),MATCH(""&amp;$B131,'NBA Valuations'!$B$3:$K$3,0)),"n/a")</f>
        <v>3900</v>
      </c>
      <c r="D131" s="106">
        <f>IFERROR(INDEX(Revenue!$B$5:$K$34,MATCH($A131,Revenue!$A$5:$A$34,0),MATCH(""&amp;$B131,Revenue!$B$3:$K$3,0)),"n/a")</f>
        <v>362</v>
      </c>
      <c r="E131" s="106">
        <f>IFERROR(INDEX('Operating Income'!$B$5:$K$34,MATCH($A131,'Operating Income'!$A$5:$A$34,0),MATCH(""&amp;$B131,'Operating Income'!$B$3:$K$3,0)),"n/a")</f>
        <v>12</v>
      </c>
      <c r="F131" s="107">
        <f>IFERROR(INDEX('Market Size'!$L$5:$L$34,MATCH($A131,'Market Size'!$A$5:$A$34,0)),"n/a")</f>
        <v>13182677</v>
      </c>
      <c r="G131" s="108" t="str">
        <f>IFERROR(INDEX('Market Size'!$B$38:$K$67,MATCH($A131,'Market Size'!$A$38:$A$67,0),MATCH(""&amp;($B131-1),'Market Size'!$B$36:$K$36,0)),"n/a")</f>
        <v>n/a</v>
      </c>
      <c r="H131" s="108">
        <f>IFERROR(INDEX(Arena!$B$38:$K$67,MATCH($A131,Arena!$A$38:$A$67,0),MATCH(""&amp;$B131,Arena!$B$36:$K$36,0)),"n/a")</f>
        <v>1999</v>
      </c>
      <c r="I131" s="136" t="str">
        <f>IFERROR(INDEX(Arena!$B$71:$K$100,MATCH($A131,Arena!$A$71:$A$100,0),MATCH(""&amp;$B131,Arena!$B$69:$K$69,0)),"n/a")</f>
        <v>N</v>
      </c>
      <c r="J131" s="137">
        <f>IF(ISNUMBER($H131),($B131-1)-$H131,"n/a")</f>
        <v>23</v>
      </c>
      <c r="K131" s="108">
        <f>IF($B131=2017,IFERROR(INDEX('Team Performance'!$B$241:$B$270,MATCH($A131,'Team Performance'!$A$241:$A$270,0)),"n/a"),IFERROR(INDEX('Team Performance'!$B$6:$K$35,MATCH($A131,'Team Performance'!$A$6:$A$35,0),MATCH(($B131-2)&amp;"-"&amp;RIGHT($B131-1,2),'Team Performance'!$B$5:$K$5,0)),"n/a"))</f>
        <v>42</v>
      </c>
      <c r="L131" s="108">
        <f>IF($B131=2017,IFERROR(INDEX('Team Performance'!$C$241:$C$270,MATCH($A131,'Team Performance'!$A$241:$A$270,0)),"n/a"),IFERROR(INDEX('Team Performance'!$B$39:$K$68,MATCH($A131,'Team Performance'!$A$39:$A$68,0),MATCH(($B131-2)&amp;"-"&amp;RIGHT($B131-1,2),'Team Performance'!$B$38:$K$38,0)),"n/a"))</f>
        <v>40</v>
      </c>
      <c r="M131" s="109">
        <f t="shared" si="3"/>
        <v>0.51219512195121952</v>
      </c>
      <c r="N131" s="108">
        <f>IF($B131=2017,IFERROR(INDEX('Team Performance'!$E$241:$E$270,MATCH($A131,'Team Performance'!$A$241:$A$270,0)),"n/a"),IFERROR(INDEX('Team Performance'!$B$140:$K$169,MATCH($A131,'Team Performance'!$A$140:$A$169,0),MATCH(($B131-2)&amp;"-"&amp;RIGHT($B131-1,2),'Team Performance'!$B$139:$K$139,0)),"n/a"))</f>
        <v>0</v>
      </c>
      <c r="O131" s="110">
        <f>IF($B131=2017,IFERROR(INDEX('Salary Cap'!$B$143:$B$172,MATCH($A131,'Salary Cap'!$A$143:$A$172,0)),"n/a"),IFERROR(INDEX('Salary Cap'!$B$10:$K$39,MATCH($A131,'Salary Cap'!$A$10:$A$39,0),MATCH(""&amp;($B131-1),'Salary Cap'!$B$9:$K$9,0)),"n/a"))</f>
        <v>166162398</v>
      </c>
      <c r="P131" s="115">
        <f>IF($B131=2017,IFERROR(INDEX('Salary Cap'!$C$143:$C$172,MATCH($A131,'Salary Cap'!$A$143:$A$172,0)),"n/a"),IFERROR(INDEX('Salary Cap'!$B$109:$K$138,MATCH($A131,'Salary Cap'!$A$109:$A$138,0),MATCH(""&amp;($B131-1),'Salary Cap'!$B$108:$K$108,0)),"n/a"))</f>
        <v>83114692</v>
      </c>
      <c r="Q131" s="138">
        <f>IF(OR($B131=2021,$B131=2022),1,0)</f>
        <v>0</v>
      </c>
    </row>
    <row r="132" spans="1:17" x14ac:dyDescent="0.2">
      <c r="A132" s="113" t="str" cm="1">
        <f t="array" ref="A132">INDEX('NBA Valuations'!$A$5:$A$34,INT((ROW()-5)/10)+1)</f>
        <v>LA Clippers</v>
      </c>
      <c r="B132" s="105">
        <f t="shared" si="2"/>
        <v>2024</v>
      </c>
      <c r="C132" s="106">
        <f>IFERROR(INDEX('NBA Valuations'!$B$5:$K$34,MATCH($A132,'NBA Valuations'!$A$5:$A$34,0),MATCH(""&amp;$B132,'NBA Valuations'!$B$3:$K$3,0)),"n/a")</f>
        <v>4650</v>
      </c>
      <c r="D132" s="106">
        <f>IFERROR(INDEX(Revenue!$B$5:$K$34,MATCH($A132,Revenue!$A$5:$A$34,0),MATCH(""&amp;$B132,Revenue!$B$3:$K$3,0)),"n/a")</f>
        <v>425</v>
      </c>
      <c r="E132" s="106">
        <f>IFERROR(INDEX('Operating Income'!$B$5:$K$34,MATCH($A132,'Operating Income'!$A$5:$A$34,0),MATCH(""&amp;$B132,'Operating Income'!$B$3:$K$3,0)),"n/a")</f>
        <v>-12</v>
      </c>
      <c r="F132" s="107">
        <f>IFERROR(INDEX('Market Size'!$L$5:$L$34,MATCH($A132,'Market Size'!$A$5:$A$34,0)),"n/a")</f>
        <v>13182677</v>
      </c>
      <c r="G132" s="108" t="str">
        <f>IFERROR(INDEX('Market Size'!$B$38:$K$67,MATCH($A132,'Market Size'!$A$38:$A$67,0),MATCH(""&amp;($B132-1),'Market Size'!$B$36:$K$36,0)),"n/a")</f>
        <v>n/a</v>
      </c>
      <c r="H132" s="108">
        <f>IFERROR(INDEX(Arena!$B$38:$K$67,MATCH($A132,Arena!$A$38:$A$67,0),MATCH(""&amp;$B132,Arena!$B$36:$K$36,0)),"n/a")</f>
        <v>1999</v>
      </c>
      <c r="I132" s="136" t="str">
        <f>IFERROR(INDEX(Arena!$B$71:$K$100,MATCH($A132,Arena!$A$71:$A$100,0),MATCH(""&amp;$B132,Arena!$B$69:$K$69,0)),"n/a")</f>
        <v>N</v>
      </c>
      <c r="J132" s="137">
        <f>IF(ISNUMBER($H132),($B132-1)-$H132,"n/a")</f>
        <v>24</v>
      </c>
      <c r="K132" s="108">
        <f>IF($B132=2017,IFERROR(INDEX('Team Performance'!$B$241:$B$270,MATCH($A132,'Team Performance'!$A$241:$A$270,0)),"n/a"),IFERROR(INDEX('Team Performance'!$B$6:$K$35,MATCH($A132,'Team Performance'!$A$6:$A$35,0),MATCH(($B132-2)&amp;"-"&amp;RIGHT($B132-1,2),'Team Performance'!$B$5:$K$5,0)),"n/a"))</f>
        <v>44</v>
      </c>
      <c r="L132" s="108">
        <f>IF($B132=2017,IFERROR(INDEX('Team Performance'!$C$241:$C$270,MATCH($A132,'Team Performance'!$A$241:$A$270,0)),"n/a"),IFERROR(INDEX('Team Performance'!$B$39:$K$68,MATCH($A132,'Team Performance'!$A$39:$A$68,0),MATCH(($B132-2)&amp;"-"&amp;RIGHT($B132-1,2),'Team Performance'!$B$38:$K$38,0)),"n/a"))</f>
        <v>38</v>
      </c>
      <c r="M132" s="109">
        <f t="shared" si="3"/>
        <v>0.53658536585365857</v>
      </c>
      <c r="N132" s="108">
        <f>IF($B132=2017,IFERROR(INDEX('Team Performance'!$E$241:$E$270,MATCH($A132,'Team Performance'!$A$241:$A$270,0)),"n/a"),IFERROR(INDEX('Team Performance'!$B$140:$K$169,MATCH($A132,'Team Performance'!$A$140:$A$169,0),MATCH(($B132-2)&amp;"-"&amp;RIGHT($B132-1,2),'Team Performance'!$B$139:$K$139,0)),"n/a"))</f>
        <v>1</v>
      </c>
      <c r="O132" s="110">
        <f>IF($B132=2017,IFERROR(INDEX('Salary Cap'!$B$143:$B$172,MATCH($A132,'Salary Cap'!$A$143:$A$172,0)),"n/a"),IFERROR(INDEX('Salary Cap'!$B$10:$K$39,MATCH($A132,'Salary Cap'!$A$10:$A$39,0),MATCH(""&amp;($B132-1),'Salary Cap'!$B$9:$K$9,0)),"n/a"))</f>
        <v>191189228</v>
      </c>
      <c r="P132" s="115">
        <f>IF($B132=2017,IFERROR(INDEX('Salary Cap'!$C$143:$C$172,MATCH($A132,'Salary Cap'!$A$143:$A$172,0)),"n/a"),IFERROR(INDEX('Salary Cap'!$B$109:$K$138,MATCH($A132,'Salary Cap'!$A$109:$A$138,0),MATCH(""&amp;($B132-1),'Salary Cap'!$B$108:$K$108,0)),"n/a"))</f>
        <v>140302811</v>
      </c>
      <c r="Q132" s="138">
        <f>IF(OR($B132=2021,$B132=2022),1,0)</f>
        <v>0</v>
      </c>
    </row>
    <row r="133" spans="1:17" x14ac:dyDescent="0.2">
      <c r="A133" s="113" t="str" cm="1">
        <f t="array" ref="A133">INDEX('NBA Valuations'!$A$5:$A$34,INT((ROW()-5)/10)+1)</f>
        <v>LA Clippers</v>
      </c>
      <c r="B133" s="105">
        <f t="shared" si="2"/>
        <v>2025</v>
      </c>
      <c r="C133" s="106">
        <f>IFERROR(INDEX('NBA Valuations'!$B$5:$K$34,MATCH($A133,'NBA Valuations'!$A$5:$A$34,0),MATCH(""&amp;$B133,'NBA Valuations'!$B$3:$K$3,0)),"n/a")</f>
        <v>5500</v>
      </c>
      <c r="D133" s="106">
        <f>IFERROR(INDEX(Revenue!$B$5:$K$34,MATCH($A133,Revenue!$A$5:$A$34,0),MATCH(""&amp;$B133,Revenue!$B$3:$K$3,0)),"n/a")</f>
        <v>353</v>
      </c>
      <c r="E133" s="106">
        <f>IFERROR(INDEX('Operating Income'!$B$5:$K$34,MATCH($A133,'Operating Income'!$A$5:$A$34,0),MATCH(""&amp;$B133,'Operating Income'!$B$3:$K$3,0)),"n/a")</f>
        <v>-96</v>
      </c>
      <c r="F133" s="107">
        <f>IFERROR(INDEX('Market Size'!$L$5:$L$34,MATCH($A133,'Market Size'!$A$5:$A$34,0)),"n/a")</f>
        <v>13182677</v>
      </c>
      <c r="G133" s="108">
        <f>IFERROR(INDEX('Market Size'!$B$38:$K$67,MATCH($A133,'Market Size'!$A$38:$A$67,0),MATCH(""&amp;($B133-1),'Market Size'!$B$36:$K$36,0)),"n/a")</f>
        <v>2</v>
      </c>
      <c r="H133" s="108">
        <f>IFERROR(INDEX(Arena!$B$38:$K$67,MATCH($A133,Arena!$A$38:$A$67,0),MATCH(""&amp;$B133,Arena!$B$36:$K$36,0)),"n/a")</f>
        <v>1999</v>
      </c>
      <c r="I133" s="136" t="str">
        <f>IFERROR(INDEX(Arena!$B$71:$K$100,MATCH($A133,Arena!$A$71:$A$100,0),MATCH(""&amp;$B133,Arena!$B$69:$K$69,0)),"n/a")</f>
        <v>N</v>
      </c>
      <c r="J133" s="137">
        <f>IF(ISNUMBER($H133),($B133-1)-$H133,"n/a")</f>
        <v>25</v>
      </c>
      <c r="K133" s="108">
        <f>IF($B133=2017,IFERROR(INDEX('Team Performance'!$B$241:$B$270,MATCH($A133,'Team Performance'!$A$241:$A$270,0)),"n/a"),IFERROR(INDEX('Team Performance'!$B$6:$K$35,MATCH($A133,'Team Performance'!$A$6:$A$35,0),MATCH(($B133-2)&amp;"-"&amp;RIGHT($B133-1,2),'Team Performance'!$B$5:$K$5,0)),"n/a"))</f>
        <v>51</v>
      </c>
      <c r="L133" s="108">
        <f>IF($B133=2017,IFERROR(INDEX('Team Performance'!$C$241:$C$270,MATCH($A133,'Team Performance'!$A$241:$A$270,0)),"n/a"),IFERROR(INDEX('Team Performance'!$B$39:$K$68,MATCH($A133,'Team Performance'!$A$39:$A$68,0),MATCH(($B133-2)&amp;"-"&amp;RIGHT($B133-1,2),'Team Performance'!$B$38:$K$38,0)),"n/a"))</f>
        <v>31</v>
      </c>
      <c r="M133" s="109">
        <f t="shared" si="3"/>
        <v>0.62195121951219512</v>
      </c>
      <c r="N133" s="108">
        <f>IF($B133=2017,IFERROR(INDEX('Team Performance'!$E$241:$E$270,MATCH($A133,'Team Performance'!$A$241:$A$270,0)),"n/a"),IFERROR(INDEX('Team Performance'!$B$140:$K$169,MATCH($A133,'Team Performance'!$A$140:$A$169,0),MATCH(($B133-2)&amp;"-"&amp;RIGHT($B133-1,2),'Team Performance'!$B$139:$K$139,0)),"n/a"))</f>
        <v>1</v>
      </c>
      <c r="O133" s="110">
        <f>IF($B133=2017,IFERROR(INDEX('Salary Cap'!$B$143:$B$172,MATCH($A133,'Salary Cap'!$A$143:$A$172,0)),"n/a"),IFERROR(INDEX('Salary Cap'!$B$10:$K$39,MATCH($A133,'Salary Cap'!$A$10:$A$39,0),MATCH(""&amp;($B133-1),'Salary Cap'!$B$9:$K$9,0)),"n/a"))</f>
        <v>200060815</v>
      </c>
      <c r="P133" s="115">
        <f>IF($B133=2017,IFERROR(INDEX('Salary Cap'!$C$143:$C$172,MATCH($A133,'Salary Cap'!$A$143:$A$172,0)),"n/a"),IFERROR(INDEX('Salary Cap'!$B$109:$K$138,MATCH($A133,'Salary Cap'!$A$109:$A$138,0),MATCH(""&amp;($B133-1),'Salary Cap'!$B$108:$K$108,0)),"n/a"))</f>
        <v>142409186</v>
      </c>
      <c r="Q133" s="138">
        <f>IF(OR($B133=2021,$B133=2022),1,0)</f>
        <v>0</v>
      </c>
    </row>
    <row r="134" spans="1:17" x14ac:dyDescent="0.2">
      <c r="A134" s="113" t="str" cm="1">
        <f t="array" ref="A134">INDEX('NBA Valuations'!$A$5:$A$34,INT((ROW()-5)/10)+1)</f>
        <v>LA Clippers</v>
      </c>
      <c r="B134" s="105">
        <f t="shared" ref="B134:B197" si="4">2017+MOD(ROW()-5,10)</f>
        <v>2026</v>
      </c>
      <c r="C134" s="106">
        <f>IFERROR(INDEX('NBA Valuations'!$B$5:$K$34,MATCH($A134,'NBA Valuations'!$A$5:$A$34,0),MATCH(""&amp;$B134,'NBA Valuations'!$B$3:$K$3,0)),"n/a")</f>
        <v>7500</v>
      </c>
      <c r="D134" s="106">
        <f>IFERROR(INDEX(Revenue!$B$5:$K$34,MATCH($A134,Revenue!$A$5:$A$34,0),MATCH(""&amp;$B134,Revenue!$B$3:$K$3,0)),"n/a")</f>
        <v>569</v>
      </c>
      <c r="E134" s="106">
        <f>IFERROR(INDEX('Operating Income'!$B$5:$K$34,MATCH($A134,'Operating Income'!$A$5:$A$34,0),MATCH(""&amp;$B134,'Operating Income'!$B$3:$K$3,0)),"n/a")</f>
        <v>154</v>
      </c>
      <c r="F134" s="107">
        <f>IFERROR(INDEX('Market Size'!$L$5:$L$34,MATCH($A134,'Market Size'!$A$5:$A$34,0)),"n/a")</f>
        <v>13182677</v>
      </c>
      <c r="G134" s="108">
        <f>IFERROR(INDEX('Market Size'!$B$38:$K$67,MATCH($A134,'Market Size'!$A$38:$A$67,0),MATCH(""&amp;($B134-1),'Market Size'!$B$36:$K$36,0)),"n/a")</f>
        <v>2</v>
      </c>
      <c r="H134" s="108">
        <f>IFERROR(INDEX(Arena!$B$38:$K$67,MATCH($A134,Arena!$A$38:$A$67,0),MATCH(""&amp;$B134,Arena!$B$36:$K$36,0)),"n/a")</f>
        <v>2024</v>
      </c>
      <c r="I134" s="136" t="str">
        <f>IFERROR(INDEX(Arena!$B$71:$K$100,MATCH($A134,Arena!$A$71:$A$100,0),MATCH(""&amp;$B134,Arena!$B$69:$K$69,0)),"n/a")</f>
        <v>Y</v>
      </c>
      <c r="J134" s="137">
        <f>IF(ISNUMBER($H134),($B134-1)-$H134,"n/a")</f>
        <v>1</v>
      </c>
      <c r="K134" s="108">
        <f>IF($B134=2017,IFERROR(INDEX('Team Performance'!$B$241:$B$270,MATCH($A134,'Team Performance'!$A$241:$A$270,0)),"n/a"),IFERROR(INDEX('Team Performance'!$B$6:$K$35,MATCH($A134,'Team Performance'!$A$6:$A$35,0),MATCH(($B134-2)&amp;"-"&amp;RIGHT($B134-1,2),'Team Performance'!$B$5:$K$5,0)),"n/a"))</f>
        <v>50</v>
      </c>
      <c r="L134" s="108">
        <f>IF($B134=2017,IFERROR(INDEX('Team Performance'!$C$241:$C$270,MATCH($A134,'Team Performance'!$A$241:$A$270,0)),"n/a"),IFERROR(INDEX('Team Performance'!$B$39:$K$68,MATCH($A134,'Team Performance'!$A$39:$A$68,0),MATCH(($B134-2)&amp;"-"&amp;RIGHT($B134-1,2),'Team Performance'!$B$38:$K$38,0)),"n/a"))</f>
        <v>32</v>
      </c>
      <c r="M134" s="109">
        <f t="shared" ref="M134:M197" si="5">IF(AND(ISNUMBER($K134),ISNUMBER($L134)),$K134/($K134+$L134),"n/a")</f>
        <v>0.6097560975609756</v>
      </c>
      <c r="N134" s="108">
        <f>IF($B134=2017,IFERROR(INDEX('Team Performance'!$E$241:$E$270,MATCH($A134,'Team Performance'!$A$241:$A$270,0)),"n/a"),IFERROR(INDEX('Team Performance'!$B$140:$K$169,MATCH($A134,'Team Performance'!$A$140:$A$169,0),MATCH(($B134-2)&amp;"-"&amp;RIGHT($B134-1,2),'Team Performance'!$B$139:$K$139,0)),"n/a"))</f>
        <v>1</v>
      </c>
      <c r="O134" s="110">
        <f>IF($B134=2017,IFERROR(INDEX('Salary Cap'!$B$143:$B$172,MATCH($A134,'Salary Cap'!$A$143:$A$172,0)),"n/a"),IFERROR(INDEX('Salary Cap'!$B$10:$K$39,MATCH($A134,'Salary Cap'!$A$10:$A$39,0),MATCH(""&amp;($B134-1),'Salary Cap'!$B$9:$K$9,0)),"n/a"))</f>
        <v>170720454</v>
      </c>
      <c r="P134" s="115">
        <f>IF($B134=2017,IFERROR(INDEX('Salary Cap'!$C$143:$C$172,MATCH($A134,'Salary Cap'!$A$143:$A$172,0)),"n/a"),IFERROR(INDEX('Salary Cap'!$B$109:$K$138,MATCH($A134,'Salary Cap'!$A$109:$A$138,0),MATCH(""&amp;($B134-1),'Salary Cap'!$B$108:$K$108,0)),"n/a"))</f>
        <v>0</v>
      </c>
      <c r="Q134" s="138">
        <f>IF(OR($B134=2021,$B134=2022),1,0)</f>
        <v>0</v>
      </c>
    </row>
    <row r="135" spans="1:17" x14ac:dyDescent="0.2">
      <c r="A135" s="113" t="str" cm="1">
        <f t="array" ref="A135">INDEX('NBA Valuations'!$A$5:$A$34,INT((ROW()-5)/10)+1)</f>
        <v>Los Angeles Lakers</v>
      </c>
      <c r="B135" s="105">
        <f t="shared" si="4"/>
        <v>2017</v>
      </c>
      <c r="C135" s="106">
        <f>IFERROR(INDEX('NBA Valuations'!$B$5:$K$34,MATCH($A135,'NBA Valuations'!$A$5:$A$34,0),MATCH(""&amp;$B135,'NBA Valuations'!$B$3:$K$3,0)),"n/a")</f>
        <v>3000</v>
      </c>
      <c r="D135" s="106">
        <f>IFERROR(INDEX(Revenue!$B$5:$K$34,MATCH($A135,Revenue!$A$5:$A$34,0),MATCH(""&amp;$B135,Revenue!$B$3:$K$3,0)),"n/a")</f>
        <v>333</v>
      </c>
      <c r="E135" s="106">
        <f>IFERROR(INDEX('Operating Income'!$B$5:$K$34,MATCH($A135,'Operating Income'!$A$5:$A$34,0),MATCH(""&amp;$B135,'Operating Income'!$B$3:$K$3,0)),"n/a")</f>
        <v>119.2</v>
      </c>
      <c r="F135" s="107">
        <f>IFERROR(INDEX('Market Size'!$L$5:$L$34,MATCH($A135,'Market Size'!$A$5:$A$34,0)),"n/a")</f>
        <v>13182677</v>
      </c>
      <c r="G135" s="108" t="str">
        <f>IFERROR(INDEX('Market Size'!$B$38:$K$67,MATCH($A135,'Market Size'!$A$38:$A$67,0),MATCH(""&amp;($B135-1),'Market Size'!$B$36:$K$36,0)),"n/a")</f>
        <v>n/a</v>
      </c>
      <c r="H135" s="108">
        <f>IFERROR(INDEX(Arena!$B$38:$K$67,MATCH($A135,Arena!$A$38:$A$67,0),MATCH(""&amp;$B135,Arena!$B$36:$K$36,0)),"n/a")</f>
        <v>1999</v>
      </c>
      <c r="I135" s="136" t="str">
        <f>IFERROR(INDEX(Arena!$B$71:$K$100,MATCH($A135,Arena!$A$71:$A$100,0),MATCH(""&amp;$B135,Arena!$B$69:$K$69,0)),"n/a")</f>
        <v>N</v>
      </c>
      <c r="J135" s="137">
        <f>IF(ISNUMBER($H135),($B135-1)-$H135,"n/a")</f>
        <v>17</v>
      </c>
      <c r="K135" s="108">
        <f>IF($B135=2017,IFERROR(INDEX('Team Performance'!$B$241:$B$270,MATCH($A135,'Team Performance'!$A$241:$A$270,0)),"n/a"),IFERROR(INDEX('Team Performance'!$B$6:$K$35,MATCH($A135,'Team Performance'!$A$6:$A$35,0),MATCH(($B135-2)&amp;"-"&amp;RIGHT($B135-1,2),'Team Performance'!$B$5:$K$5,0)),"n/a"))</f>
        <v>17</v>
      </c>
      <c r="L135" s="108">
        <f>IF($B135=2017,IFERROR(INDEX('Team Performance'!$C$241:$C$270,MATCH($A135,'Team Performance'!$A$241:$A$270,0)),"n/a"),IFERROR(INDEX('Team Performance'!$B$39:$K$68,MATCH($A135,'Team Performance'!$A$39:$A$68,0),MATCH(($B135-2)&amp;"-"&amp;RIGHT($B135-1,2),'Team Performance'!$B$38:$K$38,0)),"n/a"))</f>
        <v>65</v>
      </c>
      <c r="M135" s="109">
        <f t="shared" si="5"/>
        <v>0.2073170731707317</v>
      </c>
      <c r="N135" s="108">
        <f>IF($B135=2017,IFERROR(INDEX('Team Performance'!$E$241:$E$270,MATCH($A135,'Team Performance'!$A$241:$A$270,0)),"n/a"),IFERROR(INDEX('Team Performance'!$B$140:$K$169,MATCH($A135,'Team Performance'!$A$140:$A$169,0),MATCH(($B135-2)&amp;"-"&amp;RIGHT($B135-1,2),'Team Performance'!$B$139:$K$139,0)),"n/a"))</f>
        <v>0</v>
      </c>
      <c r="O135" s="110">
        <f>IF($B135=2017,IFERROR(INDEX('Salary Cap'!$B$143:$B$172,MATCH($A135,'Salary Cap'!$A$143:$A$172,0)),"n/a"),IFERROR(INDEX('Salary Cap'!$B$10:$K$39,MATCH($A135,'Salary Cap'!$A$10:$A$39,0),MATCH(""&amp;($B135-1),'Salary Cap'!$B$9:$K$9,0)),"n/a"))</f>
        <v>71965372</v>
      </c>
      <c r="P135" s="115">
        <f>IF($B135=2017,IFERROR(INDEX('Salary Cap'!$C$143:$C$172,MATCH($A135,'Salary Cap'!$A$143:$A$172,0)),"n/a"),IFERROR(INDEX('Salary Cap'!$B$109:$K$138,MATCH($A135,'Salary Cap'!$A$109:$A$138,0),MATCH(""&amp;($B135-1),'Salary Cap'!$B$108:$K$108,0)),"n/a"))</f>
        <v>0</v>
      </c>
      <c r="Q135" s="138">
        <f>IF(OR($B135=2021,$B135=2022),1,0)</f>
        <v>0</v>
      </c>
    </row>
    <row r="136" spans="1:17" x14ac:dyDescent="0.2">
      <c r="A136" s="113" t="str" cm="1">
        <f t="array" ref="A136">INDEX('NBA Valuations'!$A$5:$A$34,INT((ROW()-5)/10)+1)</f>
        <v>Los Angeles Lakers</v>
      </c>
      <c r="B136" s="105">
        <f t="shared" si="4"/>
        <v>2018</v>
      </c>
      <c r="C136" s="106">
        <f>IFERROR(INDEX('NBA Valuations'!$B$5:$K$34,MATCH($A136,'NBA Valuations'!$A$5:$A$34,0),MATCH(""&amp;$B136,'NBA Valuations'!$B$3:$K$3,0)),"n/a")</f>
        <v>3300</v>
      </c>
      <c r="D136" s="106">
        <f>IFERROR(INDEX(Revenue!$B$5:$K$34,MATCH($A136,Revenue!$A$5:$A$34,0),MATCH(""&amp;$B136,Revenue!$B$3:$K$3,0)),"n/a")</f>
        <v>371</v>
      </c>
      <c r="E136" s="106">
        <f>IFERROR(INDEX('Operating Income'!$B$5:$K$34,MATCH($A136,'Operating Income'!$A$5:$A$34,0),MATCH(""&amp;$B136,'Operating Income'!$B$3:$K$3,0)),"n/a")</f>
        <v>136</v>
      </c>
      <c r="F136" s="107">
        <f>IFERROR(INDEX('Market Size'!$L$5:$L$34,MATCH($A136,'Market Size'!$A$5:$A$34,0)),"n/a")</f>
        <v>13182677</v>
      </c>
      <c r="G136" s="108" t="str">
        <f>IFERROR(INDEX('Market Size'!$B$38:$K$67,MATCH($A136,'Market Size'!$A$38:$A$67,0),MATCH(""&amp;($B136-1),'Market Size'!$B$36:$K$36,0)),"n/a")</f>
        <v>n/a</v>
      </c>
      <c r="H136" s="108">
        <f>IFERROR(INDEX(Arena!$B$38:$K$67,MATCH($A136,Arena!$A$38:$A$67,0),MATCH(""&amp;$B136,Arena!$B$36:$K$36,0)),"n/a")</f>
        <v>1999</v>
      </c>
      <c r="I136" s="136" t="str">
        <f>IFERROR(INDEX(Arena!$B$71:$K$100,MATCH($A136,Arena!$A$71:$A$100,0),MATCH(""&amp;$B136,Arena!$B$69:$K$69,0)),"n/a")</f>
        <v>N</v>
      </c>
      <c r="J136" s="137">
        <f>IF(ISNUMBER($H136),($B136-1)-$H136,"n/a")</f>
        <v>18</v>
      </c>
      <c r="K136" s="108">
        <f>IF($B136=2017,IFERROR(INDEX('Team Performance'!$B$241:$B$270,MATCH($A136,'Team Performance'!$A$241:$A$270,0)),"n/a"),IFERROR(INDEX('Team Performance'!$B$6:$K$35,MATCH($A136,'Team Performance'!$A$6:$A$35,0),MATCH(($B136-2)&amp;"-"&amp;RIGHT($B136-1,2),'Team Performance'!$B$5:$K$5,0)),"n/a"))</f>
        <v>26</v>
      </c>
      <c r="L136" s="108">
        <f>IF($B136=2017,IFERROR(INDEX('Team Performance'!$C$241:$C$270,MATCH($A136,'Team Performance'!$A$241:$A$270,0)),"n/a"),IFERROR(INDEX('Team Performance'!$B$39:$K$68,MATCH($A136,'Team Performance'!$A$39:$A$68,0),MATCH(($B136-2)&amp;"-"&amp;RIGHT($B136-1,2),'Team Performance'!$B$38:$K$38,0)),"n/a"))</f>
        <v>56</v>
      </c>
      <c r="M136" s="109">
        <f t="shared" si="5"/>
        <v>0.31707317073170732</v>
      </c>
      <c r="N136" s="108">
        <f>IF($B136=2017,IFERROR(INDEX('Team Performance'!$E$241:$E$270,MATCH($A136,'Team Performance'!$A$241:$A$270,0)),"n/a"),IFERROR(INDEX('Team Performance'!$B$140:$K$169,MATCH($A136,'Team Performance'!$A$140:$A$169,0),MATCH(($B136-2)&amp;"-"&amp;RIGHT($B136-1,2),'Team Performance'!$B$139:$K$139,0)),"n/a"))</f>
        <v>0</v>
      </c>
      <c r="O136" s="110">
        <f>IF($B136=2017,IFERROR(INDEX('Salary Cap'!$B$143:$B$172,MATCH($A136,'Salary Cap'!$A$143:$A$172,0)),"n/a"),IFERROR(INDEX('Salary Cap'!$B$10:$K$39,MATCH($A136,'Salary Cap'!$A$10:$A$39,0),MATCH(""&amp;($B136-1),'Salary Cap'!$B$9:$K$9,0)),"n/a"))</f>
        <v>94204120</v>
      </c>
      <c r="P136" s="115">
        <f>IF($B136=2017,IFERROR(INDEX('Salary Cap'!$C$143:$C$172,MATCH($A136,'Salary Cap'!$A$143:$A$172,0)),"n/a"),IFERROR(INDEX('Salary Cap'!$B$109:$K$138,MATCH($A136,'Salary Cap'!$A$109:$A$138,0),MATCH(""&amp;($B136-1),'Salary Cap'!$B$108:$K$108,0)),"n/a"))</f>
        <v>0</v>
      </c>
      <c r="Q136" s="138">
        <f>IF(OR($B136=2021,$B136=2022),1,0)</f>
        <v>0</v>
      </c>
    </row>
    <row r="137" spans="1:17" x14ac:dyDescent="0.2">
      <c r="A137" s="113" t="str" cm="1">
        <f t="array" ref="A137">INDEX('NBA Valuations'!$A$5:$A$34,INT((ROW()-5)/10)+1)</f>
        <v>Los Angeles Lakers</v>
      </c>
      <c r="B137" s="105">
        <f t="shared" si="4"/>
        <v>2019</v>
      </c>
      <c r="C137" s="106">
        <f>IFERROR(INDEX('NBA Valuations'!$B$5:$K$34,MATCH($A137,'NBA Valuations'!$A$5:$A$34,0),MATCH(""&amp;$B137,'NBA Valuations'!$B$3:$K$3,0)),"n/a")</f>
        <v>3700</v>
      </c>
      <c r="D137" s="106">
        <f>IFERROR(INDEX(Revenue!$B$5:$K$34,MATCH($A137,Revenue!$A$5:$A$34,0),MATCH(""&amp;$B137,Revenue!$B$3:$K$3,0)),"n/a")</f>
        <v>395</v>
      </c>
      <c r="E137" s="106">
        <f>IFERROR(INDEX('Operating Income'!$B$5:$K$34,MATCH($A137,'Operating Income'!$A$5:$A$34,0),MATCH(""&amp;$B137,'Operating Income'!$B$3:$K$3,0)),"n/a")</f>
        <v>147</v>
      </c>
      <c r="F137" s="107">
        <f>IFERROR(INDEX('Market Size'!$L$5:$L$34,MATCH($A137,'Market Size'!$A$5:$A$34,0)),"n/a")</f>
        <v>13182677</v>
      </c>
      <c r="G137" s="108" t="str">
        <f>IFERROR(INDEX('Market Size'!$B$38:$K$67,MATCH($A137,'Market Size'!$A$38:$A$67,0),MATCH(""&amp;($B137-1),'Market Size'!$B$36:$K$36,0)),"n/a")</f>
        <v>n/a</v>
      </c>
      <c r="H137" s="108">
        <f>IFERROR(INDEX(Arena!$B$38:$K$67,MATCH($A137,Arena!$A$38:$A$67,0),MATCH(""&amp;$B137,Arena!$B$36:$K$36,0)),"n/a")</f>
        <v>1999</v>
      </c>
      <c r="I137" s="136" t="str">
        <f>IFERROR(INDEX(Arena!$B$71:$K$100,MATCH($A137,Arena!$A$71:$A$100,0),MATCH(""&amp;$B137,Arena!$B$69:$K$69,0)),"n/a")</f>
        <v>N</v>
      </c>
      <c r="J137" s="137">
        <f>IF(ISNUMBER($H137),($B137-1)-$H137,"n/a")</f>
        <v>19</v>
      </c>
      <c r="K137" s="108">
        <f>IF($B137=2017,IFERROR(INDEX('Team Performance'!$B$241:$B$270,MATCH($A137,'Team Performance'!$A$241:$A$270,0)),"n/a"),IFERROR(INDEX('Team Performance'!$B$6:$K$35,MATCH($A137,'Team Performance'!$A$6:$A$35,0),MATCH(($B137-2)&amp;"-"&amp;RIGHT($B137-1,2),'Team Performance'!$B$5:$K$5,0)),"n/a"))</f>
        <v>35</v>
      </c>
      <c r="L137" s="108">
        <f>IF($B137=2017,IFERROR(INDEX('Team Performance'!$C$241:$C$270,MATCH($A137,'Team Performance'!$A$241:$A$270,0)),"n/a"),IFERROR(INDEX('Team Performance'!$B$39:$K$68,MATCH($A137,'Team Performance'!$A$39:$A$68,0),MATCH(($B137-2)&amp;"-"&amp;RIGHT($B137-1,2),'Team Performance'!$B$38:$K$38,0)),"n/a"))</f>
        <v>47</v>
      </c>
      <c r="M137" s="109">
        <f t="shared" si="5"/>
        <v>0.42682926829268292</v>
      </c>
      <c r="N137" s="108">
        <f>IF($B137=2017,IFERROR(INDEX('Team Performance'!$E$241:$E$270,MATCH($A137,'Team Performance'!$A$241:$A$270,0)),"n/a"),IFERROR(INDEX('Team Performance'!$B$140:$K$169,MATCH($A137,'Team Performance'!$A$140:$A$169,0),MATCH(($B137-2)&amp;"-"&amp;RIGHT($B137-1,2),'Team Performance'!$B$139:$K$139,0)),"n/a"))</f>
        <v>0</v>
      </c>
      <c r="O137" s="110">
        <f>IF($B137=2017,IFERROR(INDEX('Salary Cap'!$B$143:$B$172,MATCH($A137,'Salary Cap'!$A$143:$A$172,0)),"n/a"),IFERROR(INDEX('Salary Cap'!$B$10:$K$39,MATCH($A137,'Salary Cap'!$A$10:$A$39,0),MATCH(""&amp;($B137-1),'Salary Cap'!$B$9:$K$9,0)),"n/a"))</f>
        <v>102177393</v>
      </c>
      <c r="P137" s="115">
        <f>IF($B137=2017,IFERROR(INDEX('Salary Cap'!$C$143:$C$172,MATCH($A137,'Salary Cap'!$A$143:$A$172,0)),"n/a"),IFERROR(INDEX('Salary Cap'!$B$109:$K$138,MATCH($A137,'Salary Cap'!$A$109:$A$138,0),MATCH(""&amp;($B137-1),'Salary Cap'!$B$108:$K$108,0)),"n/a"))</f>
        <v>0</v>
      </c>
      <c r="Q137" s="138">
        <f>IF(OR($B137=2021,$B137=2022),1,0)</f>
        <v>0</v>
      </c>
    </row>
    <row r="138" spans="1:17" x14ac:dyDescent="0.2">
      <c r="A138" s="113" t="str" cm="1">
        <f t="array" ref="A138">INDEX('NBA Valuations'!$A$5:$A$34,INT((ROW()-5)/10)+1)</f>
        <v>Los Angeles Lakers</v>
      </c>
      <c r="B138" s="105">
        <f t="shared" si="4"/>
        <v>2020</v>
      </c>
      <c r="C138" s="106">
        <f>IFERROR(INDEX('NBA Valuations'!$B$5:$K$34,MATCH($A138,'NBA Valuations'!$A$5:$A$34,0),MATCH(""&amp;$B138,'NBA Valuations'!$B$3:$K$3,0)),"n/a")</f>
        <v>4400</v>
      </c>
      <c r="D138" s="106">
        <f>IFERROR(INDEX(Revenue!$B$5:$K$34,MATCH($A138,Revenue!$A$5:$A$34,0),MATCH(""&amp;$B138,Revenue!$B$3:$K$3,0)),"n/a")</f>
        <v>434</v>
      </c>
      <c r="E138" s="106">
        <f>IFERROR(INDEX('Operating Income'!$B$5:$K$34,MATCH($A138,'Operating Income'!$A$5:$A$34,0),MATCH(""&amp;$B138,'Operating Income'!$B$3:$K$3,0)),"n/a")</f>
        <v>178</v>
      </c>
      <c r="F138" s="107">
        <f>IFERROR(INDEX('Market Size'!$L$5:$L$34,MATCH($A138,'Market Size'!$A$5:$A$34,0)),"n/a")</f>
        <v>13182677</v>
      </c>
      <c r="G138" s="108" t="str">
        <f>IFERROR(INDEX('Market Size'!$B$38:$K$67,MATCH($A138,'Market Size'!$A$38:$A$67,0),MATCH(""&amp;($B138-1),'Market Size'!$B$36:$K$36,0)),"n/a")</f>
        <v>n/a</v>
      </c>
      <c r="H138" s="108">
        <f>IFERROR(INDEX(Arena!$B$38:$K$67,MATCH($A138,Arena!$A$38:$A$67,0),MATCH(""&amp;$B138,Arena!$B$36:$K$36,0)),"n/a")</f>
        <v>1999</v>
      </c>
      <c r="I138" s="136" t="str">
        <f>IFERROR(INDEX(Arena!$B$71:$K$100,MATCH($A138,Arena!$A$71:$A$100,0),MATCH(""&amp;$B138,Arena!$B$69:$K$69,0)),"n/a")</f>
        <v>N</v>
      </c>
      <c r="J138" s="137">
        <f>IF(ISNUMBER($H138),($B138-1)-$H138,"n/a")</f>
        <v>20</v>
      </c>
      <c r="K138" s="108">
        <f>IF($B138=2017,IFERROR(INDEX('Team Performance'!$B$241:$B$270,MATCH($A138,'Team Performance'!$A$241:$A$270,0)),"n/a"),IFERROR(INDEX('Team Performance'!$B$6:$K$35,MATCH($A138,'Team Performance'!$A$6:$A$35,0),MATCH(($B138-2)&amp;"-"&amp;RIGHT($B138-1,2),'Team Performance'!$B$5:$K$5,0)),"n/a"))</f>
        <v>37</v>
      </c>
      <c r="L138" s="108">
        <f>IF($B138=2017,IFERROR(INDEX('Team Performance'!$C$241:$C$270,MATCH($A138,'Team Performance'!$A$241:$A$270,0)),"n/a"),IFERROR(INDEX('Team Performance'!$B$39:$K$68,MATCH($A138,'Team Performance'!$A$39:$A$68,0),MATCH(($B138-2)&amp;"-"&amp;RIGHT($B138-1,2),'Team Performance'!$B$38:$K$38,0)),"n/a"))</f>
        <v>45</v>
      </c>
      <c r="M138" s="109">
        <f t="shared" si="5"/>
        <v>0.45121951219512196</v>
      </c>
      <c r="N138" s="108">
        <f>IF($B138=2017,IFERROR(INDEX('Team Performance'!$E$241:$E$270,MATCH($A138,'Team Performance'!$A$241:$A$270,0)),"n/a"),IFERROR(INDEX('Team Performance'!$B$140:$K$169,MATCH($A138,'Team Performance'!$A$140:$A$169,0),MATCH(($B138-2)&amp;"-"&amp;RIGHT($B138-1,2),'Team Performance'!$B$139:$K$139,0)),"n/a"))</f>
        <v>0</v>
      </c>
      <c r="O138" s="110">
        <f>IF($B138=2017,IFERROR(INDEX('Salary Cap'!$B$143:$B$172,MATCH($A138,'Salary Cap'!$A$143:$A$172,0)),"n/a"),IFERROR(INDEX('Salary Cap'!$B$10:$K$39,MATCH($A138,'Salary Cap'!$A$10:$A$39,0),MATCH(""&amp;($B138-1),'Salary Cap'!$B$9:$K$9,0)),"n/a"))</f>
        <v>105179629</v>
      </c>
      <c r="P138" s="115">
        <f>IF($B138=2017,IFERROR(INDEX('Salary Cap'!$C$143:$C$172,MATCH($A138,'Salary Cap'!$A$143:$A$172,0)),"n/a"),IFERROR(INDEX('Salary Cap'!$B$109:$K$138,MATCH($A138,'Salary Cap'!$A$109:$A$138,0),MATCH(""&amp;($B138-1),'Salary Cap'!$B$108:$K$108,0)),"n/a"))</f>
        <v>0</v>
      </c>
      <c r="Q138" s="138">
        <f>IF(OR($B138=2021,$B138=2022),1,0)</f>
        <v>0</v>
      </c>
    </row>
    <row r="139" spans="1:17" x14ac:dyDescent="0.2">
      <c r="A139" s="113" t="str" cm="1">
        <f t="array" ref="A139">INDEX('NBA Valuations'!$A$5:$A$34,INT((ROW()-5)/10)+1)</f>
        <v>Los Angeles Lakers</v>
      </c>
      <c r="B139" s="105">
        <f t="shared" si="4"/>
        <v>2021</v>
      </c>
      <c r="C139" s="106">
        <f>IFERROR(INDEX('NBA Valuations'!$B$5:$K$34,MATCH($A139,'NBA Valuations'!$A$5:$A$34,0),MATCH(""&amp;$B139,'NBA Valuations'!$B$3:$K$3,0)),"n/a")</f>
        <v>4600</v>
      </c>
      <c r="D139" s="106">
        <f>IFERROR(INDEX(Revenue!$B$5:$K$34,MATCH($A139,Revenue!$A$5:$A$34,0),MATCH(""&amp;$B139,Revenue!$B$3:$K$3,0)),"n/a")</f>
        <v>400</v>
      </c>
      <c r="E139" s="106">
        <f>IFERROR(INDEX('Operating Income'!$B$5:$K$34,MATCH($A139,'Operating Income'!$A$5:$A$34,0),MATCH(""&amp;$B139,'Operating Income'!$B$3:$K$3,0)),"n/a")</f>
        <v>155</v>
      </c>
      <c r="F139" s="107">
        <f>IFERROR(INDEX('Market Size'!$L$5:$L$34,MATCH($A139,'Market Size'!$A$5:$A$34,0)),"n/a")</f>
        <v>13182677</v>
      </c>
      <c r="G139" s="108" t="str">
        <f>IFERROR(INDEX('Market Size'!$B$38:$K$67,MATCH($A139,'Market Size'!$A$38:$A$67,0),MATCH(""&amp;($B139-1),'Market Size'!$B$36:$K$36,0)),"n/a")</f>
        <v>n/a</v>
      </c>
      <c r="H139" s="108">
        <f>IFERROR(INDEX(Arena!$B$38:$K$67,MATCH($A139,Arena!$A$38:$A$67,0),MATCH(""&amp;$B139,Arena!$B$36:$K$36,0)),"n/a")</f>
        <v>1999</v>
      </c>
      <c r="I139" s="136" t="str">
        <f>IFERROR(INDEX(Arena!$B$71:$K$100,MATCH($A139,Arena!$A$71:$A$100,0),MATCH(""&amp;$B139,Arena!$B$69:$K$69,0)),"n/a")</f>
        <v>N</v>
      </c>
      <c r="J139" s="137">
        <f>IF(ISNUMBER($H139),($B139-1)-$H139,"n/a")</f>
        <v>21</v>
      </c>
      <c r="K139" s="108">
        <f>IF($B139=2017,IFERROR(INDEX('Team Performance'!$B$241:$B$270,MATCH($A139,'Team Performance'!$A$241:$A$270,0)),"n/a"),IFERROR(INDEX('Team Performance'!$B$6:$K$35,MATCH($A139,'Team Performance'!$A$6:$A$35,0),MATCH(($B139-2)&amp;"-"&amp;RIGHT($B139-1,2),'Team Performance'!$B$5:$K$5,0)),"n/a"))</f>
        <v>52</v>
      </c>
      <c r="L139" s="108">
        <f>IF($B139=2017,IFERROR(INDEX('Team Performance'!$C$241:$C$270,MATCH($A139,'Team Performance'!$A$241:$A$270,0)),"n/a"),IFERROR(INDEX('Team Performance'!$B$39:$K$68,MATCH($A139,'Team Performance'!$A$39:$A$68,0),MATCH(($B139-2)&amp;"-"&amp;RIGHT($B139-1,2),'Team Performance'!$B$38:$K$38,0)),"n/a"))</f>
        <v>19</v>
      </c>
      <c r="M139" s="109">
        <f t="shared" si="5"/>
        <v>0.73239436619718312</v>
      </c>
      <c r="N139" s="108">
        <f>IF($B139=2017,IFERROR(INDEX('Team Performance'!$E$241:$E$270,MATCH($A139,'Team Performance'!$A$241:$A$270,0)),"n/a"),IFERROR(INDEX('Team Performance'!$B$140:$K$169,MATCH($A139,'Team Performance'!$A$140:$A$169,0),MATCH(($B139-2)&amp;"-"&amp;RIGHT($B139-1,2),'Team Performance'!$B$139:$K$139,0)),"n/a"))</f>
        <v>5</v>
      </c>
      <c r="O139" s="110">
        <f>IF($B139=2017,IFERROR(INDEX('Salary Cap'!$B$143:$B$172,MATCH($A139,'Salary Cap'!$A$143:$A$172,0)),"n/a"),IFERROR(INDEX('Salary Cap'!$B$10:$K$39,MATCH($A139,'Salary Cap'!$A$10:$A$39,0),MATCH(""&amp;($B139-1),'Salary Cap'!$B$9:$K$9,0)),"n/a"))</f>
        <v>117956507</v>
      </c>
      <c r="P139" s="115">
        <f>IF($B139=2017,IFERROR(INDEX('Salary Cap'!$C$143:$C$172,MATCH($A139,'Salary Cap'!$A$143:$A$172,0)),"n/a"),IFERROR(INDEX('Salary Cap'!$B$109:$K$138,MATCH($A139,'Salary Cap'!$A$109:$A$138,0),MATCH(""&amp;($B139-1),'Salary Cap'!$B$108:$K$108,0)),"n/a"))</f>
        <v>0</v>
      </c>
      <c r="Q139" s="138">
        <f>IF(OR($B139=2021,$B139=2022),1,0)</f>
        <v>1</v>
      </c>
    </row>
    <row r="140" spans="1:17" x14ac:dyDescent="0.2">
      <c r="A140" s="113" t="str" cm="1">
        <f t="array" ref="A140">INDEX('NBA Valuations'!$A$5:$A$34,INT((ROW()-5)/10)+1)</f>
        <v>Los Angeles Lakers</v>
      </c>
      <c r="B140" s="105">
        <f t="shared" si="4"/>
        <v>2022</v>
      </c>
      <c r="C140" s="106">
        <f>IFERROR(INDEX('NBA Valuations'!$B$5:$K$34,MATCH($A140,'NBA Valuations'!$A$5:$A$34,0),MATCH(""&amp;$B140,'NBA Valuations'!$B$3:$K$3,0)),"n/a")</f>
        <v>5500</v>
      </c>
      <c r="D140" s="106">
        <f>IFERROR(INDEX(Revenue!$B$5:$K$34,MATCH($A140,Revenue!$A$5:$A$34,0),MATCH(""&amp;$B140,Revenue!$B$3:$K$3,0)),"n/a")</f>
        <v>316</v>
      </c>
      <c r="E140" s="106">
        <f>IFERROR(INDEX('Operating Income'!$B$5:$K$34,MATCH($A140,'Operating Income'!$A$5:$A$34,0),MATCH(""&amp;$B140,'Operating Income'!$B$3:$K$3,0)),"n/a")</f>
        <v>63</v>
      </c>
      <c r="F140" s="107">
        <f>IFERROR(INDEX('Market Size'!$L$5:$L$34,MATCH($A140,'Market Size'!$A$5:$A$34,0)),"n/a")</f>
        <v>13182677</v>
      </c>
      <c r="G140" s="108" t="str">
        <f>IFERROR(INDEX('Market Size'!$B$38:$K$67,MATCH($A140,'Market Size'!$A$38:$A$67,0),MATCH(""&amp;($B140-1),'Market Size'!$B$36:$K$36,0)),"n/a")</f>
        <v>n/a</v>
      </c>
      <c r="H140" s="108">
        <f>IFERROR(INDEX(Arena!$B$38:$K$67,MATCH($A140,Arena!$A$38:$A$67,0),MATCH(""&amp;$B140,Arena!$B$36:$K$36,0)),"n/a")</f>
        <v>1999</v>
      </c>
      <c r="I140" s="136" t="str">
        <f>IFERROR(INDEX(Arena!$B$71:$K$100,MATCH($A140,Arena!$A$71:$A$100,0),MATCH(""&amp;$B140,Arena!$B$69:$K$69,0)),"n/a")</f>
        <v>N</v>
      </c>
      <c r="J140" s="137">
        <f>IF(ISNUMBER($H140),($B140-1)-$H140,"n/a")</f>
        <v>22</v>
      </c>
      <c r="K140" s="108">
        <f>IF($B140=2017,IFERROR(INDEX('Team Performance'!$B$241:$B$270,MATCH($A140,'Team Performance'!$A$241:$A$270,0)),"n/a"),IFERROR(INDEX('Team Performance'!$B$6:$K$35,MATCH($A140,'Team Performance'!$A$6:$A$35,0),MATCH(($B140-2)&amp;"-"&amp;RIGHT($B140-1,2),'Team Performance'!$B$5:$K$5,0)),"n/a"))</f>
        <v>42</v>
      </c>
      <c r="L140" s="108">
        <f>IF($B140=2017,IFERROR(INDEX('Team Performance'!$C$241:$C$270,MATCH($A140,'Team Performance'!$A$241:$A$270,0)),"n/a"),IFERROR(INDEX('Team Performance'!$B$39:$K$68,MATCH($A140,'Team Performance'!$A$39:$A$68,0),MATCH(($B140-2)&amp;"-"&amp;RIGHT($B140-1,2),'Team Performance'!$B$38:$K$38,0)),"n/a"))</f>
        <v>30</v>
      </c>
      <c r="M140" s="109">
        <f t="shared" si="5"/>
        <v>0.58333333333333337</v>
      </c>
      <c r="N140" s="108">
        <f>IF($B140=2017,IFERROR(INDEX('Team Performance'!$E$241:$E$270,MATCH($A140,'Team Performance'!$A$241:$A$270,0)),"n/a"),IFERROR(INDEX('Team Performance'!$B$140:$K$169,MATCH($A140,'Team Performance'!$A$140:$A$169,0),MATCH(($B140-2)&amp;"-"&amp;RIGHT($B140-1,2),'Team Performance'!$B$139:$K$139,0)),"n/a"))</f>
        <v>1</v>
      </c>
      <c r="O140" s="110">
        <f>IF($B140=2017,IFERROR(INDEX('Salary Cap'!$B$143:$B$172,MATCH($A140,'Salary Cap'!$A$143:$A$172,0)),"n/a"),IFERROR(INDEX('Salary Cap'!$B$10:$K$39,MATCH($A140,'Salary Cap'!$A$10:$A$39,0),MATCH(""&amp;($B140-1),'Salary Cap'!$B$9:$K$9,0)),"n/a"))</f>
        <v>136913272</v>
      </c>
      <c r="P140" s="115">
        <f>IF($B140=2017,IFERROR(INDEX('Salary Cap'!$C$143:$C$172,MATCH($A140,'Salary Cap'!$A$143:$A$172,0)),"n/a"),IFERROR(INDEX('Salary Cap'!$B$109:$K$138,MATCH($A140,'Salary Cap'!$A$109:$A$138,0),MATCH(""&amp;($B140-1),'Salary Cap'!$B$108:$K$108,0)),"n/a"))</f>
        <v>4000000</v>
      </c>
      <c r="Q140" s="138">
        <f>IF(OR($B140=2021,$B140=2022),1,0)</f>
        <v>1</v>
      </c>
    </row>
    <row r="141" spans="1:17" x14ac:dyDescent="0.2">
      <c r="A141" s="113" t="str" cm="1">
        <f t="array" ref="A141">INDEX('NBA Valuations'!$A$5:$A$34,INT((ROW()-5)/10)+1)</f>
        <v>Los Angeles Lakers</v>
      </c>
      <c r="B141" s="105">
        <f t="shared" si="4"/>
        <v>2023</v>
      </c>
      <c r="C141" s="106">
        <f>IFERROR(INDEX('NBA Valuations'!$B$5:$K$34,MATCH($A141,'NBA Valuations'!$A$5:$A$34,0),MATCH(""&amp;$B141,'NBA Valuations'!$B$3:$K$3,0)),"n/a")</f>
        <v>5900</v>
      </c>
      <c r="D141" s="106">
        <f>IFERROR(INDEX(Revenue!$B$5:$K$34,MATCH($A141,Revenue!$A$5:$A$34,0),MATCH(""&amp;$B141,Revenue!$B$3:$K$3,0)),"n/a")</f>
        <v>465</v>
      </c>
      <c r="E141" s="106">
        <f>IFERROR(INDEX('Operating Income'!$B$5:$K$34,MATCH($A141,'Operating Income'!$A$5:$A$34,0),MATCH(""&amp;$B141,'Operating Income'!$B$3:$K$3,0)),"n/a")</f>
        <v>115</v>
      </c>
      <c r="F141" s="107">
        <f>IFERROR(INDEX('Market Size'!$L$5:$L$34,MATCH($A141,'Market Size'!$A$5:$A$34,0)),"n/a")</f>
        <v>13182677</v>
      </c>
      <c r="G141" s="108" t="str">
        <f>IFERROR(INDEX('Market Size'!$B$38:$K$67,MATCH($A141,'Market Size'!$A$38:$A$67,0),MATCH(""&amp;($B141-1),'Market Size'!$B$36:$K$36,0)),"n/a")</f>
        <v>n/a</v>
      </c>
      <c r="H141" s="108">
        <f>IFERROR(INDEX(Arena!$B$38:$K$67,MATCH($A141,Arena!$A$38:$A$67,0),MATCH(""&amp;$B141,Arena!$B$36:$K$36,0)),"n/a")</f>
        <v>1999</v>
      </c>
      <c r="I141" s="136" t="str">
        <f>IFERROR(INDEX(Arena!$B$71:$K$100,MATCH($A141,Arena!$A$71:$A$100,0),MATCH(""&amp;$B141,Arena!$B$69:$K$69,0)),"n/a")</f>
        <v>N</v>
      </c>
      <c r="J141" s="137">
        <f>IF(ISNUMBER($H141),($B141-1)-$H141,"n/a")</f>
        <v>23</v>
      </c>
      <c r="K141" s="108">
        <f>IF($B141=2017,IFERROR(INDEX('Team Performance'!$B$241:$B$270,MATCH($A141,'Team Performance'!$A$241:$A$270,0)),"n/a"),IFERROR(INDEX('Team Performance'!$B$6:$K$35,MATCH($A141,'Team Performance'!$A$6:$A$35,0),MATCH(($B141-2)&amp;"-"&amp;RIGHT($B141-1,2),'Team Performance'!$B$5:$K$5,0)),"n/a"))</f>
        <v>33</v>
      </c>
      <c r="L141" s="108">
        <f>IF($B141=2017,IFERROR(INDEX('Team Performance'!$C$241:$C$270,MATCH($A141,'Team Performance'!$A$241:$A$270,0)),"n/a"),IFERROR(INDEX('Team Performance'!$B$39:$K$68,MATCH($A141,'Team Performance'!$A$39:$A$68,0),MATCH(($B141-2)&amp;"-"&amp;RIGHT($B141-1,2),'Team Performance'!$B$38:$K$38,0)),"n/a"))</f>
        <v>49</v>
      </c>
      <c r="M141" s="109">
        <f t="shared" si="5"/>
        <v>0.40243902439024393</v>
      </c>
      <c r="N141" s="108">
        <f>IF($B141=2017,IFERROR(INDEX('Team Performance'!$E$241:$E$270,MATCH($A141,'Team Performance'!$A$241:$A$270,0)),"n/a"),IFERROR(INDEX('Team Performance'!$B$140:$K$169,MATCH($A141,'Team Performance'!$A$140:$A$169,0),MATCH(($B141-2)&amp;"-"&amp;RIGHT($B141-1,2),'Team Performance'!$B$139:$K$139,0)),"n/a"))</f>
        <v>0</v>
      </c>
      <c r="O141" s="110">
        <f>IF($B141=2017,IFERROR(INDEX('Salary Cap'!$B$143:$B$172,MATCH($A141,'Salary Cap'!$A$143:$A$172,0)),"n/a"),IFERROR(INDEX('Salary Cap'!$B$10:$K$39,MATCH($A141,'Salary Cap'!$A$10:$A$39,0),MATCH(""&amp;($B141-1),'Salary Cap'!$B$9:$K$9,0)),"n/a"))</f>
        <v>156636217</v>
      </c>
      <c r="P141" s="115">
        <f>IF($B141=2017,IFERROR(INDEX('Salary Cap'!$C$143:$C$172,MATCH($A141,'Salary Cap'!$A$143:$A$172,0)),"n/a"),IFERROR(INDEX('Salary Cap'!$B$109:$K$138,MATCH($A141,'Salary Cap'!$A$109:$A$138,0),MATCH(""&amp;($B141-1),'Salary Cap'!$B$108:$K$108,0)),"n/a"))</f>
        <v>45117195</v>
      </c>
      <c r="Q141" s="138">
        <f>IF(OR($B141=2021,$B141=2022),1,0)</f>
        <v>0</v>
      </c>
    </row>
    <row r="142" spans="1:17" x14ac:dyDescent="0.2">
      <c r="A142" s="113" t="str" cm="1">
        <f t="array" ref="A142">INDEX('NBA Valuations'!$A$5:$A$34,INT((ROW()-5)/10)+1)</f>
        <v>Los Angeles Lakers</v>
      </c>
      <c r="B142" s="105">
        <f t="shared" si="4"/>
        <v>2024</v>
      </c>
      <c r="C142" s="106">
        <f>IFERROR(INDEX('NBA Valuations'!$B$5:$K$34,MATCH($A142,'NBA Valuations'!$A$5:$A$34,0),MATCH(""&amp;$B142,'NBA Valuations'!$B$3:$K$3,0)),"n/a")</f>
        <v>6400</v>
      </c>
      <c r="D142" s="106">
        <f>IFERROR(INDEX(Revenue!$B$5:$K$34,MATCH($A142,Revenue!$A$5:$A$34,0),MATCH(""&amp;$B142,Revenue!$B$3:$K$3,0)),"n/a")</f>
        <v>516</v>
      </c>
      <c r="E142" s="106">
        <f>IFERROR(INDEX('Operating Income'!$B$5:$K$34,MATCH($A142,'Operating Income'!$A$5:$A$34,0),MATCH(""&amp;$B142,'Operating Income'!$B$3:$K$3,0)),"n/a")</f>
        <v>159</v>
      </c>
      <c r="F142" s="107">
        <f>IFERROR(INDEX('Market Size'!$L$5:$L$34,MATCH($A142,'Market Size'!$A$5:$A$34,0)),"n/a")</f>
        <v>13182677</v>
      </c>
      <c r="G142" s="108" t="str">
        <f>IFERROR(INDEX('Market Size'!$B$38:$K$67,MATCH($A142,'Market Size'!$A$38:$A$67,0),MATCH(""&amp;($B142-1),'Market Size'!$B$36:$K$36,0)),"n/a")</f>
        <v>n/a</v>
      </c>
      <c r="H142" s="108">
        <f>IFERROR(INDEX(Arena!$B$38:$K$67,MATCH($A142,Arena!$A$38:$A$67,0),MATCH(""&amp;$B142,Arena!$B$36:$K$36,0)),"n/a")</f>
        <v>1999</v>
      </c>
      <c r="I142" s="136" t="str">
        <f>IFERROR(INDEX(Arena!$B$71:$K$100,MATCH($A142,Arena!$A$71:$A$100,0),MATCH(""&amp;$B142,Arena!$B$69:$K$69,0)),"n/a")</f>
        <v>N</v>
      </c>
      <c r="J142" s="137">
        <f>IF(ISNUMBER($H142),($B142-1)-$H142,"n/a")</f>
        <v>24</v>
      </c>
      <c r="K142" s="108">
        <f>IF($B142=2017,IFERROR(INDEX('Team Performance'!$B$241:$B$270,MATCH($A142,'Team Performance'!$A$241:$A$270,0)),"n/a"),IFERROR(INDEX('Team Performance'!$B$6:$K$35,MATCH($A142,'Team Performance'!$A$6:$A$35,0),MATCH(($B142-2)&amp;"-"&amp;RIGHT($B142-1,2),'Team Performance'!$B$5:$K$5,0)),"n/a"))</f>
        <v>43</v>
      </c>
      <c r="L142" s="108">
        <f>IF($B142=2017,IFERROR(INDEX('Team Performance'!$C$241:$C$270,MATCH($A142,'Team Performance'!$A$241:$A$270,0)),"n/a"),IFERROR(INDEX('Team Performance'!$B$39:$K$68,MATCH($A142,'Team Performance'!$A$39:$A$68,0),MATCH(($B142-2)&amp;"-"&amp;RIGHT($B142-1,2),'Team Performance'!$B$38:$K$38,0)),"n/a"))</f>
        <v>39</v>
      </c>
      <c r="M142" s="109">
        <f t="shared" si="5"/>
        <v>0.52439024390243905</v>
      </c>
      <c r="N142" s="108">
        <f>IF($B142=2017,IFERROR(INDEX('Team Performance'!$E$241:$E$270,MATCH($A142,'Team Performance'!$A$241:$A$270,0)),"n/a"),IFERROR(INDEX('Team Performance'!$B$140:$K$169,MATCH($A142,'Team Performance'!$A$140:$A$169,0),MATCH(($B142-2)&amp;"-"&amp;RIGHT($B142-1,2),'Team Performance'!$B$139:$K$139,0)),"n/a"))</f>
        <v>3</v>
      </c>
      <c r="O142" s="110">
        <f>IF($B142=2017,IFERROR(INDEX('Salary Cap'!$B$143:$B$172,MATCH($A142,'Salary Cap'!$A$143:$A$172,0)),"n/a"),IFERROR(INDEX('Salary Cap'!$B$10:$K$39,MATCH($A142,'Salary Cap'!$A$10:$A$39,0),MATCH(""&amp;($B142-1),'Salary Cap'!$B$9:$K$9,0)),"n/a"))</f>
        <v>167477836</v>
      </c>
      <c r="P142" s="115">
        <f>IF($B142=2017,IFERROR(INDEX('Salary Cap'!$C$143:$C$172,MATCH($A142,'Salary Cap'!$A$143:$A$172,0)),"n/a"),IFERROR(INDEX('Salary Cap'!$B$109:$K$138,MATCH($A142,'Salary Cap'!$A$109:$A$138,0),MATCH(""&amp;($B142-1),'Salary Cap'!$B$108:$K$108,0)),"n/a"))</f>
        <v>35935217</v>
      </c>
      <c r="Q142" s="138">
        <f>IF(OR($B142=2021,$B142=2022),1,0)</f>
        <v>0</v>
      </c>
    </row>
    <row r="143" spans="1:17" x14ac:dyDescent="0.2">
      <c r="A143" s="113" t="str" cm="1">
        <f t="array" ref="A143">INDEX('NBA Valuations'!$A$5:$A$34,INT((ROW()-5)/10)+1)</f>
        <v>Los Angeles Lakers</v>
      </c>
      <c r="B143" s="105">
        <f t="shared" si="4"/>
        <v>2025</v>
      </c>
      <c r="C143" s="106">
        <f>IFERROR(INDEX('NBA Valuations'!$B$5:$K$34,MATCH($A143,'NBA Valuations'!$A$5:$A$34,0),MATCH(""&amp;$B143,'NBA Valuations'!$B$3:$K$3,0)),"n/a")</f>
        <v>7100</v>
      </c>
      <c r="D143" s="106">
        <f>IFERROR(INDEX(Revenue!$B$5:$K$34,MATCH($A143,Revenue!$A$5:$A$34,0),MATCH(""&amp;$B143,Revenue!$B$3:$K$3,0)),"n/a")</f>
        <v>522</v>
      </c>
      <c r="E143" s="106">
        <f>IFERROR(INDEX('Operating Income'!$B$5:$K$34,MATCH($A143,'Operating Income'!$A$5:$A$34,0),MATCH(""&amp;$B143,'Operating Income'!$B$3:$K$3,0)),"n/a")</f>
        <v>199</v>
      </c>
      <c r="F143" s="107">
        <f>IFERROR(INDEX('Market Size'!$L$5:$L$34,MATCH($A143,'Market Size'!$A$5:$A$34,0)),"n/a")</f>
        <v>13182677</v>
      </c>
      <c r="G143" s="108">
        <f>IFERROR(INDEX('Market Size'!$B$38:$K$67,MATCH($A143,'Market Size'!$A$38:$A$67,0),MATCH(""&amp;($B143-1),'Market Size'!$B$36:$K$36,0)),"n/a")</f>
        <v>2</v>
      </c>
      <c r="H143" s="108">
        <f>IFERROR(INDEX(Arena!$B$38:$K$67,MATCH($A143,Arena!$A$38:$A$67,0),MATCH(""&amp;$B143,Arena!$B$36:$K$36,0)),"n/a")</f>
        <v>1999</v>
      </c>
      <c r="I143" s="136" t="str">
        <f>IFERROR(INDEX(Arena!$B$71:$K$100,MATCH($A143,Arena!$A$71:$A$100,0),MATCH(""&amp;$B143,Arena!$B$69:$K$69,0)),"n/a")</f>
        <v>N</v>
      </c>
      <c r="J143" s="137">
        <f>IF(ISNUMBER($H143),($B143-1)-$H143,"n/a")</f>
        <v>25</v>
      </c>
      <c r="K143" s="108">
        <f>IF($B143=2017,IFERROR(INDEX('Team Performance'!$B$241:$B$270,MATCH($A143,'Team Performance'!$A$241:$A$270,0)),"n/a"),IFERROR(INDEX('Team Performance'!$B$6:$K$35,MATCH($A143,'Team Performance'!$A$6:$A$35,0),MATCH(($B143-2)&amp;"-"&amp;RIGHT($B143-1,2),'Team Performance'!$B$5:$K$5,0)),"n/a"))</f>
        <v>47</v>
      </c>
      <c r="L143" s="108">
        <f>IF($B143=2017,IFERROR(INDEX('Team Performance'!$C$241:$C$270,MATCH($A143,'Team Performance'!$A$241:$A$270,0)),"n/a"),IFERROR(INDEX('Team Performance'!$B$39:$K$68,MATCH($A143,'Team Performance'!$A$39:$A$68,0),MATCH(($B143-2)&amp;"-"&amp;RIGHT($B143-1,2),'Team Performance'!$B$38:$K$38,0)),"n/a"))</f>
        <v>35</v>
      </c>
      <c r="M143" s="109">
        <f t="shared" si="5"/>
        <v>0.57317073170731703</v>
      </c>
      <c r="N143" s="108">
        <f>IF($B143=2017,IFERROR(INDEX('Team Performance'!$E$241:$E$270,MATCH($A143,'Team Performance'!$A$241:$A$270,0)),"n/a"),IFERROR(INDEX('Team Performance'!$B$140:$K$169,MATCH($A143,'Team Performance'!$A$140:$A$169,0),MATCH(($B143-2)&amp;"-"&amp;RIGHT($B143-1,2),'Team Performance'!$B$139:$K$139,0)),"n/a"))</f>
        <v>1</v>
      </c>
      <c r="O143" s="110">
        <f>IF($B143=2017,IFERROR(INDEX('Salary Cap'!$B$143:$B$172,MATCH($A143,'Salary Cap'!$A$143:$A$172,0)),"n/a"),IFERROR(INDEX('Salary Cap'!$B$10:$K$39,MATCH($A143,'Salary Cap'!$A$10:$A$39,0),MATCH(""&amp;($B143-1),'Salary Cap'!$B$9:$K$9,0)),"n/a"))</f>
        <v>168055984</v>
      </c>
      <c r="P143" s="115">
        <f>IF($B143=2017,IFERROR(INDEX('Salary Cap'!$C$143:$C$172,MATCH($A143,'Salary Cap'!$A$143:$A$172,0)),"n/a"),IFERROR(INDEX('Salary Cap'!$B$109:$K$138,MATCH($A143,'Salary Cap'!$A$109:$A$138,0),MATCH(""&amp;($B143-1),'Salary Cap'!$B$108:$K$108,0)),"n/a"))</f>
        <v>6904960</v>
      </c>
      <c r="Q143" s="138">
        <f>IF(OR($B143=2021,$B143=2022),1,0)</f>
        <v>0</v>
      </c>
    </row>
    <row r="144" spans="1:17" x14ac:dyDescent="0.2">
      <c r="A144" s="113" t="str" cm="1">
        <f t="array" ref="A144">INDEX('NBA Valuations'!$A$5:$A$34,INT((ROW()-5)/10)+1)</f>
        <v>Los Angeles Lakers</v>
      </c>
      <c r="B144" s="105">
        <f t="shared" si="4"/>
        <v>2026</v>
      </c>
      <c r="C144" s="106">
        <f>IFERROR(INDEX('NBA Valuations'!$B$5:$K$34,MATCH($A144,'NBA Valuations'!$A$5:$A$34,0),MATCH(""&amp;$B144,'NBA Valuations'!$B$3:$K$3,0)),"n/a")</f>
        <v>10000</v>
      </c>
      <c r="D144" s="106">
        <f>IFERROR(INDEX(Revenue!$B$5:$K$34,MATCH($A144,Revenue!$A$5:$A$34,0),MATCH(""&amp;$B144,Revenue!$B$3:$K$3,0)),"n/a")</f>
        <v>551</v>
      </c>
      <c r="E144" s="106">
        <f>IFERROR(INDEX('Operating Income'!$B$5:$K$34,MATCH($A144,'Operating Income'!$A$5:$A$34,0),MATCH(""&amp;$B144,'Operating Income'!$B$3:$K$3,0)),"n/a")</f>
        <v>170</v>
      </c>
      <c r="F144" s="107">
        <f>IFERROR(INDEX('Market Size'!$L$5:$L$34,MATCH($A144,'Market Size'!$A$5:$A$34,0)),"n/a")</f>
        <v>13182677</v>
      </c>
      <c r="G144" s="108">
        <f>IFERROR(INDEX('Market Size'!$B$38:$K$67,MATCH($A144,'Market Size'!$A$38:$A$67,0),MATCH(""&amp;($B144-1),'Market Size'!$B$36:$K$36,0)),"n/a")</f>
        <v>2</v>
      </c>
      <c r="H144" s="108">
        <f>IFERROR(INDEX(Arena!$B$38:$K$67,MATCH($A144,Arena!$A$38:$A$67,0),MATCH(""&amp;$B144,Arena!$B$36:$K$36,0)),"n/a")</f>
        <v>1999</v>
      </c>
      <c r="I144" s="136" t="str">
        <f>IFERROR(INDEX(Arena!$B$71:$K$100,MATCH($A144,Arena!$A$71:$A$100,0),MATCH(""&amp;$B144,Arena!$B$69:$K$69,0)),"n/a")</f>
        <v>N</v>
      </c>
      <c r="J144" s="137">
        <f>IF(ISNUMBER($H144),($B144-1)-$H144,"n/a")</f>
        <v>26</v>
      </c>
      <c r="K144" s="108">
        <f>IF($B144=2017,IFERROR(INDEX('Team Performance'!$B$241:$B$270,MATCH($A144,'Team Performance'!$A$241:$A$270,0)),"n/a"),IFERROR(INDEX('Team Performance'!$B$6:$K$35,MATCH($A144,'Team Performance'!$A$6:$A$35,0),MATCH(($B144-2)&amp;"-"&amp;RIGHT($B144-1,2),'Team Performance'!$B$5:$K$5,0)),"n/a"))</f>
        <v>50</v>
      </c>
      <c r="L144" s="108">
        <f>IF($B144=2017,IFERROR(INDEX('Team Performance'!$C$241:$C$270,MATCH($A144,'Team Performance'!$A$241:$A$270,0)),"n/a"),IFERROR(INDEX('Team Performance'!$B$39:$K$68,MATCH($A144,'Team Performance'!$A$39:$A$68,0),MATCH(($B144-2)&amp;"-"&amp;RIGHT($B144-1,2),'Team Performance'!$B$38:$K$38,0)),"n/a"))</f>
        <v>32</v>
      </c>
      <c r="M144" s="109">
        <f t="shared" si="5"/>
        <v>0.6097560975609756</v>
      </c>
      <c r="N144" s="108">
        <f>IF($B144=2017,IFERROR(INDEX('Team Performance'!$E$241:$E$270,MATCH($A144,'Team Performance'!$A$241:$A$270,0)),"n/a"),IFERROR(INDEX('Team Performance'!$B$140:$K$169,MATCH($A144,'Team Performance'!$A$140:$A$169,0),MATCH(($B144-2)&amp;"-"&amp;RIGHT($B144-1,2),'Team Performance'!$B$139:$K$139,0)),"n/a"))</f>
        <v>1</v>
      </c>
      <c r="O144" s="110">
        <f>IF($B144=2017,IFERROR(INDEX('Salary Cap'!$B$143:$B$172,MATCH($A144,'Salary Cap'!$A$143:$A$172,0)),"n/a"),IFERROR(INDEX('Salary Cap'!$B$10:$K$39,MATCH($A144,'Salary Cap'!$A$10:$A$39,0),MATCH(""&amp;($B144-1),'Salary Cap'!$B$9:$K$9,0)),"n/a"))</f>
        <v>188260871</v>
      </c>
      <c r="P144" s="115">
        <f>IF($B144=2017,IFERROR(INDEX('Salary Cap'!$C$143:$C$172,MATCH($A144,'Salary Cap'!$A$143:$A$172,0)),"n/a"),IFERROR(INDEX('Salary Cap'!$B$109:$K$138,MATCH($A144,'Salary Cap'!$A$109:$A$138,0),MATCH(""&amp;($B144-1),'Salary Cap'!$B$108:$K$108,0)),"n/a"))</f>
        <v>53477202</v>
      </c>
      <c r="Q144" s="138">
        <f>IF(OR($B144=2021,$B144=2022),1,0)</f>
        <v>0</v>
      </c>
    </row>
    <row r="145" spans="1:17" x14ac:dyDescent="0.2">
      <c r="A145" s="113" t="str" cm="1">
        <f t="array" ref="A145">INDEX('NBA Valuations'!$A$5:$A$34,INT((ROW()-5)/10)+1)</f>
        <v>Memphis Grizzlies</v>
      </c>
      <c r="B145" s="105">
        <f t="shared" si="4"/>
        <v>2017</v>
      </c>
      <c r="C145" s="106">
        <f>IFERROR(INDEX('NBA Valuations'!$B$5:$K$34,MATCH($A145,'NBA Valuations'!$A$5:$A$34,0),MATCH(""&amp;$B145,'NBA Valuations'!$B$3:$K$3,0)),"n/a")</f>
        <v>790</v>
      </c>
      <c r="D145" s="106">
        <f>IFERROR(INDEX(Revenue!$B$5:$K$34,MATCH($A145,Revenue!$A$5:$A$34,0),MATCH(""&amp;$B145,Revenue!$B$3:$K$3,0)),"n/a")</f>
        <v>155</v>
      </c>
      <c r="E145" s="106">
        <f>IFERROR(INDEX('Operating Income'!$B$5:$K$34,MATCH($A145,'Operating Income'!$A$5:$A$34,0),MATCH(""&amp;$B145,'Operating Income'!$B$3:$K$3,0)),"n/a")</f>
        <v>0.2</v>
      </c>
      <c r="F145" s="107">
        <f>IFERROR(INDEX('Market Size'!$L$5:$L$34,MATCH($A145,'Market Size'!$A$5:$A$34,0)),"n/a")</f>
        <v>1346138</v>
      </c>
      <c r="G145" s="108" t="str">
        <f>IFERROR(INDEX('Market Size'!$B$38:$K$67,MATCH($A145,'Market Size'!$A$38:$A$67,0),MATCH(""&amp;($B145-1),'Market Size'!$B$36:$K$36,0)),"n/a")</f>
        <v>n/a</v>
      </c>
      <c r="H145" s="108">
        <f>IFERROR(INDEX(Arena!$B$38:$K$67,MATCH($A145,Arena!$A$38:$A$67,0),MATCH(""&amp;$B145,Arena!$B$36:$K$36,0)),"n/a")</f>
        <v>2004</v>
      </c>
      <c r="I145" s="136" t="str">
        <f>IFERROR(INDEX(Arena!$B$71:$K$100,MATCH($A145,Arena!$A$71:$A$100,0),MATCH(""&amp;$B145,Arena!$B$69:$K$69,0)),"n/a")</f>
        <v>N</v>
      </c>
      <c r="J145" s="137">
        <f>IF(ISNUMBER($H145),($B145-1)-$H145,"n/a")</f>
        <v>12</v>
      </c>
      <c r="K145" s="108">
        <f>IF($B145=2017,IFERROR(INDEX('Team Performance'!$B$241:$B$270,MATCH($A145,'Team Performance'!$A$241:$A$270,0)),"n/a"),IFERROR(INDEX('Team Performance'!$B$6:$K$35,MATCH($A145,'Team Performance'!$A$6:$A$35,0),MATCH(($B145-2)&amp;"-"&amp;RIGHT($B145-1,2),'Team Performance'!$B$5:$K$5,0)),"n/a"))</f>
        <v>42</v>
      </c>
      <c r="L145" s="108">
        <f>IF($B145=2017,IFERROR(INDEX('Team Performance'!$C$241:$C$270,MATCH($A145,'Team Performance'!$A$241:$A$270,0)),"n/a"),IFERROR(INDEX('Team Performance'!$B$39:$K$68,MATCH($A145,'Team Performance'!$A$39:$A$68,0),MATCH(($B145-2)&amp;"-"&amp;RIGHT($B145-1,2),'Team Performance'!$B$38:$K$38,0)),"n/a"))</f>
        <v>40</v>
      </c>
      <c r="M145" s="109">
        <f t="shared" si="5"/>
        <v>0.51219512195121952</v>
      </c>
      <c r="N145" s="108">
        <f>IF($B145=2017,IFERROR(INDEX('Team Performance'!$E$241:$E$270,MATCH($A145,'Team Performance'!$A$241:$A$270,0)),"n/a"),IFERROR(INDEX('Team Performance'!$B$140:$K$169,MATCH($A145,'Team Performance'!$A$140:$A$169,0),MATCH(($B145-2)&amp;"-"&amp;RIGHT($B145-1,2),'Team Performance'!$B$139:$K$139,0)),"n/a"))</f>
        <v>1</v>
      </c>
      <c r="O145" s="110">
        <f>IF($B145=2017,IFERROR(INDEX('Salary Cap'!$B$143:$B$172,MATCH($A145,'Salary Cap'!$A$143:$A$172,0)),"n/a"),IFERROR(INDEX('Salary Cap'!$B$10:$K$39,MATCH($A145,'Salary Cap'!$A$10:$A$39,0),MATCH(""&amp;($B145-1),'Salary Cap'!$B$9:$K$9,0)),"n/a"))</f>
        <v>83382043</v>
      </c>
      <c r="P145" s="115">
        <f>IF($B145=2017,IFERROR(INDEX('Salary Cap'!$C$143:$C$172,MATCH($A145,'Salary Cap'!$A$143:$A$172,0)),"n/a"),IFERROR(INDEX('Salary Cap'!$B$109:$K$138,MATCH($A145,'Salary Cap'!$A$109:$A$138,0),MATCH(""&amp;($B145-1),'Salary Cap'!$B$108:$K$108,0)),"n/a"))</f>
        <v>0</v>
      </c>
      <c r="Q145" s="138">
        <f>IF(OR($B145=2021,$B145=2022),1,0)</f>
        <v>0</v>
      </c>
    </row>
    <row r="146" spans="1:17" x14ac:dyDescent="0.2">
      <c r="A146" s="113" t="str" cm="1">
        <f t="array" ref="A146">INDEX('NBA Valuations'!$A$5:$A$34,INT((ROW()-5)/10)+1)</f>
        <v>Memphis Grizzlies</v>
      </c>
      <c r="B146" s="105">
        <f t="shared" si="4"/>
        <v>2018</v>
      </c>
      <c r="C146" s="106">
        <f>IFERROR(INDEX('NBA Valuations'!$B$5:$K$34,MATCH($A146,'NBA Valuations'!$A$5:$A$34,0),MATCH(""&amp;$B146,'NBA Valuations'!$B$3:$K$3,0)),"n/a")</f>
        <v>1000</v>
      </c>
      <c r="D146" s="106">
        <f>IFERROR(INDEX(Revenue!$B$5:$K$34,MATCH($A146,Revenue!$A$5:$A$34,0),MATCH(""&amp;$B146,Revenue!$B$3:$K$3,0)),"n/a")</f>
        <v>206</v>
      </c>
      <c r="E146" s="106">
        <f>IFERROR(INDEX('Operating Income'!$B$5:$K$34,MATCH($A146,'Operating Income'!$A$5:$A$34,0),MATCH(""&amp;$B146,'Operating Income'!$B$3:$K$3,0)),"n/a")</f>
        <v>15</v>
      </c>
      <c r="F146" s="107">
        <f>IFERROR(INDEX('Market Size'!$L$5:$L$34,MATCH($A146,'Market Size'!$A$5:$A$34,0)),"n/a")</f>
        <v>1346138</v>
      </c>
      <c r="G146" s="108" t="str">
        <f>IFERROR(INDEX('Market Size'!$B$38:$K$67,MATCH($A146,'Market Size'!$A$38:$A$67,0),MATCH(""&amp;($B146-1),'Market Size'!$B$36:$K$36,0)),"n/a")</f>
        <v>n/a</v>
      </c>
      <c r="H146" s="108">
        <f>IFERROR(INDEX(Arena!$B$38:$K$67,MATCH($A146,Arena!$A$38:$A$67,0),MATCH(""&amp;$B146,Arena!$B$36:$K$36,0)),"n/a")</f>
        <v>2004</v>
      </c>
      <c r="I146" s="136" t="str">
        <f>IFERROR(INDEX(Arena!$B$71:$K$100,MATCH($A146,Arena!$A$71:$A$100,0),MATCH(""&amp;$B146,Arena!$B$69:$K$69,0)),"n/a")</f>
        <v>N</v>
      </c>
      <c r="J146" s="137">
        <f>IF(ISNUMBER($H146),($B146-1)-$H146,"n/a")</f>
        <v>13</v>
      </c>
      <c r="K146" s="108">
        <f>IF($B146=2017,IFERROR(INDEX('Team Performance'!$B$241:$B$270,MATCH($A146,'Team Performance'!$A$241:$A$270,0)),"n/a"),IFERROR(INDEX('Team Performance'!$B$6:$K$35,MATCH($A146,'Team Performance'!$A$6:$A$35,0),MATCH(($B146-2)&amp;"-"&amp;RIGHT($B146-1,2),'Team Performance'!$B$5:$K$5,0)),"n/a"))</f>
        <v>43</v>
      </c>
      <c r="L146" s="108">
        <f>IF($B146=2017,IFERROR(INDEX('Team Performance'!$C$241:$C$270,MATCH($A146,'Team Performance'!$A$241:$A$270,0)),"n/a"),IFERROR(INDEX('Team Performance'!$B$39:$K$68,MATCH($A146,'Team Performance'!$A$39:$A$68,0),MATCH(($B146-2)&amp;"-"&amp;RIGHT($B146-1,2),'Team Performance'!$B$38:$K$38,0)),"n/a"))</f>
        <v>39</v>
      </c>
      <c r="M146" s="109">
        <f t="shared" si="5"/>
        <v>0.52439024390243905</v>
      </c>
      <c r="N146" s="108">
        <f>IF($B146=2017,IFERROR(INDEX('Team Performance'!$E$241:$E$270,MATCH($A146,'Team Performance'!$A$241:$A$270,0)),"n/a"),IFERROR(INDEX('Team Performance'!$B$140:$K$169,MATCH($A146,'Team Performance'!$A$140:$A$169,0),MATCH(($B146-2)&amp;"-"&amp;RIGHT($B146-1,2),'Team Performance'!$B$139:$K$139,0)),"n/a"))</f>
        <v>1</v>
      </c>
      <c r="O146" s="110">
        <f>IF($B146=2017,IFERROR(INDEX('Salary Cap'!$B$143:$B$172,MATCH($A146,'Salary Cap'!$A$143:$A$172,0)),"n/a"),IFERROR(INDEX('Salary Cap'!$B$10:$K$39,MATCH($A146,'Salary Cap'!$A$10:$A$39,0),MATCH(""&amp;($B146-1),'Salary Cap'!$B$9:$K$9,0)),"n/a"))</f>
        <v>110869863</v>
      </c>
      <c r="P146" s="115">
        <f>IF($B146=2017,IFERROR(INDEX('Salary Cap'!$C$143:$C$172,MATCH($A146,'Salary Cap'!$A$143:$A$172,0)),"n/a"),IFERROR(INDEX('Salary Cap'!$B$109:$K$138,MATCH($A146,'Salary Cap'!$A$109:$A$138,0),MATCH(""&amp;($B146-1),'Salary Cap'!$B$108:$K$108,0)),"n/a"))</f>
        <v>0</v>
      </c>
      <c r="Q146" s="138">
        <f>IF(OR($B146=2021,$B146=2022),1,0)</f>
        <v>0</v>
      </c>
    </row>
    <row r="147" spans="1:17" x14ac:dyDescent="0.2">
      <c r="A147" s="113" t="str" cm="1">
        <f t="array" ref="A147">INDEX('NBA Valuations'!$A$5:$A$34,INT((ROW()-5)/10)+1)</f>
        <v>Memphis Grizzlies</v>
      </c>
      <c r="B147" s="105">
        <f t="shared" si="4"/>
        <v>2019</v>
      </c>
      <c r="C147" s="106">
        <f>IFERROR(INDEX('NBA Valuations'!$B$5:$K$34,MATCH($A147,'NBA Valuations'!$A$5:$A$34,0),MATCH(""&amp;$B147,'NBA Valuations'!$B$3:$K$3,0)),"n/a")</f>
        <v>1200</v>
      </c>
      <c r="D147" s="106">
        <f>IFERROR(INDEX(Revenue!$B$5:$K$34,MATCH($A147,Revenue!$A$5:$A$34,0),MATCH(""&amp;$B147,Revenue!$B$3:$K$3,0)),"n/a")</f>
        <v>213</v>
      </c>
      <c r="E147" s="106">
        <f>IFERROR(INDEX('Operating Income'!$B$5:$K$34,MATCH($A147,'Operating Income'!$A$5:$A$34,0),MATCH(""&amp;$B147,'Operating Income'!$B$3:$K$3,0)),"n/a")</f>
        <v>27</v>
      </c>
      <c r="F147" s="107">
        <f>IFERROR(INDEX('Market Size'!$L$5:$L$34,MATCH($A147,'Market Size'!$A$5:$A$34,0)),"n/a")</f>
        <v>1346138</v>
      </c>
      <c r="G147" s="108" t="str">
        <f>IFERROR(INDEX('Market Size'!$B$38:$K$67,MATCH($A147,'Market Size'!$A$38:$A$67,0),MATCH(""&amp;($B147-1),'Market Size'!$B$36:$K$36,0)),"n/a")</f>
        <v>n/a</v>
      </c>
      <c r="H147" s="108">
        <f>IFERROR(INDEX(Arena!$B$38:$K$67,MATCH($A147,Arena!$A$38:$A$67,0),MATCH(""&amp;$B147,Arena!$B$36:$K$36,0)),"n/a")</f>
        <v>2004</v>
      </c>
      <c r="I147" s="136" t="str">
        <f>IFERROR(INDEX(Arena!$B$71:$K$100,MATCH($A147,Arena!$A$71:$A$100,0),MATCH(""&amp;$B147,Arena!$B$69:$K$69,0)),"n/a")</f>
        <v>N</v>
      </c>
      <c r="J147" s="137">
        <f>IF(ISNUMBER($H147),($B147-1)-$H147,"n/a")</f>
        <v>14</v>
      </c>
      <c r="K147" s="108">
        <f>IF($B147=2017,IFERROR(INDEX('Team Performance'!$B$241:$B$270,MATCH($A147,'Team Performance'!$A$241:$A$270,0)),"n/a"),IFERROR(INDEX('Team Performance'!$B$6:$K$35,MATCH($A147,'Team Performance'!$A$6:$A$35,0),MATCH(($B147-2)&amp;"-"&amp;RIGHT($B147-1,2),'Team Performance'!$B$5:$K$5,0)),"n/a"))</f>
        <v>22</v>
      </c>
      <c r="L147" s="108">
        <f>IF($B147=2017,IFERROR(INDEX('Team Performance'!$C$241:$C$270,MATCH($A147,'Team Performance'!$A$241:$A$270,0)),"n/a"),IFERROR(INDEX('Team Performance'!$B$39:$K$68,MATCH($A147,'Team Performance'!$A$39:$A$68,0),MATCH(($B147-2)&amp;"-"&amp;RIGHT($B147-1,2),'Team Performance'!$B$38:$K$38,0)),"n/a"))</f>
        <v>60</v>
      </c>
      <c r="M147" s="109">
        <f t="shared" si="5"/>
        <v>0.26829268292682928</v>
      </c>
      <c r="N147" s="108">
        <f>IF($B147=2017,IFERROR(INDEX('Team Performance'!$E$241:$E$270,MATCH($A147,'Team Performance'!$A$241:$A$270,0)),"n/a"),IFERROR(INDEX('Team Performance'!$B$140:$K$169,MATCH($A147,'Team Performance'!$A$140:$A$169,0),MATCH(($B147-2)&amp;"-"&amp;RIGHT($B147-1,2),'Team Performance'!$B$139:$K$139,0)),"n/a"))</f>
        <v>0</v>
      </c>
      <c r="O147" s="110">
        <f>IF($B147=2017,IFERROR(INDEX('Salary Cap'!$B$143:$B$172,MATCH($A147,'Salary Cap'!$A$143:$A$172,0)),"n/a"),IFERROR(INDEX('Salary Cap'!$B$10:$K$39,MATCH($A147,'Salary Cap'!$A$10:$A$39,0),MATCH(""&amp;($B147-1),'Salary Cap'!$B$9:$K$9,0)),"n/a"))</f>
        <v>109902725</v>
      </c>
      <c r="P147" s="115">
        <f>IF($B147=2017,IFERROR(INDEX('Salary Cap'!$C$143:$C$172,MATCH($A147,'Salary Cap'!$A$143:$A$172,0)),"n/a"),IFERROR(INDEX('Salary Cap'!$B$109:$K$138,MATCH($A147,'Salary Cap'!$A$109:$A$138,0),MATCH(""&amp;($B147-1),'Salary Cap'!$B$108:$K$108,0)),"n/a"))</f>
        <v>0</v>
      </c>
      <c r="Q147" s="138">
        <f>IF(OR($B147=2021,$B147=2022),1,0)</f>
        <v>0</v>
      </c>
    </row>
    <row r="148" spans="1:17" x14ac:dyDescent="0.2">
      <c r="A148" s="113" t="str" cm="1">
        <f t="array" ref="A148">INDEX('NBA Valuations'!$A$5:$A$34,INT((ROW()-5)/10)+1)</f>
        <v>Memphis Grizzlies</v>
      </c>
      <c r="B148" s="105">
        <f t="shared" si="4"/>
        <v>2020</v>
      </c>
      <c r="C148" s="106">
        <f>IFERROR(INDEX('NBA Valuations'!$B$5:$K$34,MATCH($A148,'NBA Valuations'!$A$5:$A$34,0),MATCH(""&amp;$B148,'NBA Valuations'!$B$3:$K$3,0)),"n/a")</f>
        <v>1300</v>
      </c>
      <c r="D148" s="106">
        <f>IFERROR(INDEX(Revenue!$B$5:$K$34,MATCH($A148,Revenue!$A$5:$A$34,0),MATCH(""&amp;$B148,Revenue!$B$3:$K$3,0)),"n/a")</f>
        <v>224</v>
      </c>
      <c r="E148" s="106">
        <f>IFERROR(INDEX('Operating Income'!$B$5:$K$34,MATCH($A148,'Operating Income'!$A$5:$A$34,0),MATCH(""&amp;$B148,'Operating Income'!$B$3:$K$3,0)),"n/a")</f>
        <v>24</v>
      </c>
      <c r="F148" s="107">
        <f>IFERROR(INDEX('Market Size'!$L$5:$L$34,MATCH($A148,'Market Size'!$A$5:$A$34,0)),"n/a")</f>
        <v>1346138</v>
      </c>
      <c r="G148" s="108" t="str">
        <f>IFERROR(INDEX('Market Size'!$B$38:$K$67,MATCH($A148,'Market Size'!$A$38:$A$67,0),MATCH(""&amp;($B148-1),'Market Size'!$B$36:$K$36,0)),"n/a")</f>
        <v>n/a</v>
      </c>
      <c r="H148" s="108">
        <f>IFERROR(INDEX(Arena!$B$38:$K$67,MATCH($A148,Arena!$A$38:$A$67,0),MATCH(""&amp;$B148,Arena!$B$36:$K$36,0)),"n/a")</f>
        <v>2004</v>
      </c>
      <c r="I148" s="136" t="str">
        <f>IFERROR(INDEX(Arena!$B$71:$K$100,MATCH($A148,Arena!$A$71:$A$100,0),MATCH(""&amp;$B148,Arena!$B$69:$K$69,0)),"n/a")</f>
        <v>N</v>
      </c>
      <c r="J148" s="137">
        <f>IF(ISNUMBER($H148),($B148-1)-$H148,"n/a")</f>
        <v>15</v>
      </c>
      <c r="K148" s="108">
        <f>IF($B148=2017,IFERROR(INDEX('Team Performance'!$B$241:$B$270,MATCH($A148,'Team Performance'!$A$241:$A$270,0)),"n/a"),IFERROR(INDEX('Team Performance'!$B$6:$K$35,MATCH($A148,'Team Performance'!$A$6:$A$35,0),MATCH(($B148-2)&amp;"-"&amp;RIGHT($B148-1,2),'Team Performance'!$B$5:$K$5,0)),"n/a"))</f>
        <v>33</v>
      </c>
      <c r="L148" s="108">
        <f>IF($B148=2017,IFERROR(INDEX('Team Performance'!$C$241:$C$270,MATCH($A148,'Team Performance'!$A$241:$A$270,0)),"n/a"),IFERROR(INDEX('Team Performance'!$B$39:$K$68,MATCH($A148,'Team Performance'!$A$39:$A$68,0),MATCH(($B148-2)&amp;"-"&amp;RIGHT($B148-1,2),'Team Performance'!$B$38:$K$38,0)),"n/a"))</f>
        <v>49</v>
      </c>
      <c r="M148" s="109">
        <f t="shared" si="5"/>
        <v>0.40243902439024393</v>
      </c>
      <c r="N148" s="108">
        <f>IF($B148=2017,IFERROR(INDEX('Team Performance'!$E$241:$E$270,MATCH($A148,'Team Performance'!$A$241:$A$270,0)),"n/a"),IFERROR(INDEX('Team Performance'!$B$140:$K$169,MATCH($A148,'Team Performance'!$A$140:$A$169,0),MATCH(($B148-2)&amp;"-"&amp;RIGHT($B148-1,2),'Team Performance'!$B$139:$K$139,0)),"n/a"))</f>
        <v>0</v>
      </c>
      <c r="O148" s="110">
        <f>IF($B148=2017,IFERROR(INDEX('Salary Cap'!$B$143:$B$172,MATCH($A148,'Salary Cap'!$A$143:$A$172,0)),"n/a"),IFERROR(INDEX('Salary Cap'!$B$10:$K$39,MATCH($A148,'Salary Cap'!$A$10:$A$39,0),MATCH(""&amp;($B148-1),'Salary Cap'!$B$9:$K$9,0)),"n/a"))</f>
        <v>122076384</v>
      </c>
      <c r="P148" s="115">
        <f>IF($B148=2017,IFERROR(INDEX('Salary Cap'!$C$143:$C$172,MATCH($A148,'Salary Cap'!$A$143:$A$172,0)),"n/a"),IFERROR(INDEX('Salary Cap'!$B$109:$K$138,MATCH($A148,'Salary Cap'!$A$109:$A$138,0),MATCH(""&amp;($B148-1),'Salary Cap'!$B$108:$K$108,0)),"n/a"))</f>
        <v>0</v>
      </c>
      <c r="Q148" s="138">
        <f>IF(OR($B148=2021,$B148=2022),1,0)</f>
        <v>0</v>
      </c>
    </row>
    <row r="149" spans="1:17" x14ac:dyDescent="0.2">
      <c r="A149" s="113" t="str" cm="1">
        <f t="array" ref="A149">INDEX('NBA Valuations'!$A$5:$A$34,INT((ROW()-5)/10)+1)</f>
        <v>Memphis Grizzlies</v>
      </c>
      <c r="B149" s="105">
        <f t="shared" si="4"/>
        <v>2021</v>
      </c>
      <c r="C149" s="106">
        <f>IFERROR(INDEX('NBA Valuations'!$B$5:$K$34,MATCH($A149,'NBA Valuations'!$A$5:$A$34,0),MATCH(""&amp;$B149,'NBA Valuations'!$B$3:$K$3,0)),"n/a")</f>
        <v>1300</v>
      </c>
      <c r="D149" s="106">
        <f>IFERROR(INDEX(Revenue!$B$5:$K$34,MATCH($A149,Revenue!$A$5:$A$34,0),MATCH(""&amp;$B149,Revenue!$B$3:$K$3,0)),"n/a")</f>
        <v>210</v>
      </c>
      <c r="E149" s="106">
        <f>IFERROR(INDEX('Operating Income'!$B$5:$K$34,MATCH($A149,'Operating Income'!$A$5:$A$34,0),MATCH(""&amp;$B149,'Operating Income'!$B$3:$K$3,0)),"n/a")</f>
        <v>22</v>
      </c>
      <c r="F149" s="107">
        <f>IFERROR(INDEX('Market Size'!$L$5:$L$34,MATCH($A149,'Market Size'!$A$5:$A$34,0)),"n/a")</f>
        <v>1346138</v>
      </c>
      <c r="G149" s="108" t="str">
        <f>IFERROR(INDEX('Market Size'!$B$38:$K$67,MATCH($A149,'Market Size'!$A$38:$A$67,0),MATCH(""&amp;($B149-1),'Market Size'!$B$36:$K$36,0)),"n/a")</f>
        <v>n/a</v>
      </c>
      <c r="H149" s="108">
        <f>IFERROR(INDEX(Arena!$B$38:$K$67,MATCH($A149,Arena!$A$38:$A$67,0),MATCH(""&amp;$B149,Arena!$B$36:$K$36,0)),"n/a")</f>
        <v>2004</v>
      </c>
      <c r="I149" s="136" t="str">
        <f>IFERROR(INDEX(Arena!$B$71:$K$100,MATCH($A149,Arena!$A$71:$A$100,0),MATCH(""&amp;$B149,Arena!$B$69:$K$69,0)),"n/a")</f>
        <v>N</v>
      </c>
      <c r="J149" s="137">
        <f>IF(ISNUMBER($H149),($B149-1)-$H149,"n/a")</f>
        <v>16</v>
      </c>
      <c r="K149" s="108">
        <f>IF($B149=2017,IFERROR(INDEX('Team Performance'!$B$241:$B$270,MATCH($A149,'Team Performance'!$A$241:$A$270,0)),"n/a"),IFERROR(INDEX('Team Performance'!$B$6:$K$35,MATCH($A149,'Team Performance'!$A$6:$A$35,0),MATCH(($B149-2)&amp;"-"&amp;RIGHT($B149-1,2),'Team Performance'!$B$5:$K$5,0)),"n/a"))</f>
        <v>34</v>
      </c>
      <c r="L149" s="108">
        <f>IF($B149=2017,IFERROR(INDEX('Team Performance'!$C$241:$C$270,MATCH($A149,'Team Performance'!$A$241:$A$270,0)),"n/a"),IFERROR(INDEX('Team Performance'!$B$39:$K$68,MATCH($A149,'Team Performance'!$A$39:$A$68,0),MATCH(($B149-2)&amp;"-"&amp;RIGHT($B149-1,2),'Team Performance'!$B$38:$K$38,0)),"n/a"))</f>
        <v>39</v>
      </c>
      <c r="M149" s="109">
        <f t="shared" si="5"/>
        <v>0.46575342465753422</v>
      </c>
      <c r="N149" s="108">
        <f>IF($B149=2017,IFERROR(INDEX('Team Performance'!$E$241:$E$270,MATCH($A149,'Team Performance'!$A$241:$A$270,0)),"n/a"),IFERROR(INDEX('Team Performance'!$B$140:$K$169,MATCH($A149,'Team Performance'!$A$140:$A$169,0),MATCH(($B149-2)&amp;"-"&amp;RIGHT($B149-1,2),'Team Performance'!$B$139:$K$139,0)),"n/a"))</f>
        <v>0</v>
      </c>
      <c r="O149" s="110">
        <f>IF($B149=2017,IFERROR(INDEX('Salary Cap'!$B$143:$B$172,MATCH($A149,'Salary Cap'!$A$143:$A$172,0)),"n/a"),IFERROR(INDEX('Salary Cap'!$B$10:$K$39,MATCH($A149,'Salary Cap'!$A$10:$A$39,0),MATCH(""&amp;($B149-1),'Salary Cap'!$B$9:$K$9,0)),"n/a"))</f>
        <v>129798650</v>
      </c>
      <c r="P149" s="115">
        <f>IF($B149=2017,IFERROR(INDEX('Salary Cap'!$C$143:$C$172,MATCH($A149,'Salary Cap'!$A$143:$A$172,0)),"n/a"),IFERROR(INDEX('Salary Cap'!$B$109:$K$138,MATCH($A149,'Salary Cap'!$A$109:$A$138,0),MATCH(""&amp;($B149-1),'Salary Cap'!$B$108:$K$108,0)),"n/a"))</f>
        <v>0</v>
      </c>
      <c r="Q149" s="138">
        <f>IF(OR($B149=2021,$B149=2022),1,0)</f>
        <v>1</v>
      </c>
    </row>
    <row r="150" spans="1:17" x14ac:dyDescent="0.2">
      <c r="A150" s="113" t="str" cm="1">
        <f t="array" ref="A150">INDEX('NBA Valuations'!$A$5:$A$34,INT((ROW()-5)/10)+1)</f>
        <v>Memphis Grizzlies</v>
      </c>
      <c r="B150" s="105">
        <f t="shared" si="4"/>
        <v>2022</v>
      </c>
      <c r="C150" s="106">
        <f>IFERROR(INDEX('NBA Valuations'!$B$5:$K$34,MATCH($A150,'NBA Valuations'!$A$5:$A$34,0),MATCH(""&amp;$B150,'NBA Valuations'!$B$3:$K$3,0)),"n/a")</f>
        <v>1500</v>
      </c>
      <c r="D150" s="106">
        <f>IFERROR(INDEX(Revenue!$B$5:$K$34,MATCH($A150,Revenue!$A$5:$A$34,0),MATCH(""&amp;$B150,Revenue!$B$3:$K$3,0)),"n/a")</f>
        <v>186</v>
      </c>
      <c r="E150" s="106">
        <f>IFERROR(INDEX('Operating Income'!$B$5:$K$34,MATCH($A150,'Operating Income'!$A$5:$A$34,0),MATCH(""&amp;$B150,'Operating Income'!$B$3:$K$3,0)),"n/a")</f>
        <v>12</v>
      </c>
      <c r="F150" s="107">
        <f>IFERROR(INDEX('Market Size'!$L$5:$L$34,MATCH($A150,'Market Size'!$A$5:$A$34,0)),"n/a")</f>
        <v>1346138</v>
      </c>
      <c r="G150" s="108" t="str">
        <f>IFERROR(INDEX('Market Size'!$B$38:$K$67,MATCH($A150,'Market Size'!$A$38:$A$67,0),MATCH(""&amp;($B150-1),'Market Size'!$B$36:$K$36,0)),"n/a")</f>
        <v>n/a</v>
      </c>
      <c r="H150" s="108">
        <f>IFERROR(INDEX(Arena!$B$38:$K$67,MATCH($A150,Arena!$A$38:$A$67,0),MATCH(""&amp;$B150,Arena!$B$36:$K$36,0)),"n/a")</f>
        <v>2004</v>
      </c>
      <c r="I150" s="136" t="str">
        <f>IFERROR(INDEX(Arena!$B$71:$K$100,MATCH($A150,Arena!$A$71:$A$100,0),MATCH(""&amp;$B150,Arena!$B$69:$K$69,0)),"n/a")</f>
        <v>N</v>
      </c>
      <c r="J150" s="137">
        <f>IF(ISNUMBER($H150),($B150-1)-$H150,"n/a")</f>
        <v>17</v>
      </c>
      <c r="K150" s="108">
        <f>IF($B150=2017,IFERROR(INDEX('Team Performance'!$B$241:$B$270,MATCH($A150,'Team Performance'!$A$241:$A$270,0)),"n/a"),IFERROR(INDEX('Team Performance'!$B$6:$K$35,MATCH($A150,'Team Performance'!$A$6:$A$35,0),MATCH(($B150-2)&amp;"-"&amp;RIGHT($B150-1,2),'Team Performance'!$B$5:$K$5,0)),"n/a"))</f>
        <v>38</v>
      </c>
      <c r="L150" s="108">
        <f>IF($B150=2017,IFERROR(INDEX('Team Performance'!$C$241:$C$270,MATCH($A150,'Team Performance'!$A$241:$A$270,0)),"n/a"),IFERROR(INDEX('Team Performance'!$B$39:$K$68,MATCH($A150,'Team Performance'!$A$39:$A$68,0),MATCH(($B150-2)&amp;"-"&amp;RIGHT($B150-1,2),'Team Performance'!$B$38:$K$38,0)),"n/a"))</f>
        <v>34</v>
      </c>
      <c r="M150" s="109">
        <f t="shared" si="5"/>
        <v>0.52777777777777779</v>
      </c>
      <c r="N150" s="108">
        <f>IF($B150=2017,IFERROR(INDEX('Team Performance'!$E$241:$E$270,MATCH($A150,'Team Performance'!$A$241:$A$270,0)),"n/a"),IFERROR(INDEX('Team Performance'!$B$140:$K$169,MATCH($A150,'Team Performance'!$A$140:$A$169,0),MATCH(($B150-2)&amp;"-"&amp;RIGHT($B150-1,2),'Team Performance'!$B$139:$K$139,0)),"n/a"))</f>
        <v>1</v>
      </c>
      <c r="O150" s="110">
        <f>IF($B150=2017,IFERROR(INDEX('Salary Cap'!$B$143:$B$172,MATCH($A150,'Salary Cap'!$A$143:$A$172,0)),"n/a"),IFERROR(INDEX('Salary Cap'!$B$10:$K$39,MATCH($A150,'Salary Cap'!$A$10:$A$39,0),MATCH(""&amp;($B150-1),'Salary Cap'!$B$9:$K$9,0)),"n/a"))</f>
        <v>131004198</v>
      </c>
      <c r="P150" s="115">
        <f>IF($B150=2017,IFERROR(INDEX('Salary Cap'!$C$143:$C$172,MATCH($A150,'Salary Cap'!$A$143:$A$172,0)),"n/a"),IFERROR(INDEX('Salary Cap'!$B$109:$K$138,MATCH($A150,'Salary Cap'!$A$109:$A$138,0),MATCH(""&amp;($B150-1),'Salary Cap'!$B$108:$K$108,0)),"n/a"))</f>
        <v>0</v>
      </c>
      <c r="Q150" s="138">
        <f>IF(OR($B150=2021,$B150=2022),1,0)</f>
        <v>1</v>
      </c>
    </row>
    <row r="151" spans="1:17" x14ac:dyDescent="0.2">
      <c r="A151" s="113" t="str" cm="1">
        <f t="array" ref="A151">INDEX('NBA Valuations'!$A$5:$A$34,INT((ROW()-5)/10)+1)</f>
        <v>Memphis Grizzlies</v>
      </c>
      <c r="B151" s="105">
        <f t="shared" si="4"/>
        <v>2023</v>
      </c>
      <c r="C151" s="106">
        <f>IFERROR(INDEX('NBA Valuations'!$B$5:$K$34,MATCH($A151,'NBA Valuations'!$A$5:$A$34,0),MATCH(""&amp;$B151,'NBA Valuations'!$B$3:$K$3,0)),"n/a")</f>
        <v>1650</v>
      </c>
      <c r="D151" s="106">
        <f>IFERROR(INDEX(Revenue!$B$5:$K$34,MATCH($A151,Revenue!$A$5:$A$34,0),MATCH(""&amp;$B151,Revenue!$B$3:$K$3,0)),"n/a")</f>
        <v>272</v>
      </c>
      <c r="E151" s="106">
        <f>IFERROR(INDEX('Operating Income'!$B$5:$K$34,MATCH($A151,'Operating Income'!$A$5:$A$34,0),MATCH(""&amp;$B151,'Operating Income'!$B$3:$K$3,0)),"n/a")</f>
        <v>107</v>
      </c>
      <c r="F151" s="107">
        <f>IFERROR(INDEX('Market Size'!$L$5:$L$34,MATCH($A151,'Market Size'!$A$5:$A$34,0)),"n/a")</f>
        <v>1346138</v>
      </c>
      <c r="G151" s="108" t="str">
        <f>IFERROR(INDEX('Market Size'!$B$38:$K$67,MATCH($A151,'Market Size'!$A$38:$A$67,0),MATCH(""&amp;($B151-1),'Market Size'!$B$36:$K$36,0)),"n/a")</f>
        <v>n/a</v>
      </c>
      <c r="H151" s="108">
        <f>IFERROR(INDEX(Arena!$B$38:$K$67,MATCH($A151,Arena!$A$38:$A$67,0),MATCH(""&amp;$B151,Arena!$B$36:$K$36,0)),"n/a")</f>
        <v>2004</v>
      </c>
      <c r="I151" s="136" t="str">
        <f>IFERROR(INDEX(Arena!$B$71:$K$100,MATCH($A151,Arena!$A$71:$A$100,0),MATCH(""&amp;$B151,Arena!$B$69:$K$69,0)),"n/a")</f>
        <v>N</v>
      </c>
      <c r="J151" s="137">
        <f>IF(ISNUMBER($H151),($B151-1)-$H151,"n/a")</f>
        <v>18</v>
      </c>
      <c r="K151" s="108">
        <f>IF($B151=2017,IFERROR(INDEX('Team Performance'!$B$241:$B$270,MATCH($A151,'Team Performance'!$A$241:$A$270,0)),"n/a"),IFERROR(INDEX('Team Performance'!$B$6:$K$35,MATCH($A151,'Team Performance'!$A$6:$A$35,0),MATCH(($B151-2)&amp;"-"&amp;RIGHT($B151-1,2),'Team Performance'!$B$5:$K$5,0)),"n/a"))</f>
        <v>56</v>
      </c>
      <c r="L151" s="108">
        <f>IF($B151=2017,IFERROR(INDEX('Team Performance'!$C$241:$C$270,MATCH($A151,'Team Performance'!$A$241:$A$270,0)),"n/a"),IFERROR(INDEX('Team Performance'!$B$39:$K$68,MATCH($A151,'Team Performance'!$A$39:$A$68,0),MATCH(($B151-2)&amp;"-"&amp;RIGHT($B151-1,2),'Team Performance'!$B$38:$K$38,0)),"n/a"))</f>
        <v>26</v>
      </c>
      <c r="M151" s="109">
        <f t="shared" si="5"/>
        <v>0.68292682926829273</v>
      </c>
      <c r="N151" s="108">
        <f>IF($B151=2017,IFERROR(INDEX('Team Performance'!$E$241:$E$270,MATCH($A151,'Team Performance'!$A$241:$A$270,0)),"n/a"),IFERROR(INDEX('Team Performance'!$B$140:$K$169,MATCH($A151,'Team Performance'!$A$140:$A$169,0),MATCH(($B151-2)&amp;"-"&amp;RIGHT($B151-1,2),'Team Performance'!$B$139:$K$139,0)),"n/a"))</f>
        <v>2</v>
      </c>
      <c r="O151" s="110">
        <f>IF($B151=2017,IFERROR(INDEX('Salary Cap'!$B$143:$B$172,MATCH($A151,'Salary Cap'!$A$143:$A$172,0)),"n/a"),IFERROR(INDEX('Salary Cap'!$B$10:$K$39,MATCH($A151,'Salary Cap'!$A$10:$A$39,0),MATCH(""&amp;($B151-1),'Salary Cap'!$B$9:$K$9,0)),"n/a"))</f>
        <v>115994102</v>
      </c>
      <c r="P151" s="115">
        <f>IF($B151=2017,IFERROR(INDEX('Salary Cap'!$C$143:$C$172,MATCH($A151,'Salary Cap'!$A$143:$A$172,0)),"n/a"),IFERROR(INDEX('Salary Cap'!$B$109:$K$138,MATCH($A151,'Salary Cap'!$A$109:$A$138,0),MATCH(""&amp;($B151-1),'Salary Cap'!$B$108:$K$108,0)),"n/a"))</f>
        <v>0</v>
      </c>
      <c r="Q151" s="138">
        <f>IF(OR($B151=2021,$B151=2022),1,0)</f>
        <v>0</v>
      </c>
    </row>
    <row r="152" spans="1:17" x14ac:dyDescent="0.2">
      <c r="A152" s="113" t="str" cm="1">
        <f t="array" ref="A152">INDEX('NBA Valuations'!$A$5:$A$34,INT((ROW()-5)/10)+1)</f>
        <v>Memphis Grizzlies</v>
      </c>
      <c r="B152" s="105">
        <f t="shared" si="4"/>
        <v>2024</v>
      </c>
      <c r="C152" s="106">
        <f>IFERROR(INDEX('NBA Valuations'!$B$5:$K$34,MATCH($A152,'NBA Valuations'!$A$5:$A$34,0),MATCH(""&amp;$B152,'NBA Valuations'!$B$3:$K$3,0)),"n/a")</f>
        <v>2400</v>
      </c>
      <c r="D152" s="106">
        <f>IFERROR(INDEX(Revenue!$B$5:$K$34,MATCH($A152,Revenue!$A$5:$A$34,0),MATCH(""&amp;$B152,Revenue!$B$3:$K$3,0)),"n/a")</f>
        <v>258</v>
      </c>
      <c r="E152" s="106">
        <f>IFERROR(INDEX('Operating Income'!$B$5:$K$34,MATCH($A152,'Operating Income'!$A$5:$A$34,0),MATCH(""&amp;$B152,'Operating Income'!$B$3:$K$3,0)),"n/a")</f>
        <v>51</v>
      </c>
      <c r="F152" s="107">
        <f>IFERROR(INDEX('Market Size'!$L$5:$L$34,MATCH($A152,'Market Size'!$A$5:$A$34,0)),"n/a")</f>
        <v>1346138</v>
      </c>
      <c r="G152" s="108" t="str">
        <f>IFERROR(INDEX('Market Size'!$B$38:$K$67,MATCH($A152,'Market Size'!$A$38:$A$67,0),MATCH(""&amp;($B152-1),'Market Size'!$B$36:$K$36,0)),"n/a")</f>
        <v>n/a</v>
      </c>
      <c r="H152" s="108">
        <f>IFERROR(INDEX(Arena!$B$38:$K$67,MATCH($A152,Arena!$A$38:$A$67,0),MATCH(""&amp;$B152,Arena!$B$36:$K$36,0)),"n/a")</f>
        <v>2004</v>
      </c>
      <c r="I152" s="136" t="str">
        <f>IFERROR(INDEX(Arena!$B$71:$K$100,MATCH($A152,Arena!$A$71:$A$100,0),MATCH(""&amp;$B152,Arena!$B$69:$K$69,0)),"n/a")</f>
        <v>N</v>
      </c>
      <c r="J152" s="137">
        <f>IF(ISNUMBER($H152),($B152-1)-$H152,"n/a")</f>
        <v>19</v>
      </c>
      <c r="K152" s="108">
        <f>IF($B152=2017,IFERROR(INDEX('Team Performance'!$B$241:$B$270,MATCH($A152,'Team Performance'!$A$241:$A$270,0)),"n/a"),IFERROR(INDEX('Team Performance'!$B$6:$K$35,MATCH($A152,'Team Performance'!$A$6:$A$35,0),MATCH(($B152-2)&amp;"-"&amp;RIGHT($B152-1,2),'Team Performance'!$B$5:$K$5,0)),"n/a"))</f>
        <v>51</v>
      </c>
      <c r="L152" s="108">
        <f>IF($B152=2017,IFERROR(INDEX('Team Performance'!$C$241:$C$270,MATCH($A152,'Team Performance'!$A$241:$A$270,0)),"n/a"),IFERROR(INDEX('Team Performance'!$B$39:$K$68,MATCH($A152,'Team Performance'!$A$39:$A$68,0),MATCH(($B152-2)&amp;"-"&amp;RIGHT($B152-1,2),'Team Performance'!$B$38:$K$38,0)),"n/a"))</f>
        <v>31</v>
      </c>
      <c r="M152" s="109">
        <f t="shared" si="5"/>
        <v>0.62195121951219512</v>
      </c>
      <c r="N152" s="108">
        <f>IF($B152=2017,IFERROR(INDEX('Team Performance'!$E$241:$E$270,MATCH($A152,'Team Performance'!$A$241:$A$270,0)),"n/a"),IFERROR(INDEX('Team Performance'!$B$140:$K$169,MATCH($A152,'Team Performance'!$A$140:$A$169,0),MATCH(($B152-2)&amp;"-"&amp;RIGHT($B152-1,2),'Team Performance'!$B$139:$K$139,0)),"n/a"))</f>
        <v>1</v>
      </c>
      <c r="O152" s="110">
        <f>IF($B152=2017,IFERROR(INDEX('Salary Cap'!$B$143:$B$172,MATCH($A152,'Salary Cap'!$A$143:$A$172,0)),"n/a"),IFERROR(INDEX('Salary Cap'!$B$10:$K$39,MATCH($A152,'Salary Cap'!$A$10:$A$39,0),MATCH(""&amp;($B152-1),'Salary Cap'!$B$9:$K$9,0)),"n/a"))</f>
        <v>125666556</v>
      </c>
      <c r="P152" s="115">
        <f>IF($B152=2017,IFERROR(INDEX('Salary Cap'!$C$143:$C$172,MATCH($A152,'Salary Cap'!$A$143:$A$172,0)),"n/a"),IFERROR(INDEX('Salary Cap'!$B$109:$K$138,MATCH($A152,'Salary Cap'!$A$109:$A$138,0),MATCH(""&amp;($B152-1),'Salary Cap'!$B$108:$K$108,0)),"n/a"))</f>
        <v>0</v>
      </c>
      <c r="Q152" s="138">
        <f>IF(OR($B152=2021,$B152=2022),1,0)</f>
        <v>0</v>
      </c>
    </row>
    <row r="153" spans="1:17" x14ac:dyDescent="0.2">
      <c r="A153" s="113" t="str" cm="1">
        <f t="array" ref="A153">INDEX('NBA Valuations'!$A$5:$A$34,INT((ROW()-5)/10)+1)</f>
        <v>Memphis Grizzlies</v>
      </c>
      <c r="B153" s="105">
        <f t="shared" si="4"/>
        <v>2025</v>
      </c>
      <c r="C153" s="106">
        <f>IFERROR(INDEX('NBA Valuations'!$B$5:$K$34,MATCH($A153,'NBA Valuations'!$A$5:$A$34,0),MATCH(""&amp;$B153,'NBA Valuations'!$B$3:$K$3,0)),"n/a")</f>
        <v>3000</v>
      </c>
      <c r="D153" s="106">
        <f>IFERROR(INDEX(Revenue!$B$5:$K$34,MATCH($A153,Revenue!$A$5:$A$34,0),MATCH(""&amp;$B153,Revenue!$B$3:$K$3,0)),"n/a")</f>
        <v>291</v>
      </c>
      <c r="E153" s="106">
        <f>IFERROR(INDEX('Operating Income'!$B$5:$K$34,MATCH($A153,'Operating Income'!$A$5:$A$34,0),MATCH(""&amp;$B153,'Operating Income'!$B$3:$K$3,0)),"n/a")</f>
        <v>44</v>
      </c>
      <c r="F153" s="107">
        <f>IFERROR(INDEX('Market Size'!$L$5:$L$34,MATCH($A153,'Market Size'!$A$5:$A$34,0)),"n/a")</f>
        <v>1346138</v>
      </c>
      <c r="G153" s="108">
        <f>IFERROR(INDEX('Market Size'!$B$38:$K$67,MATCH($A153,'Market Size'!$A$38:$A$67,0),MATCH(""&amp;($B153-1),'Market Size'!$B$36:$K$36,0)),"n/a")</f>
        <v>52</v>
      </c>
      <c r="H153" s="108">
        <f>IFERROR(INDEX(Arena!$B$38:$K$67,MATCH($A153,Arena!$A$38:$A$67,0),MATCH(""&amp;$B153,Arena!$B$36:$K$36,0)),"n/a")</f>
        <v>2004</v>
      </c>
      <c r="I153" s="136" t="str">
        <f>IFERROR(INDEX(Arena!$B$71:$K$100,MATCH($A153,Arena!$A$71:$A$100,0),MATCH(""&amp;$B153,Arena!$B$69:$K$69,0)),"n/a")</f>
        <v>N</v>
      </c>
      <c r="J153" s="137">
        <f>IF(ISNUMBER($H153),($B153-1)-$H153,"n/a")</f>
        <v>20</v>
      </c>
      <c r="K153" s="108">
        <f>IF($B153=2017,IFERROR(INDEX('Team Performance'!$B$241:$B$270,MATCH($A153,'Team Performance'!$A$241:$A$270,0)),"n/a"),IFERROR(INDEX('Team Performance'!$B$6:$K$35,MATCH($A153,'Team Performance'!$A$6:$A$35,0),MATCH(($B153-2)&amp;"-"&amp;RIGHT($B153-1,2),'Team Performance'!$B$5:$K$5,0)),"n/a"))</f>
        <v>27</v>
      </c>
      <c r="L153" s="108">
        <f>IF($B153=2017,IFERROR(INDEX('Team Performance'!$C$241:$C$270,MATCH($A153,'Team Performance'!$A$241:$A$270,0)),"n/a"),IFERROR(INDEX('Team Performance'!$B$39:$K$68,MATCH($A153,'Team Performance'!$A$39:$A$68,0),MATCH(($B153-2)&amp;"-"&amp;RIGHT($B153-1,2),'Team Performance'!$B$38:$K$38,0)),"n/a"))</f>
        <v>55</v>
      </c>
      <c r="M153" s="109">
        <f t="shared" si="5"/>
        <v>0.32926829268292684</v>
      </c>
      <c r="N153" s="108">
        <f>IF($B153=2017,IFERROR(INDEX('Team Performance'!$E$241:$E$270,MATCH($A153,'Team Performance'!$A$241:$A$270,0)),"n/a"),IFERROR(INDEX('Team Performance'!$B$140:$K$169,MATCH($A153,'Team Performance'!$A$140:$A$169,0),MATCH(($B153-2)&amp;"-"&amp;RIGHT($B153-1,2),'Team Performance'!$B$139:$K$139,0)),"n/a"))</f>
        <v>0</v>
      </c>
      <c r="O153" s="110">
        <f>IF($B153=2017,IFERROR(INDEX('Salary Cap'!$B$143:$B$172,MATCH($A153,'Salary Cap'!$A$143:$A$172,0)),"n/a"),IFERROR(INDEX('Salary Cap'!$B$10:$K$39,MATCH($A153,'Salary Cap'!$A$10:$A$39,0),MATCH(""&amp;($B153-1),'Salary Cap'!$B$9:$K$9,0)),"n/a"))</f>
        <v>157895653</v>
      </c>
      <c r="P153" s="115">
        <f>IF($B153=2017,IFERROR(INDEX('Salary Cap'!$C$143:$C$172,MATCH($A153,'Salary Cap'!$A$143:$A$172,0)),"n/a"),IFERROR(INDEX('Salary Cap'!$B$109:$K$138,MATCH($A153,'Salary Cap'!$A$109:$A$138,0),MATCH(""&amp;($B153-1),'Salary Cap'!$B$108:$K$108,0)),"n/a"))</f>
        <v>0</v>
      </c>
      <c r="Q153" s="138">
        <f>IF(OR($B153=2021,$B153=2022),1,0)</f>
        <v>0</v>
      </c>
    </row>
    <row r="154" spans="1:17" x14ac:dyDescent="0.2">
      <c r="A154" s="113" t="str" cm="1">
        <f t="array" ref="A154">INDEX('NBA Valuations'!$A$5:$A$34,INT((ROW()-5)/10)+1)</f>
        <v>Memphis Grizzlies</v>
      </c>
      <c r="B154" s="105">
        <f t="shared" si="4"/>
        <v>2026</v>
      </c>
      <c r="C154" s="106">
        <f>IFERROR(INDEX('NBA Valuations'!$B$5:$K$34,MATCH($A154,'NBA Valuations'!$A$5:$A$34,0),MATCH(""&amp;$B154,'NBA Valuations'!$B$3:$K$3,0)),"n/a")</f>
        <v>3500</v>
      </c>
      <c r="D154" s="106">
        <f>IFERROR(INDEX(Revenue!$B$5:$K$34,MATCH($A154,Revenue!$A$5:$A$34,0),MATCH(""&amp;$B154,Revenue!$B$3:$K$3,0)),"n/a")</f>
        <v>306</v>
      </c>
      <c r="E154" s="106">
        <f>IFERROR(INDEX('Operating Income'!$B$5:$K$34,MATCH($A154,'Operating Income'!$A$5:$A$34,0),MATCH(""&amp;$B154,'Operating Income'!$B$3:$K$3,0)),"n/a")</f>
        <v>28</v>
      </c>
      <c r="F154" s="107">
        <f>IFERROR(INDEX('Market Size'!$L$5:$L$34,MATCH($A154,'Market Size'!$A$5:$A$34,0)),"n/a")</f>
        <v>1346138</v>
      </c>
      <c r="G154" s="108">
        <f>IFERROR(INDEX('Market Size'!$B$38:$K$67,MATCH($A154,'Market Size'!$A$38:$A$67,0),MATCH(""&amp;($B154-1),'Market Size'!$B$36:$K$36,0)),"n/a")</f>
        <v>51</v>
      </c>
      <c r="H154" s="108">
        <f>IFERROR(INDEX(Arena!$B$38:$K$67,MATCH($A154,Arena!$A$38:$A$67,0),MATCH(""&amp;$B154,Arena!$B$36:$K$36,0)),"n/a")</f>
        <v>2004</v>
      </c>
      <c r="I154" s="136" t="str">
        <f>IFERROR(INDEX(Arena!$B$71:$K$100,MATCH($A154,Arena!$A$71:$A$100,0),MATCH(""&amp;$B154,Arena!$B$69:$K$69,0)),"n/a")</f>
        <v>N</v>
      </c>
      <c r="J154" s="137">
        <f>IF(ISNUMBER($H154),($B154-1)-$H154,"n/a")</f>
        <v>21</v>
      </c>
      <c r="K154" s="108">
        <f>IF($B154=2017,IFERROR(INDEX('Team Performance'!$B$241:$B$270,MATCH($A154,'Team Performance'!$A$241:$A$270,0)),"n/a"),IFERROR(INDEX('Team Performance'!$B$6:$K$35,MATCH($A154,'Team Performance'!$A$6:$A$35,0),MATCH(($B154-2)&amp;"-"&amp;RIGHT($B154-1,2),'Team Performance'!$B$5:$K$5,0)),"n/a"))</f>
        <v>48</v>
      </c>
      <c r="L154" s="108">
        <f>IF($B154=2017,IFERROR(INDEX('Team Performance'!$C$241:$C$270,MATCH($A154,'Team Performance'!$A$241:$A$270,0)),"n/a"),IFERROR(INDEX('Team Performance'!$B$39:$K$68,MATCH($A154,'Team Performance'!$A$39:$A$68,0),MATCH(($B154-2)&amp;"-"&amp;RIGHT($B154-1,2),'Team Performance'!$B$38:$K$38,0)),"n/a"))</f>
        <v>34</v>
      </c>
      <c r="M154" s="109">
        <f t="shared" si="5"/>
        <v>0.58536585365853655</v>
      </c>
      <c r="N154" s="108">
        <f>IF($B154=2017,IFERROR(INDEX('Team Performance'!$E$241:$E$270,MATCH($A154,'Team Performance'!$A$241:$A$270,0)),"n/a"),IFERROR(INDEX('Team Performance'!$B$140:$K$169,MATCH($A154,'Team Performance'!$A$140:$A$169,0),MATCH(($B154-2)&amp;"-"&amp;RIGHT($B154-1,2),'Team Performance'!$B$139:$K$139,0)),"n/a"))</f>
        <v>1</v>
      </c>
      <c r="O154" s="110">
        <f>IF($B154=2017,IFERROR(INDEX('Salary Cap'!$B$143:$B$172,MATCH($A154,'Salary Cap'!$A$143:$A$172,0)),"n/a"),IFERROR(INDEX('Salary Cap'!$B$10:$K$39,MATCH($A154,'Salary Cap'!$A$10:$A$39,0),MATCH(""&amp;($B154-1),'Salary Cap'!$B$9:$K$9,0)),"n/a"))</f>
        <v>163865149</v>
      </c>
      <c r="P154" s="115">
        <f>IF($B154=2017,IFERROR(INDEX('Salary Cap'!$C$143:$C$172,MATCH($A154,'Salary Cap'!$A$143:$A$172,0)),"n/a"),IFERROR(INDEX('Salary Cap'!$B$109:$K$138,MATCH($A154,'Salary Cap'!$A$109:$A$138,0),MATCH(""&amp;($B154-1),'Salary Cap'!$B$108:$K$108,0)),"n/a"))</f>
        <v>0</v>
      </c>
      <c r="Q154" s="138">
        <f>IF(OR($B154=2021,$B154=2022),1,0)</f>
        <v>0</v>
      </c>
    </row>
    <row r="155" spans="1:17" x14ac:dyDescent="0.2">
      <c r="A155" s="113" t="str" cm="1">
        <f t="array" ref="A155">INDEX('NBA Valuations'!$A$5:$A$34,INT((ROW()-5)/10)+1)</f>
        <v>Miami Heat</v>
      </c>
      <c r="B155" s="105">
        <f t="shared" si="4"/>
        <v>2017</v>
      </c>
      <c r="C155" s="106">
        <f>IFERROR(INDEX('NBA Valuations'!$B$5:$K$34,MATCH($A155,'NBA Valuations'!$A$5:$A$34,0),MATCH(""&amp;$B155,'NBA Valuations'!$B$3:$K$3,0)),"n/a")</f>
        <v>1400</v>
      </c>
      <c r="D155" s="106">
        <f>IFERROR(INDEX(Revenue!$B$5:$K$34,MATCH($A155,Revenue!$A$5:$A$34,0),MATCH(""&amp;$B155,Revenue!$B$3:$K$3,0)),"n/a")</f>
        <v>210</v>
      </c>
      <c r="E155" s="106">
        <f>IFERROR(INDEX('Operating Income'!$B$5:$K$34,MATCH($A155,'Operating Income'!$A$5:$A$34,0),MATCH(""&amp;$B155,'Operating Income'!$B$3:$K$3,0)),"n/a")</f>
        <v>21.1</v>
      </c>
      <c r="F155" s="107">
        <f>IFERROR(INDEX('Market Size'!$L$5:$L$34,MATCH($A155,'Market Size'!$A$5:$A$34,0)),"n/a")</f>
        <v>6133159</v>
      </c>
      <c r="G155" s="108" t="str">
        <f>IFERROR(INDEX('Market Size'!$B$38:$K$67,MATCH($A155,'Market Size'!$A$38:$A$67,0),MATCH(""&amp;($B155-1),'Market Size'!$B$36:$K$36,0)),"n/a")</f>
        <v>n/a</v>
      </c>
      <c r="H155" s="108">
        <f>IFERROR(INDEX(Arena!$B$38:$K$67,MATCH($A155,Arena!$A$38:$A$67,0),MATCH(""&amp;$B155,Arena!$B$36:$K$36,0)),"n/a")</f>
        <v>1999</v>
      </c>
      <c r="I155" s="136" t="str">
        <f>IFERROR(INDEX(Arena!$B$71:$K$100,MATCH($A155,Arena!$A$71:$A$100,0),MATCH(""&amp;$B155,Arena!$B$69:$K$69,0)),"n/a")</f>
        <v>N</v>
      </c>
      <c r="J155" s="137">
        <f>IF(ISNUMBER($H155),($B155-1)-$H155,"n/a")</f>
        <v>17</v>
      </c>
      <c r="K155" s="108">
        <f>IF($B155=2017,IFERROR(INDEX('Team Performance'!$B$241:$B$270,MATCH($A155,'Team Performance'!$A$241:$A$270,0)),"n/a"),IFERROR(INDEX('Team Performance'!$B$6:$K$35,MATCH($A155,'Team Performance'!$A$6:$A$35,0),MATCH(($B155-2)&amp;"-"&amp;RIGHT($B155-1,2),'Team Performance'!$B$5:$K$5,0)),"n/a"))</f>
        <v>48</v>
      </c>
      <c r="L155" s="108">
        <f>IF($B155=2017,IFERROR(INDEX('Team Performance'!$C$241:$C$270,MATCH($A155,'Team Performance'!$A$241:$A$270,0)),"n/a"),IFERROR(INDEX('Team Performance'!$B$39:$K$68,MATCH($A155,'Team Performance'!$A$39:$A$68,0),MATCH(($B155-2)&amp;"-"&amp;RIGHT($B155-1,2),'Team Performance'!$B$38:$K$38,0)),"n/a"))</f>
        <v>34</v>
      </c>
      <c r="M155" s="109">
        <f t="shared" si="5"/>
        <v>0.58536585365853655</v>
      </c>
      <c r="N155" s="108">
        <f>IF($B155=2017,IFERROR(INDEX('Team Performance'!$E$241:$E$270,MATCH($A155,'Team Performance'!$A$241:$A$270,0)),"n/a"),IFERROR(INDEX('Team Performance'!$B$140:$K$169,MATCH($A155,'Team Performance'!$A$140:$A$169,0),MATCH(($B155-2)&amp;"-"&amp;RIGHT($B155-1,2),'Team Performance'!$B$139:$K$139,0)),"n/a"))</f>
        <v>2</v>
      </c>
      <c r="O155" s="110">
        <f>IF($B155=2017,IFERROR(INDEX('Salary Cap'!$B$143:$B$172,MATCH($A155,'Salary Cap'!$A$143:$A$172,0)),"n/a"),IFERROR(INDEX('Salary Cap'!$B$10:$K$39,MATCH($A155,'Salary Cap'!$A$10:$A$39,0),MATCH(""&amp;($B155-1),'Salary Cap'!$B$9:$K$9,0)),"n/a"))</f>
        <v>84629571</v>
      </c>
      <c r="P155" s="115">
        <f>IF($B155=2017,IFERROR(INDEX('Salary Cap'!$C$143:$C$172,MATCH($A155,'Salary Cap'!$A$143:$A$172,0)),"n/a"),IFERROR(INDEX('Salary Cap'!$B$109:$K$138,MATCH($A155,'Salary Cap'!$A$109:$A$138,0),MATCH(""&amp;($B155-1),'Salary Cap'!$B$108:$K$108,0)),"n/a"))</f>
        <v>0</v>
      </c>
      <c r="Q155" s="138">
        <f>IF(OR($B155=2021,$B155=2022),1,0)</f>
        <v>0</v>
      </c>
    </row>
    <row r="156" spans="1:17" x14ac:dyDescent="0.2">
      <c r="A156" s="113" t="str" cm="1">
        <f t="array" ref="A156">INDEX('NBA Valuations'!$A$5:$A$34,INT((ROW()-5)/10)+1)</f>
        <v>Miami Heat</v>
      </c>
      <c r="B156" s="105">
        <f t="shared" si="4"/>
        <v>2018</v>
      </c>
      <c r="C156" s="106">
        <f>IFERROR(INDEX('NBA Valuations'!$B$5:$K$34,MATCH($A156,'NBA Valuations'!$A$5:$A$34,0),MATCH(""&amp;$B156,'NBA Valuations'!$B$3:$K$3,0)),"n/a")</f>
        <v>1700</v>
      </c>
      <c r="D156" s="106">
        <f>IFERROR(INDEX(Revenue!$B$5:$K$34,MATCH($A156,Revenue!$A$5:$A$34,0),MATCH(""&amp;$B156,Revenue!$B$3:$K$3,0)),"n/a")</f>
        <v>253</v>
      </c>
      <c r="E156" s="106">
        <f>IFERROR(INDEX('Operating Income'!$B$5:$K$34,MATCH($A156,'Operating Income'!$A$5:$A$34,0),MATCH(""&amp;$B156,'Operating Income'!$B$3:$K$3,0)),"n/a")</f>
        <v>63</v>
      </c>
      <c r="F156" s="107">
        <f>IFERROR(INDEX('Market Size'!$L$5:$L$34,MATCH($A156,'Market Size'!$A$5:$A$34,0)),"n/a")</f>
        <v>6133159</v>
      </c>
      <c r="G156" s="108" t="str">
        <f>IFERROR(INDEX('Market Size'!$B$38:$K$67,MATCH($A156,'Market Size'!$A$38:$A$67,0),MATCH(""&amp;($B156-1),'Market Size'!$B$36:$K$36,0)),"n/a")</f>
        <v>n/a</v>
      </c>
      <c r="H156" s="108">
        <f>IFERROR(INDEX(Arena!$B$38:$K$67,MATCH($A156,Arena!$A$38:$A$67,0),MATCH(""&amp;$B156,Arena!$B$36:$K$36,0)),"n/a")</f>
        <v>1999</v>
      </c>
      <c r="I156" s="136" t="str">
        <f>IFERROR(INDEX(Arena!$B$71:$K$100,MATCH($A156,Arena!$A$71:$A$100,0),MATCH(""&amp;$B156,Arena!$B$69:$K$69,0)),"n/a")</f>
        <v>N</v>
      </c>
      <c r="J156" s="137">
        <f>IF(ISNUMBER($H156),($B156-1)-$H156,"n/a")</f>
        <v>18</v>
      </c>
      <c r="K156" s="108">
        <f>IF($B156=2017,IFERROR(INDEX('Team Performance'!$B$241:$B$270,MATCH($A156,'Team Performance'!$A$241:$A$270,0)),"n/a"),IFERROR(INDEX('Team Performance'!$B$6:$K$35,MATCH($A156,'Team Performance'!$A$6:$A$35,0),MATCH(($B156-2)&amp;"-"&amp;RIGHT($B156-1,2),'Team Performance'!$B$5:$K$5,0)),"n/a"))</f>
        <v>41</v>
      </c>
      <c r="L156" s="108">
        <f>IF($B156=2017,IFERROR(INDEX('Team Performance'!$C$241:$C$270,MATCH($A156,'Team Performance'!$A$241:$A$270,0)),"n/a"),IFERROR(INDEX('Team Performance'!$B$39:$K$68,MATCH($A156,'Team Performance'!$A$39:$A$68,0),MATCH(($B156-2)&amp;"-"&amp;RIGHT($B156-1,2),'Team Performance'!$B$38:$K$38,0)),"n/a"))</f>
        <v>41</v>
      </c>
      <c r="M156" s="109">
        <f t="shared" si="5"/>
        <v>0.5</v>
      </c>
      <c r="N156" s="108">
        <f>IF($B156=2017,IFERROR(INDEX('Team Performance'!$E$241:$E$270,MATCH($A156,'Team Performance'!$A$241:$A$270,0)),"n/a"),IFERROR(INDEX('Team Performance'!$B$140:$K$169,MATCH($A156,'Team Performance'!$A$140:$A$169,0),MATCH(($B156-2)&amp;"-"&amp;RIGHT($B156-1,2),'Team Performance'!$B$139:$K$139,0)),"n/a"))</f>
        <v>0</v>
      </c>
      <c r="O156" s="110">
        <f>IF($B156=2017,IFERROR(INDEX('Salary Cap'!$B$143:$B$172,MATCH($A156,'Salary Cap'!$A$143:$A$172,0)),"n/a"),IFERROR(INDEX('Salary Cap'!$B$10:$K$39,MATCH($A156,'Salary Cap'!$A$10:$A$39,0),MATCH(""&amp;($B156-1),'Salary Cap'!$B$9:$K$9,0)),"n/a"))</f>
        <v>101846108</v>
      </c>
      <c r="P156" s="115">
        <f>IF($B156=2017,IFERROR(INDEX('Salary Cap'!$C$143:$C$172,MATCH($A156,'Salary Cap'!$A$143:$A$172,0)),"n/a"),IFERROR(INDEX('Salary Cap'!$B$109:$K$138,MATCH($A156,'Salary Cap'!$A$109:$A$138,0),MATCH(""&amp;($B156-1),'Salary Cap'!$B$108:$K$108,0)),"n/a"))</f>
        <v>0</v>
      </c>
      <c r="Q156" s="138">
        <f>IF(OR($B156=2021,$B156=2022),1,0)</f>
        <v>0</v>
      </c>
    </row>
    <row r="157" spans="1:17" x14ac:dyDescent="0.2">
      <c r="A157" s="113" t="str" cm="1">
        <f t="array" ref="A157">INDEX('NBA Valuations'!$A$5:$A$34,INT((ROW()-5)/10)+1)</f>
        <v>Miami Heat</v>
      </c>
      <c r="B157" s="105">
        <f t="shared" si="4"/>
        <v>2019</v>
      </c>
      <c r="C157" s="106">
        <f>IFERROR(INDEX('NBA Valuations'!$B$5:$K$34,MATCH($A157,'NBA Valuations'!$A$5:$A$34,0),MATCH(""&amp;$B157,'NBA Valuations'!$B$3:$K$3,0)),"n/a")</f>
        <v>1800</v>
      </c>
      <c r="D157" s="106">
        <f>IFERROR(INDEX(Revenue!$B$5:$K$34,MATCH($A157,Revenue!$A$5:$A$34,0),MATCH(""&amp;$B157,Revenue!$B$3:$K$3,0)),"n/a")</f>
        <v>259</v>
      </c>
      <c r="E157" s="106">
        <f>IFERROR(INDEX('Operating Income'!$B$5:$K$34,MATCH($A157,'Operating Income'!$A$5:$A$34,0),MATCH(""&amp;$B157,'Operating Income'!$B$3:$K$3,0)),"n/a")</f>
        <v>40</v>
      </c>
      <c r="F157" s="107">
        <f>IFERROR(INDEX('Market Size'!$L$5:$L$34,MATCH($A157,'Market Size'!$A$5:$A$34,0)),"n/a")</f>
        <v>6133159</v>
      </c>
      <c r="G157" s="108" t="str">
        <f>IFERROR(INDEX('Market Size'!$B$38:$K$67,MATCH($A157,'Market Size'!$A$38:$A$67,0),MATCH(""&amp;($B157-1),'Market Size'!$B$36:$K$36,0)),"n/a")</f>
        <v>n/a</v>
      </c>
      <c r="H157" s="108">
        <f>IFERROR(INDEX(Arena!$B$38:$K$67,MATCH($A157,Arena!$A$38:$A$67,0),MATCH(""&amp;$B157,Arena!$B$36:$K$36,0)),"n/a")</f>
        <v>1999</v>
      </c>
      <c r="I157" s="136" t="str">
        <f>IFERROR(INDEX(Arena!$B$71:$K$100,MATCH($A157,Arena!$A$71:$A$100,0),MATCH(""&amp;$B157,Arena!$B$69:$K$69,0)),"n/a")</f>
        <v>N</v>
      </c>
      <c r="J157" s="137">
        <f>IF(ISNUMBER($H157),($B157-1)-$H157,"n/a")</f>
        <v>19</v>
      </c>
      <c r="K157" s="108">
        <f>IF($B157=2017,IFERROR(INDEX('Team Performance'!$B$241:$B$270,MATCH($A157,'Team Performance'!$A$241:$A$270,0)),"n/a"),IFERROR(INDEX('Team Performance'!$B$6:$K$35,MATCH($A157,'Team Performance'!$A$6:$A$35,0),MATCH(($B157-2)&amp;"-"&amp;RIGHT($B157-1,2),'Team Performance'!$B$5:$K$5,0)),"n/a"))</f>
        <v>44</v>
      </c>
      <c r="L157" s="108">
        <f>IF($B157=2017,IFERROR(INDEX('Team Performance'!$C$241:$C$270,MATCH($A157,'Team Performance'!$A$241:$A$270,0)),"n/a"),IFERROR(INDEX('Team Performance'!$B$39:$K$68,MATCH($A157,'Team Performance'!$A$39:$A$68,0),MATCH(($B157-2)&amp;"-"&amp;RIGHT($B157-1,2),'Team Performance'!$B$38:$K$38,0)),"n/a"))</f>
        <v>38</v>
      </c>
      <c r="M157" s="109">
        <f t="shared" si="5"/>
        <v>0.53658536585365857</v>
      </c>
      <c r="N157" s="108">
        <f>IF($B157=2017,IFERROR(INDEX('Team Performance'!$E$241:$E$270,MATCH($A157,'Team Performance'!$A$241:$A$270,0)),"n/a"),IFERROR(INDEX('Team Performance'!$B$140:$K$169,MATCH($A157,'Team Performance'!$A$140:$A$169,0),MATCH(($B157-2)&amp;"-"&amp;RIGHT($B157-1,2),'Team Performance'!$B$139:$K$139,0)),"n/a"))</f>
        <v>1</v>
      </c>
      <c r="O157" s="110">
        <f>IF($B157=2017,IFERROR(INDEX('Salary Cap'!$B$143:$B$172,MATCH($A157,'Salary Cap'!$A$143:$A$172,0)),"n/a"),IFERROR(INDEX('Salary Cap'!$B$10:$K$39,MATCH($A157,'Salary Cap'!$A$10:$A$39,0),MATCH(""&amp;($B157-1),'Salary Cap'!$B$9:$K$9,0)),"n/a"))</f>
        <v>105065917</v>
      </c>
      <c r="P157" s="115">
        <f>IF($B157=2017,IFERROR(INDEX('Salary Cap'!$C$143:$C$172,MATCH($A157,'Salary Cap'!$A$143:$A$172,0)),"n/a"),IFERROR(INDEX('Salary Cap'!$B$109:$K$138,MATCH($A157,'Salary Cap'!$A$109:$A$138,0),MATCH(""&amp;($B157-1),'Salary Cap'!$B$108:$K$108,0)),"n/a"))</f>
        <v>0</v>
      </c>
      <c r="Q157" s="138">
        <f>IF(OR($B157=2021,$B157=2022),1,0)</f>
        <v>0</v>
      </c>
    </row>
    <row r="158" spans="1:17" x14ac:dyDescent="0.2">
      <c r="A158" s="113" t="str" cm="1">
        <f t="array" ref="A158">INDEX('NBA Valuations'!$A$5:$A$34,INT((ROW()-5)/10)+1)</f>
        <v>Miami Heat</v>
      </c>
      <c r="B158" s="105">
        <f t="shared" si="4"/>
        <v>2020</v>
      </c>
      <c r="C158" s="106">
        <f>IFERROR(INDEX('NBA Valuations'!$B$5:$K$34,MATCH($A158,'NBA Valuations'!$A$5:$A$34,0),MATCH(""&amp;$B158,'NBA Valuations'!$B$3:$K$3,0)),"n/a")</f>
        <v>2000</v>
      </c>
      <c r="D158" s="106">
        <f>IFERROR(INDEX(Revenue!$B$5:$K$34,MATCH($A158,Revenue!$A$5:$A$34,0),MATCH(""&amp;$B158,Revenue!$B$3:$K$3,0)),"n/a")</f>
        <v>294</v>
      </c>
      <c r="E158" s="106">
        <f>IFERROR(INDEX('Operating Income'!$B$5:$K$34,MATCH($A158,'Operating Income'!$A$5:$A$34,0),MATCH(""&amp;$B158,'Operating Income'!$B$3:$K$3,0)),"n/a")</f>
        <v>58</v>
      </c>
      <c r="F158" s="107">
        <f>IFERROR(INDEX('Market Size'!$L$5:$L$34,MATCH($A158,'Market Size'!$A$5:$A$34,0)),"n/a")</f>
        <v>6133159</v>
      </c>
      <c r="G158" s="108" t="str">
        <f>IFERROR(INDEX('Market Size'!$B$38:$K$67,MATCH($A158,'Market Size'!$A$38:$A$67,0),MATCH(""&amp;($B158-1),'Market Size'!$B$36:$K$36,0)),"n/a")</f>
        <v>n/a</v>
      </c>
      <c r="H158" s="108">
        <f>IFERROR(INDEX(Arena!$B$38:$K$67,MATCH($A158,Arena!$A$38:$A$67,0),MATCH(""&amp;$B158,Arena!$B$36:$K$36,0)),"n/a")</f>
        <v>1999</v>
      </c>
      <c r="I158" s="136" t="str">
        <f>IFERROR(INDEX(Arena!$B$71:$K$100,MATCH($A158,Arena!$A$71:$A$100,0),MATCH(""&amp;$B158,Arena!$B$69:$K$69,0)),"n/a")</f>
        <v>N</v>
      </c>
      <c r="J158" s="137">
        <f>IF(ISNUMBER($H158),($B158-1)-$H158,"n/a")</f>
        <v>20</v>
      </c>
      <c r="K158" s="108">
        <f>IF($B158=2017,IFERROR(INDEX('Team Performance'!$B$241:$B$270,MATCH($A158,'Team Performance'!$A$241:$A$270,0)),"n/a"),IFERROR(INDEX('Team Performance'!$B$6:$K$35,MATCH($A158,'Team Performance'!$A$6:$A$35,0),MATCH(($B158-2)&amp;"-"&amp;RIGHT($B158-1,2),'Team Performance'!$B$5:$K$5,0)),"n/a"))</f>
        <v>39</v>
      </c>
      <c r="L158" s="108">
        <f>IF($B158=2017,IFERROR(INDEX('Team Performance'!$C$241:$C$270,MATCH($A158,'Team Performance'!$A$241:$A$270,0)),"n/a"),IFERROR(INDEX('Team Performance'!$B$39:$K$68,MATCH($A158,'Team Performance'!$A$39:$A$68,0),MATCH(($B158-2)&amp;"-"&amp;RIGHT($B158-1,2),'Team Performance'!$B$38:$K$38,0)),"n/a"))</f>
        <v>43</v>
      </c>
      <c r="M158" s="109">
        <f t="shared" si="5"/>
        <v>0.47560975609756095</v>
      </c>
      <c r="N158" s="108">
        <f>IF($B158=2017,IFERROR(INDEX('Team Performance'!$E$241:$E$270,MATCH($A158,'Team Performance'!$A$241:$A$270,0)),"n/a"),IFERROR(INDEX('Team Performance'!$B$140:$K$169,MATCH($A158,'Team Performance'!$A$140:$A$169,0),MATCH(($B158-2)&amp;"-"&amp;RIGHT($B158-1,2),'Team Performance'!$B$139:$K$139,0)),"n/a"))</f>
        <v>0</v>
      </c>
      <c r="O158" s="110">
        <f>IF($B158=2017,IFERROR(INDEX('Salary Cap'!$B$143:$B$172,MATCH($A158,'Salary Cap'!$A$143:$A$172,0)),"n/a"),IFERROR(INDEX('Salary Cap'!$B$10:$K$39,MATCH($A158,'Salary Cap'!$A$10:$A$39,0),MATCH(""&amp;($B158-1),'Salary Cap'!$B$9:$K$9,0)),"n/a"))</f>
        <v>123178641</v>
      </c>
      <c r="P158" s="115">
        <f>IF($B158=2017,IFERROR(INDEX('Salary Cap'!$C$143:$C$172,MATCH($A158,'Salary Cap'!$A$143:$A$172,0)),"n/a"),IFERROR(INDEX('Salary Cap'!$B$109:$K$138,MATCH($A158,'Salary Cap'!$A$109:$A$138,0),MATCH(""&amp;($B158-1),'Salary Cap'!$B$108:$K$108,0)),"n/a"))</f>
        <v>0</v>
      </c>
      <c r="Q158" s="138">
        <f>IF(OR($B158=2021,$B158=2022),1,0)</f>
        <v>0</v>
      </c>
    </row>
    <row r="159" spans="1:17" x14ac:dyDescent="0.2">
      <c r="A159" s="113" t="str" cm="1">
        <f t="array" ref="A159">INDEX('NBA Valuations'!$A$5:$A$34,INT((ROW()-5)/10)+1)</f>
        <v>Miami Heat</v>
      </c>
      <c r="B159" s="105">
        <f t="shared" si="4"/>
        <v>2021</v>
      </c>
      <c r="C159" s="106">
        <f>IFERROR(INDEX('NBA Valuations'!$B$5:$K$34,MATCH($A159,'NBA Valuations'!$A$5:$A$34,0),MATCH(""&amp;$B159,'NBA Valuations'!$B$3:$K$3,0)),"n/a")</f>
        <v>2000</v>
      </c>
      <c r="D159" s="106">
        <f>IFERROR(INDEX(Revenue!$B$5:$K$34,MATCH($A159,Revenue!$A$5:$A$34,0),MATCH(""&amp;$B159,Revenue!$B$3:$K$3,0)),"n/a")</f>
        <v>266</v>
      </c>
      <c r="E159" s="106">
        <f>IFERROR(INDEX('Operating Income'!$B$5:$K$34,MATCH($A159,'Operating Income'!$A$5:$A$34,0),MATCH(""&amp;$B159,'Operating Income'!$B$3:$K$3,0)),"n/a")</f>
        <v>38</v>
      </c>
      <c r="F159" s="107">
        <f>IFERROR(INDEX('Market Size'!$L$5:$L$34,MATCH($A159,'Market Size'!$A$5:$A$34,0)),"n/a")</f>
        <v>6133159</v>
      </c>
      <c r="G159" s="108" t="str">
        <f>IFERROR(INDEX('Market Size'!$B$38:$K$67,MATCH($A159,'Market Size'!$A$38:$A$67,0),MATCH(""&amp;($B159-1),'Market Size'!$B$36:$K$36,0)),"n/a")</f>
        <v>n/a</v>
      </c>
      <c r="H159" s="108">
        <f>IFERROR(INDEX(Arena!$B$38:$K$67,MATCH($A159,Arena!$A$38:$A$67,0),MATCH(""&amp;$B159,Arena!$B$36:$K$36,0)),"n/a")</f>
        <v>1999</v>
      </c>
      <c r="I159" s="136" t="str">
        <f>IFERROR(INDEX(Arena!$B$71:$K$100,MATCH($A159,Arena!$A$71:$A$100,0),MATCH(""&amp;$B159,Arena!$B$69:$K$69,0)),"n/a")</f>
        <v>N</v>
      </c>
      <c r="J159" s="137">
        <f>IF(ISNUMBER($H159),($B159-1)-$H159,"n/a")</f>
        <v>21</v>
      </c>
      <c r="K159" s="108">
        <f>IF($B159=2017,IFERROR(INDEX('Team Performance'!$B$241:$B$270,MATCH($A159,'Team Performance'!$A$241:$A$270,0)),"n/a"),IFERROR(INDEX('Team Performance'!$B$6:$K$35,MATCH($A159,'Team Performance'!$A$6:$A$35,0),MATCH(($B159-2)&amp;"-"&amp;RIGHT($B159-1,2),'Team Performance'!$B$5:$K$5,0)),"n/a"))</f>
        <v>44</v>
      </c>
      <c r="L159" s="108">
        <f>IF($B159=2017,IFERROR(INDEX('Team Performance'!$C$241:$C$270,MATCH($A159,'Team Performance'!$A$241:$A$270,0)),"n/a"),IFERROR(INDEX('Team Performance'!$B$39:$K$68,MATCH($A159,'Team Performance'!$A$39:$A$68,0),MATCH(($B159-2)&amp;"-"&amp;RIGHT($B159-1,2),'Team Performance'!$B$38:$K$38,0)),"n/a"))</f>
        <v>29</v>
      </c>
      <c r="M159" s="109">
        <f t="shared" si="5"/>
        <v>0.60273972602739723</v>
      </c>
      <c r="N159" s="108">
        <f>IF($B159=2017,IFERROR(INDEX('Team Performance'!$E$241:$E$270,MATCH($A159,'Team Performance'!$A$241:$A$270,0)),"n/a"),IFERROR(INDEX('Team Performance'!$B$140:$K$169,MATCH($A159,'Team Performance'!$A$140:$A$169,0),MATCH(($B159-2)&amp;"-"&amp;RIGHT($B159-1,2),'Team Performance'!$B$139:$K$139,0)),"n/a"))</f>
        <v>4</v>
      </c>
      <c r="O159" s="110">
        <f>IF($B159=2017,IFERROR(INDEX('Salary Cap'!$B$143:$B$172,MATCH($A159,'Salary Cap'!$A$143:$A$172,0)),"n/a"),IFERROR(INDEX('Salary Cap'!$B$10:$K$39,MATCH($A159,'Salary Cap'!$A$10:$A$39,0),MATCH(""&amp;($B159-1),'Salary Cap'!$B$9:$K$9,0)),"n/a"))</f>
        <v>134615772</v>
      </c>
      <c r="P159" s="115">
        <f>IF($B159=2017,IFERROR(INDEX('Salary Cap'!$C$143:$C$172,MATCH($A159,'Salary Cap'!$A$143:$A$172,0)),"n/a"),IFERROR(INDEX('Salary Cap'!$B$109:$K$138,MATCH($A159,'Salary Cap'!$A$109:$A$138,0),MATCH(""&amp;($B159-1),'Salary Cap'!$B$108:$K$108,0)),"n/a"))</f>
        <v>2461242</v>
      </c>
      <c r="Q159" s="138">
        <f>IF(OR($B159=2021,$B159=2022),1,0)</f>
        <v>1</v>
      </c>
    </row>
    <row r="160" spans="1:17" x14ac:dyDescent="0.2">
      <c r="A160" s="113" t="str" cm="1">
        <f t="array" ref="A160">INDEX('NBA Valuations'!$A$5:$A$34,INT((ROW()-5)/10)+1)</f>
        <v>Miami Heat</v>
      </c>
      <c r="B160" s="105">
        <f t="shared" si="4"/>
        <v>2022</v>
      </c>
      <c r="C160" s="106">
        <f>IFERROR(INDEX('NBA Valuations'!$B$5:$K$34,MATCH($A160,'NBA Valuations'!$A$5:$A$34,0),MATCH(""&amp;$B160,'NBA Valuations'!$B$3:$K$3,0)),"n/a")</f>
        <v>2300</v>
      </c>
      <c r="D160" s="106">
        <f>IFERROR(INDEX(Revenue!$B$5:$K$34,MATCH($A160,Revenue!$A$5:$A$34,0),MATCH(""&amp;$B160,Revenue!$B$3:$K$3,0)),"n/a")</f>
        <v>218</v>
      </c>
      <c r="E160" s="106">
        <f>IFERROR(INDEX('Operating Income'!$B$5:$K$34,MATCH($A160,'Operating Income'!$A$5:$A$34,0),MATCH(""&amp;$B160,'Operating Income'!$B$3:$K$3,0)),"n/a")</f>
        <v>16</v>
      </c>
      <c r="F160" s="107">
        <f>IFERROR(INDEX('Market Size'!$L$5:$L$34,MATCH($A160,'Market Size'!$A$5:$A$34,0)),"n/a")</f>
        <v>6133159</v>
      </c>
      <c r="G160" s="108" t="str">
        <f>IFERROR(INDEX('Market Size'!$B$38:$K$67,MATCH($A160,'Market Size'!$A$38:$A$67,0),MATCH(""&amp;($B160-1),'Market Size'!$B$36:$K$36,0)),"n/a")</f>
        <v>n/a</v>
      </c>
      <c r="H160" s="108">
        <f>IFERROR(INDEX(Arena!$B$38:$K$67,MATCH($A160,Arena!$A$38:$A$67,0),MATCH(""&amp;$B160,Arena!$B$36:$K$36,0)),"n/a")</f>
        <v>1999</v>
      </c>
      <c r="I160" s="136" t="str">
        <f>IFERROR(INDEX(Arena!$B$71:$K$100,MATCH($A160,Arena!$A$71:$A$100,0),MATCH(""&amp;$B160,Arena!$B$69:$K$69,0)),"n/a")</f>
        <v>N</v>
      </c>
      <c r="J160" s="137">
        <f>IF(ISNUMBER($H160),($B160-1)-$H160,"n/a")</f>
        <v>22</v>
      </c>
      <c r="K160" s="108">
        <f>IF($B160=2017,IFERROR(INDEX('Team Performance'!$B$241:$B$270,MATCH($A160,'Team Performance'!$A$241:$A$270,0)),"n/a"),IFERROR(INDEX('Team Performance'!$B$6:$K$35,MATCH($A160,'Team Performance'!$A$6:$A$35,0),MATCH(($B160-2)&amp;"-"&amp;RIGHT($B160-1,2),'Team Performance'!$B$5:$K$5,0)),"n/a"))</f>
        <v>40</v>
      </c>
      <c r="L160" s="108">
        <f>IF($B160=2017,IFERROR(INDEX('Team Performance'!$C$241:$C$270,MATCH($A160,'Team Performance'!$A$241:$A$270,0)),"n/a"),IFERROR(INDEX('Team Performance'!$B$39:$K$68,MATCH($A160,'Team Performance'!$A$39:$A$68,0),MATCH(($B160-2)&amp;"-"&amp;RIGHT($B160-1,2),'Team Performance'!$B$38:$K$38,0)),"n/a"))</f>
        <v>32</v>
      </c>
      <c r="M160" s="109">
        <f t="shared" si="5"/>
        <v>0.55555555555555558</v>
      </c>
      <c r="N160" s="108">
        <f>IF($B160=2017,IFERROR(INDEX('Team Performance'!$E$241:$E$270,MATCH($A160,'Team Performance'!$A$241:$A$270,0)),"n/a"),IFERROR(INDEX('Team Performance'!$B$140:$K$169,MATCH($A160,'Team Performance'!$A$140:$A$169,0),MATCH(($B160-2)&amp;"-"&amp;RIGHT($B160-1,2),'Team Performance'!$B$139:$K$139,0)),"n/a"))</f>
        <v>1</v>
      </c>
      <c r="O160" s="110">
        <f>IF($B160=2017,IFERROR(INDEX('Salary Cap'!$B$143:$B$172,MATCH($A160,'Salary Cap'!$A$143:$A$172,0)),"n/a"),IFERROR(INDEX('Salary Cap'!$B$10:$K$39,MATCH($A160,'Salary Cap'!$A$10:$A$39,0),MATCH(""&amp;($B160-1),'Salary Cap'!$B$9:$K$9,0)),"n/a"))</f>
        <v>132346118</v>
      </c>
      <c r="P160" s="115">
        <f>IF($B160=2017,IFERROR(INDEX('Salary Cap'!$C$143:$C$172,MATCH($A160,'Salary Cap'!$A$143:$A$172,0)),"n/a"),IFERROR(INDEX('Salary Cap'!$B$109:$K$138,MATCH($A160,'Salary Cap'!$A$109:$A$138,0),MATCH(""&amp;($B160-1),'Salary Cap'!$B$108:$K$108,0)),"n/a"))</f>
        <v>0</v>
      </c>
      <c r="Q160" s="138">
        <f>IF(OR($B160=2021,$B160=2022),1,0)</f>
        <v>1</v>
      </c>
    </row>
    <row r="161" spans="1:17" x14ac:dyDescent="0.2">
      <c r="A161" s="113" t="str" cm="1">
        <f t="array" ref="A161">INDEX('NBA Valuations'!$A$5:$A$34,INT((ROW()-5)/10)+1)</f>
        <v>Miami Heat</v>
      </c>
      <c r="B161" s="105">
        <f t="shared" si="4"/>
        <v>2023</v>
      </c>
      <c r="C161" s="106">
        <f>IFERROR(INDEX('NBA Valuations'!$B$5:$K$34,MATCH($A161,'NBA Valuations'!$A$5:$A$34,0),MATCH(""&amp;$B161,'NBA Valuations'!$B$3:$K$3,0)),"n/a")</f>
        <v>3000</v>
      </c>
      <c r="D161" s="106">
        <f>IFERROR(INDEX(Revenue!$B$5:$K$34,MATCH($A161,Revenue!$A$5:$A$34,0),MATCH(""&amp;$B161,Revenue!$B$3:$K$3,0)),"n/a")</f>
        <v>326</v>
      </c>
      <c r="E161" s="106">
        <f>IFERROR(INDEX('Operating Income'!$B$5:$K$34,MATCH($A161,'Operating Income'!$A$5:$A$34,0),MATCH(""&amp;$B161,'Operating Income'!$B$3:$K$3,0)),"n/a")</f>
        <v>83</v>
      </c>
      <c r="F161" s="107">
        <f>IFERROR(INDEX('Market Size'!$L$5:$L$34,MATCH($A161,'Market Size'!$A$5:$A$34,0)),"n/a")</f>
        <v>6133159</v>
      </c>
      <c r="G161" s="108" t="str">
        <f>IFERROR(INDEX('Market Size'!$B$38:$K$67,MATCH($A161,'Market Size'!$A$38:$A$67,0),MATCH(""&amp;($B161-1),'Market Size'!$B$36:$K$36,0)),"n/a")</f>
        <v>n/a</v>
      </c>
      <c r="H161" s="108">
        <f>IFERROR(INDEX(Arena!$B$38:$K$67,MATCH($A161,Arena!$A$38:$A$67,0),MATCH(""&amp;$B161,Arena!$B$36:$K$36,0)),"n/a")</f>
        <v>1999</v>
      </c>
      <c r="I161" s="136" t="str">
        <f>IFERROR(INDEX(Arena!$B$71:$K$100,MATCH($A161,Arena!$A$71:$A$100,0),MATCH(""&amp;$B161,Arena!$B$69:$K$69,0)),"n/a")</f>
        <v>N</v>
      </c>
      <c r="J161" s="137">
        <f>IF(ISNUMBER($H161),($B161-1)-$H161,"n/a")</f>
        <v>23</v>
      </c>
      <c r="K161" s="108">
        <f>IF($B161=2017,IFERROR(INDEX('Team Performance'!$B$241:$B$270,MATCH($A161,'Team Performance'!$A$241:$A$270,0)),"n/a"),IFERROR(INDEX('Team Performance'!$B$6:$K$35,MATCH($A161,'Team Performance'!$A$6:$A$35,0),MATCH(($B161-2)&amp;"-"&amp;RIGHT($B161-1,2),'Team Performance'!$B$5:$K$5,0)),"n/a"))</f>
        <v>53</v>
      </c>
      <c r="L161" s="108">
        <f>IF($B161=2017,IFERROR(INDEX('Team Performance'!$C$241:$C$270,MATCH($A161,'Team Performance'!$A$241:$A$270,0)),"n/a"),IFERROR(INDEX('Team Performance'!$B$39:$K$68,MATCH($A161,'Team Performance'!$A$39:$A$68,0),MATCH(($B161-2)&amp;"-"&amp;RIGHT($B161-1,2),'Team Performance'!$B$38:$K$38,0)),"n/a"))</f>
        <v>29</v>
      </c>
      <c r="M161" s="109">
        <f t="shared" si="5"/>
        <v>0.64634146341463417</v>
      </c>
      <c r="N161" s="108">
        <f>IF($B161=2017,IFERROR(INDEX('Team Performance'!$E$241:$E$270,MATCH($A161,'Team Performance'!$A$241:$A$270,0)),"n/a"),IFERROR(INDEX('Team Performance'!$B$140:$K$169,MATCH($A161,'Team Performance'!$A$140:$A$169,0),MATCH(($B161-2)&amp;"-"&amp;RIGHT($B161-1,2),'Team Performance'!$B$139:$K$139,0)),"n/a"))</f>
        <v>3</v>
      </c>
      <c r="O161" s="110">
        <f>IF($B161=2017,IFERROR(INDEX('Salary Cap'!$B$143:$B$172,MATCH($A161,'Salary Cap'!$A$143:$A$172,0)),"n/a"),IFERROR(INDEX('Salary Cap'!$B$10:$K$39,MATCH($A161,'Salary Cap'!$A$10:$A$39,0),MATCH(""&amp;($B161-1),'Salary Cap'!$B$9:$K$9,0)),"n/a"))</f>
        <v>135522461</v>
      </c>
      <c r="P161" s="115">
        <f>IF($B161=2017,IFERROR(INDEX('Salary Cap'!$C$143:$C$172,MATCH($A161,'Salary Cap'!$A$143:$A$172,0)),"n/a"),IFERROR(INDEX('Salary Cap'!$B$109:$K$138,MATCH($A161,'Salary Cap'!$A$109:$A$138,0),MATCH(""&amp;($B161-1),'Salary Cap'!$B$108:$K$108,0)),"n/a"))</f>
        <v>0</v>
      </c>
      <c r="Q161" s="138">
        <f>IF(OR($B161=2021,$B161=2022),1,0)</f>
        <v>0</v>
      </c>
    </row>
    <row r="162" spans="1:17" x14ac:dyDescent="0.2">
      <c r="A162" s="113" t="str" cm="1">
        <f t="array" ref="A162">INDEX('NBA Valuations'!$A$5:$A$34,INT((ROW()-5)/10)+1)</f>
        <v>Miami Heat</v>
      </c>
      <c r="B162" s="105">
        <f t="shared" si="4"/>
        <v>2024</v>
      </c>
      <c r="C162" s="106">
        <f>IFERROR(INDEX('NBA Valuations'!$B$5:$K$34,MATCH($A162,'NBA Valuations'!$A$5:$A$34,0),MATCH(""&amp;$B162,'NBA Valuations'!$B$3:$K$3,0)),"n/a")</f>
        <v>3900</v>
      </c>
      <c r="D162" s="106">
        <f>IFERROR(INDEX(Revenue!$B$5:$K$34,MATCH($A162,Revenue!$A$5:$A$34,0),MATCH(""&amp;$B162,Revenue!$B$3:$K$3,0)),"n/a")</f>
        <v>371</v>
      </c>
      <c r="E162" s="106">
        <f>IFERROR(INDEX('Operating Income'!$B$5:$K$34,MATCH($A162,'Operating Income'!$A$5:$A$34,0),MATCH(""&amp;$B162,'Operating Income'!$B$3:$K$3,0)),"n/a")</f>
        <v>108</v>
      </c>
      <c r="F162" s="107">
        <f>IFERROR(INDEX('Market Size'!$L$5:$L$34,MATCH($A162,'Market Size'!$A$5:$A$34,0)),"n/a")</f>
        <v>6133159</v>
      </c>
      <c r="G162" s="108" t="str">
        <f>IFERROR(INDEX('Market Size'!$B$38:$K$67,MATCH($A162,'Market Size'!$A$38:$A$67,0),MATCH(""&amp;($B162-1),'Market Size'!$B$36:$K$36,0)),"n/a")</f>
        <v>n/a</v>
      </c>
      <c r="H162" s="108">
        <f>IFERROR(INDEX(Arena!$B$38:$K$67,MATCH($A162,Arena!$A$38:$A$67,0),MATCH(""&amp;$B162,Arena!$B$36:$K$36,0)),"n/a")</f>
        <v>1999</v>
      </c>
      <c r="I162" s="136" t="str">
        <f>IFERROR(INDEX(Arena!$B$71:$K$100,MATCH($A162,Arena!$A$71:$A$100,0),MATCH(""&amp;$B162,Arena!$B$69:$K$69,0)),"n/a")</f>
        <v>N</v>
      </c>
      <c r="J162" s="137">
        <f>IF(ISNUMBER($H162),($B162-1)-$H162,"n/a")</f>
        <v>24</v>
      </c>
      <c r="K162" s="108">
        <f>IF($B162=2017,IFERROR(INDEX('Team Performance'!$B$241:$B$270,MATCH($A162,'Team Performance'!$A$241:$A$270,0)),"n/a"),IFERROR(INDEX('Team Performance'!$B$6:$K$35,MATCH($A162,'Team Performance'!$A$6:$A$35,0),MATCH(($B162-2)&amp;"-"&amp;RIGHT($B162-1,2),'Team Performance'!$B$5:$K$5,0)),"n/a"))</f>
        <v>44</v>
      </c>
      <c r="L162" s="108">
        <f>IF($B162=2017,IFERROR(INDEX('Team Performance'!$C$241:$C$270,MATCH($A162,'Team Performance'!$A$241:$A$270,0)),"n/a"),IFERROR(INDEX('Team Performance'!$B$39:$K$68,MATCH($A162,'Team Performance'!$A$39:$A$68,0),MATCH(($B162-2)&amp;"-"&amp;RIGHT($B162-1,2),'Team Performance'!$B$38:$K$38,0)),"n/a"))</f>
        <v>38</v>
      </c>
      <c r="M162" s="109">
        <f t="shared" si="5"/>
        <v>0.53658536585365857</v>
      </c>
      <c r="N162" s="108">
        <f>IF($B162=2017,IFERROR(INDEX('Team Performance'!$E$241:$E$270,MATCH($A162,'Team Performance'!$A$241:$A$270,0)),"n/a"),IFERROR(INDEX('Team Performance'!$B$140:$K$169,MATCH($A162,'Team Performance'!$A$140:$A$169,0),MATCH(($B162-2)&amp;"-"&amp;RIGHT($B162-1,2),'Team Performance'!$B$139:$K$139,0)),"n/a"))</f>
        <v>4</v>
      </c>
      <c r="O162" s="110">
        <f>IF($B162=2017,IFERROR(INDEX('Salary Cap'!$B$143:$B$172,MATCH($A162,'Salary Cap'!$A$143:$A$172,0)),"n/a"),IFERROR(INDEX('Salary Cap'!$B$10:$K$39,MATCH($A162,'Salary Cap'!$A$10:$A$39,0),MATCH(""&amp;($B162-1),'Salary Cap'!$B$9:$K$9,0)),"n/a"))</f>
        <v>149110825</v>
      </c>
      <c r="P162" s="115">
        <f>IF($B162=2017,IFERROR(INDEX('Salary Cap'!$C$143:$C$172,MATCH($A162,'Salary Cap'!$A$143:$A$172,0)),"n/a"),IFERROR(INDEX('Salary Cap'!$B$109:$K$138,MATCH($A162,'Salary Cap'!$A$109:$A$138,0),MATCH(""&amp;($B162-1),'Salary Cap'!$B$108:$K$108,0)),"n/a"))</f>
        <v>0</v>
      </c>
      <c r="Q162" s="138">
        <f>IF(OR($B162=2021,$B162=2022),1,0)</f>
        <v>0</v>
      </c>
    </row>
    <row r="163" spans="1:17" x14ac:dyDescent="0.2">
      <c r="A163" s="113" t="str" cm="1">
        <f t="array" ref="A163">INDEX('NBA Valuations'!$A$5:$A$34,INT((ROW()-5)/10)+1)</f>
        <v>Miami Heat</v>
      </c>
      <c r="B163" s="105">
        <f t="shared" si="4"/>
        <v>2025</v>
      </c>
      <c r="C163" s="106">
        <f>IFERROR(INDEX('NBA Valuations'!$B$5:$K$34,MATCH($A163,'NBA Valuations'!$A$5:$A$34,0),MATCH(""&amp;$B163,'NBA Valuations'!$B$3:$K$3,0)),"n/a")</f>
        <v>4250</v>
      </c>
      <c r="D163" s="106">
        <f>IFERROR(INDEX(Revenue!$B$5:$K$34,MATCH($A163,Revenue!$A$5:$A$34,0),MATCH(""&amp;$B163,Revenue!$B$3:$K$3,0)),"n/a")</f>
        <v>373</v>
      </c>
      <c r="E163" s="106">
        <f>IFERROR(INDEX('Operating Income'!$B$5:$K$34,MATCH($A163,'Operating Income'!$A$5:$A$34,0),MATCH(""&amp;$B163,'Operating Income'!$B$3:$K$3,0)),"n/a")</f>
        <v>62</v>
      </c>
      <c r="F163" s="107">
        <f>IFERROR(INDEX('Market Size'!$L$5:$L$34,MATCH($A163,'Market Size'!$A$5:$A$34,0)),"n/a")</f>
        <v>6133159</v>
      </c>
      <c r="G163" s="108">
        <f>IFERROR(INDEX('Market Size'!$B$38:$K$67,MATCH($A163,'Market Size'!$A$38:$A$67,0),MATCH(""&amp;($B163-1),'Market Size'!$B$36:$K$36,0)),"n/a")</f>
        <v>18</v>
      </c>
      <c r="H163" s="108">
        <f>IFERROR(INDEX(Arena!$B$38:$K$67,MATCH($A163,Arena!$A$38:$A$67,0),MATCH(""&amp;$B163,Arena!$B$36:$K$36,0)),"n/a")</f>
        <v>1999</v>
      </c>
      <c r="I163" s="136" t="str">
        <f>IFERROR(INDEX(Arena!$B$71:$K$100,MATCH($A163,Arena!$A$71:$A$100,0),MATCH(""&amp;$B163,Arena!$B$69:$K$69,0)),"n/a")</f>
        <v>N</v>
      </c>
      <c r="J163" s="137">
        <f>IF(ISNUMBER($H163),($B163-1)-$H163,"n/a")</f>
        <v>25</v>
      </c>
      <c r="K163" s="108">
        <f>IF($B163=2017,IFERROR(INDEX('Team Performance'!$B$241:$B$270,MATCH($A163,'Team Performance'!$A$241:$A$270,0)),"n/a"),IFERROR(INDEX('Team Performance'!$B$6:$K$35,MATCH($A163,'Team Performance'!$A$6:$A$35,0),MATCH(($B163-2)&amp;"-"&amp;RIGHT($B163-1,2),'Team Performance'!$B$5:$K$5,0)),"n/a"))</f>
        <v>46</v>
      </c>
      <c r="L163" s="108">
        <f>IF($B163=2017,IFERROR(INDEX('Team Performance'!$C$241:$C$270,MATCH($A163,'Team Performance'!$A$241:$A$270,0)),"n/a"),IFERROR(INDEX('Team Performance'!$B$39:$K$68,MATCH($A163,'Team Performance'!$A$39:$A$68,0),MATCH(($B163-2)&amp;"-"&amp;RIGHT($B163-1,2),'Team Performance'!$B$38:$K$38,0)),"n/a"))</f>
        <v>36</v>
      </c>
      <c r="M163" s="109">
        <f t="shared" si="5"/>
        <v>0.56097560975609762</v>
      </c>
      <c r="N163" s="108">
        <f>IF($B163=2017,IFERROR(INDEX('Team Performance'!$E$241:$E$270,MATCH($A163,'Team Performance'!$A$241:$A$270,0)),"n/a"),IFERROR(INDEX('Team Performance'!$B$140:$K$169,MATCH($A163,'Team Performance'!$A$140:$A$169,0),MATCH(($B163-2)&amp;"-"&amp;RIGHT($B163-1,2),'Team Performance'!$B$139:$K$139,0)),"n/a"))</f>
        <v>1</v>
      </c>
      <c r="O163" s="110">
        <f>IF($B163=2017,IFERROR(INDEX('Salary Cap'!$B$143:$B$172,MATCH($A163,'Salary Cap'!$A$143:$A$172,0)),"n/a"),IFERROR(INDEX('Salary Cap'!$B$10:$K$39,MATCH($A163,'Salary Cap'!$A$10:$A$39,0),MATCH(""&amp;($B163-1),'Salary Cap'!$B$9:$K$9,0)),"n/a"))</f>
        <v>174969385</v>
      </c>
      <c r="P163" s="115">
        <f>IF($B163=2017,IFERROR(INDEX('Salary Cap'!$C$143:$C$172,MATCH($A163,'Salary Cap'!$A$143:$A$172,0)),"n/a"),IFERROR(INDEX('Salary Cap'!$B$109:$K$138,MATCH($A163,'Salary Cap'!$A$109:$A$138,0),MATCH(""&amp;($B163-1),'Salary Cap'!$B$108:$K$108,0)),"n/a"))</f>
        <v>15681924</v>
      </c>
      <c r="Q163" s="138">
        <f>IF(OR($B163=2021,$B163=2022),1,0)</f>
        <v>0</v>
      </c>
    </row>
    <row r="164" spans="1:17" x14ac:dyDescent="0.2">
      <c r="A164" s="113" t="str" cm="1">
        <f t="array" ref="A164">INDEX('NBA Valuations'!$A$5:$A$34,INT((ROW()-5)/10)+1)</f>
        <v>Miami Heat</v>
      </c>
      <c r="B164" s="105">
        <f t="shared" si="4"/>
        <v>2026</v>
      </c>
      <c r="C164" s="106">
        <f>IFERROR(INDEX('NBA Valuations'!$B$5:$K$34,MATCH($A164,'NBA Valuations'!$A$5:$A$34,0),MATCH(""&amp;$B164,'NBA Valuations'!$B$3:$K$3,0)),"n/a")</f>
        <v>5700</v>
      </c>
      <c r="D164" s="106">
        <f>IFERROR(INDEX(Revenue!$B$5:$K$34,MATCH($A164,Revenue!$A$5:$A$34,0),MATCH(""&amp;$B164,Revenue!$B$3:$K$3,0)),"n/a")</f>
        <v>417</v>
      </c>
      <c r="E164" s="106">
        <f>IFERROR(INDEX('Operating Income'!$B$5:$K$34,MATCH($A164,'Operating Income'!$A$5:$A$34,0),MATCH(""&amp;$B164,'Operating Income'!$B$3:$K$3,0)),"n/a")</f>
        <v>110</v>
      </c>
      <c r="F164" s="107">
        <f>IFERROR(INDEX('Market Size'!$L$5:$L$34,MATCH($A164,'Market Size'!$A$5:$A$34,0)),"n/a")</f>
        <v>6133159</v>
      </c>
      <c r="G164" s="108">
        <f>IFERROR(INDEX('Market Size'!$B$38:$K$67,MATCH($A164,'Market Size'!$A$38:$A$67,0),MATCH(""&amp;($B164-1),'Market Size'!$B$36:$K$36,0)),"n/a")</f>
        <v>18</v>
      </c>
      <c r="H164" s="108">
        <f>IFERROR(INDEX(Arena!$B$38:$K$67,MATCH($A164,Arena!$A$38:$A$67,0),MATCH(""&amp;$B164,Arena!$B$36:$K$36,0)),"n/a")</f>
        <v>1999</v>
      </c>
      <c r="I164" s="136" t="str">
        <f>IFERROR(INDEX(Arena!$B$71:$K$100,MATCH($A164,Arena!$A$71:$A$100,0),MATCH(""&amp;$B164,Arena!$B$69:$K$69,0)),"n/a")</f>
        <v>N</v>
      </c>
      <c r="J164" s="137">
        <f>IF(ISNUMBER($H164),($B164-1)-$H164,"n/a")</f>
        <v>26</v>
      </c>
      <c r="K164" s="108">
        <f>IF($B164=2017,IFERROR(INDEX('Team Performance'!$B$241:$B$270,MATCH($A164,'Team Performance'!$A$241:$A$270,0)),"n/a"),IFERROR(INDEX('Team Performance'!$B$6:$K$35,MATCH($A164,'Team Performance'!$A$6:$A$35,0),MATCH(($B164-2)&amp;"-"&amp;RIGHT($B164-1,2),'Team Performance'!$B$5:$K$5,0)),"n/a"))</f>
        <v>37</v>
      </c>
      <c r="L164" s="108">
        <f>IF($B164=2017,IFERROR(INDEX('Team Performance'!$C$241:$C$270,MATCH($A164,'Team Performance'!$A$241:$A$270,0)),"n/a"),IFERROR(INDEX('Team Performance'!$B$39:$K$68,MATCH($A164,'Team Performance'!$A$39:$A$68,0),MATCH(($B164-2)&amp;"-"&amp;RIGHT($B164-1,2),'Team Performance'!$B$38:$K$38,0)),"n/a"))</f>
        <v>45</v>
      </c>
      <c r="M164" s="109">
        <f t="shared" si="5"/>
        <v>0.45121951219512196</v>
      </c>
      <c r="N164" s="108">
        <f>IF($B164=2017,IFERROR(INDEX('Team Performance'!$E$241:$E$270,MATCH($A164,'Team Performance'!$A$241:$A$270,0)),"n/a"),IFERROR(INDEX('Team Performance'!$B$140:$K$169,MATCH($A164,'Team Performance'!$A$140:$A$169,0),MATCH(($B164-2)&amp;"-"&amp;RIGHT($B164-1,2),'Team Performance'!$B$139:$K$139,0)),"n/a"))</f>
        <v>1</v>
      </c>
      <c r="O164" s="110">
        <f>IF($B164=2017,IFERROR(INDEX('Salary Cap'!$B$143:$B$172,MATCH($A164,'Salary Cap'!$A$143:$A$172,0)),"n/a"),IFERROR(INDEX('Salary Cap'!$B$10:$K$39,MATCH($A164,'Salary Cap'!$A$10:$A$39,0),MATCH(""&amp;($B164-1),'Salary Cap'!$B$9:$K$9,0)),"n/a"))</f>
        <v>173599367</v>
      </c>
      <c r="P164" s="115">
        <f>IF($B164=2017,IFERROR(INDEX('Salary Cap'!$C$143:$C$172,MATCH($A164,'Salary Cap'!$A$143:$A$172,0)),"n/a"),IFERROR(INDEX('Salary Cap'!$B$109:$K$138,MATCH($A164,'Salary Cap'!$A$109:$A$138,0),MATCH(""&amp;($B164-1),'Salary Cap'!$B$108:$K$108,0)),"n/a"))</f>
        <v>4178051</v>
      </c>
      <c r="Q164" s="138">
        <f>IF(OR($B164=2021,$B164=2022),1,0)</f>
        <v>0</v>
      </c>
    </row>
    <row r="165" spans="1:17" x14ac:dyDescent="0.2">
      <c r="A165" s="113" t="str" cm="1">
        <f t="array" ref="A165">INDEX('NBA Valuations'!$A$5:$A$34,INT((ROW()-5)/10)+1)</f>
        <v>Milwaukee Bucks</v>
      </c>
      <c r="B165" s="105">
        <f t="shared" si="4"/>
        <v>2017</v>
      </c>
      <c r="C165" s="106">
        <f>IFERROR(INDEX('NBA Valuations'!$B$5:$K$34,MATCH($A165,'NBA Valuations'!$A$5:$A$34,0),MATCH(""&amp;$B165,'NBA Valuations'!$B$3:$K$3,0)),"n/a")</f>
        <v>785</v>
      </c>
      <c r="D165" s="106">
        <f>IFERROR(INDEX(Revenue!$B$5:$K$34,MATCH($A165,Revenue!$A$5:$A$34,0),MATCH(""&amp;$B165,Revenue!$B$3:$K$3,0)),"n/a")</f>
        <v>146</v>
      </c>
      <c r="E165" s="106">
        <f>IFERROR(INDEX('Operating Income'!$B$5:$K$34,MATCH($A165,'Operating Income'!$A$5:$A$34,0),MATCH(""&amp;$B165,'Operating Income'!$B$3:$K$3,0)),"n/a")</f>
        <v>24</v>
      </c>
      <c r="F165" s="107">
        <f>IFERROR(INDEX('Market Size'!$L$5:$L$34,MATCH($A165,'Market Size'!$A$5:$A$34,0)),"n/a")</f>
        <v>1574549</v>
      </c>
      <c r="G165" s="108" t="str">
        <f>IFERROR(INDEX('Market Size'!$B$38:$K$67,MATCH($A165,'Market Size'!$A$38:$A$67,0),MATCH(""&amp;($B165-1),'Market Size'!$B$36:$K$36,0)),"n/a")</f>
        <v>n/a</v>
      </c>
      <c r="H165" s="108">
        <f>IFERROR(INDEX(Arena!$B$38:$K$67,MATCH($A165,Arena!$A$38:$A$67,0),MATCH(""&amp;$B165,Arena!$B$36:$K$36,0)),"n/a")</f>
        <v>1988</v>
      </c>
      <c r="I165" s="136" t="str">
        <f>IFERROR(INDEX(Arena!$B$71:$K$100,MATCH($A165,Arena!$A$71:$A$100,0),MATCH(""&amp;$B165,Arena!$B$69:$K$69,0)),"n/a")</f>
        <v>N</v>
      </c>
      <c r="J165" s="137">
        <f>IF(ISNUMBER($H165),($B165-1)-$H165,"n/a")</f>
        <v>28</v>
      </c>
      <c r="K165" s="108">
        <f>IF($B165=2017,IFERROR(INDEX('Team Performance'!$B$241:$B$270,MATCH($A165,'Team Performance'!$A$241:$A$270,0)),"n/a"),IFERROR(INDEX('Team Performance'!$B$6:$K$35,MATCH($A165,'Team Performance'!$A$6:$A$35,0),MATCH(($B165-2)&amp;"-"&amp;RIGHT($B165-1,2),'Team Performance'!$B$5:$K$5,0)),"n/a"))</f>
        <v>33</v>
      </c>
      <c r="L165" s="108">
        <f>IF($B165=2017,IFERROR(INDEX('Team Performance'!$C$241:$C$270,MATCH($A165,'Team Performance'!$A$241:$A$270,0)),"n/a"),IFERROR(INDEX('Team Performance'!$B$39:$K$68,MATCH($A165,'Team Performance'!$A$39:$A$68,0),MATCH(($B165-2)&amp;"-"&amp;RIGHT($B165-1,2),'Team Performance'!$B$38:$K$38,0)),"n/a"))</f>
        <v>49</v>
      </c>
      <c r="M165" s="109">
        <f t="shared" si="5"/>
        <v>0.40243902439024393</v>
      </c>
      <c r="N165" s="108">
        <f>IF($B165=2017,IFERROR(INDEX('Team Performance'!$E$241:$E$270,MATCH($A165,'Team Performance'!$A$241:$A$270,0)),"n/a"),IFERROR(INDEX('Team Performance'!$B$140:$K$169,MATCH($A165,'Team Performance'!$A$140:$A$169,0),MATCH(($B165-2)&amp;"-"&amp;RIGHT($B165-1,2),'Team Performance'!$B$139:$K$139,0)),"n/a"))</f>
        <v>0</v>
      </c>
      <c r="O165" s="110">
        <f>IF($B165=2017,IFERROR(INDEX('Salary Cap'!$B$143:$B$172,MATCH($A165,'Salary Cap'!$A$143:$A$172,0)),"n/a"),IFERROR(INDEX('Salary Cap'!$B$10:$K$39,MATCH($A165,'Salary Cap'!$A$10:$A$39,0),MATCH(""&amp;($B165-1),'Salary Cap'!$B$9:$K$9,0)),"n/a"))</f>
        <v>70579512</v>
      </c>
      <c r="P165" s="115">
        <f>IF($B165=2017,IFERROR(INDEX('Salary Cap'!$C$143:$C$172,MATCH($A165,'Salary Cap'!$A$143:$A$172,0)),"n/a"),IFERROR(INDEX('Salary Cap'!$B$109:$K$138,MATCH($A165,'Salary Cap'!$A$109:$A$138,0),MATCH(""&amp;($B165-1),'Salary Cap'!$B$108:$K$108,0)),"n/a"))</f>
        <v>0</v>
      </c>
      <c r="Q165" s="138">
        <f>IF(OR($B165=2021,$B165=2022),1,0)</f>
        <v>0</v>
      </c>
    </row>
    <row r="166" spans="1:17" x14ac:dyDescent="0.2">
      <c r="A166" s="113" t="str" cm="1">
        <f t="array" ref="A166">INDEX('NBA Valuations'!$A$5:$A$34,INT((ROW()-5)/10)+1)</f>
        <v>Milwaukee Bucks</v>
      </c>
      <c r="B166" s="105">
        <f t="shared" si="4"/>
        <v>2018</v>
      </c>
      <c r="C166" s="106">
        <f>IFERROR(INDEX('NBA Valuations'!$B$5:$K$34,MATCH($A166,'NBA Valuations'!$A$5:$A$34,0),MATCH(""&amp;$B166,'NBA Valuations'!$B$3:$K$3,0)),"n/a")</f>
        <v>1100</v>
      </c>
      <c r="D166" s="106">
        <f>IFERROR(INDEX(Revenue!$B$5:$K$34,MATCH($A166,Revenue!$A$5:$A$34,0),MATCH(""&amp;$B166,Revenue!$B$3:$K$3,0)),"n/a")</f>
        <v>179</v>
      </c>
      <c r="E166" s="106">
        <f>IFERROR(INDEX('Operating Income'!$B$5:$K$34,MATCH($A166,'Operating Income'!$A$5:$A$34,0),MATCH(""&amp;$B166,'Operating Income'!$B$3:$K$3,0)),"n/a")</f>
        <v>20</v>
      </c>
      <c r="F166" s="107">
        <f>IFERROR(INDEX('Market Size'!$L$5:$L$34,MATCH($A166,'Market Size'!$A$5:$A$34,0)),"n/a")</f>
        <v>1574549</v>
      </c>
      <c r="G166" s="108" t="str">
        <f>IFERROR(INDEX('Market Size'!$B$38:$K$67,MATCH($A166,'Market Size'!$A$38:$A$67,0),MATCH(""&amp;($B166-1),'Market Size'!$B$36:$K$36,0)),"n/a")</f>
        <v>n/a</v>
      </c>
      <c r="H166" s="108">
        <f>IFERROR(INDEX(Arena!$B$38:$K$67,MATCH($A166,Arena!$A$38:$A$67,0),MATCH(""&amp;$B166,Arena!$B$36:$K$36,0)),"n/a")</f>
        <v>1988</v>
      </c>
      <c r="I166" s="136" t="str">
        <f>IFERROR(INDEX(Arena!$B$71:$K$100,MATCH($A166,Arena!$A$71:$A$100,0),MATCH(""&amp;$B166,Arena!$B$69:$K$69,0)),"n/a")</f>
        <v>N</v>
      </c>
      <c r="J166" s="137">
        <f>IF(ISNUMBER($H166),($B166-1)-$H166,"n/a")</f>
        <v>29</v>
      </c>
      <c r="K166" s="108">
        <f>IF($B166=2017,IFERROR(INDEX('Team Performance'!$B$241:$B$270,MATCH($A166,'Team Performance'!$A$241:$A$270,0)),"n/a"),IFERROR(INDEX('Team Performance'!$B$6:$K$35,MATCH($A166,'Team Performance'!$A$6:$A$35,0),MATCH(($B166-2)&amp;"-"&amp;RIGHT($B166-1,2),'Team Performance'!$B$5:$K$5,0)),"n/a"))</f>
        <v>42</v>
      </c>
      <c r="L166" s="108">
        <f>IF($B166=2017,IFERROR(INDEX('Team Performance'!$C$241:$C$270,MATCH($A166,'Team Performance'!$A$241:$A$270,0)),"n/a"),IFERROR(INDEX('Team Performance'!$B$39:$K$68,MATCH($A166,'Team Performance'!$A$39:$A$68,0),MATCH(($B166-2)&amp;"-"&amp;RIGHT($B166-1,2),'Team Performance'!$B$38:$K$38,0)),"n/a"))</f>
        <v>40</v>
      </c>
      <c r="M166" s="109">
        <f t="shared" si="5"/>
        <v>0.51219512195121952</v>
      </c>
      <c r="N166" s="108">
        <f>IF($B166=2017,IFERROR(INDEX('Team Performance'!$E$241:$E$270,MATCH($A166,'Team Performance'!$A$241:$A$270,0)),"n/a"),IFERROR(INDEX('Team Performance'!$B$140:$K$169,MATCH($A166,'Team Performance'!$A$140:$A$169,0),MATCH(($B166-2)&amp;"-"&amp;RIGHT($B166-1,2),'Team Performance'!$B$139:$K$139,0)),"n/a"))</f>
        <v>1</v>
      </c>
      <c r="O166" s="110">
        <f>IF($B166=2017,IFERROR(INDEX('Salary Cap'!$B$143:$B$172,MATCH($A166,'Salary Cap'!$A$143:$A$172,0)),"n/a"),IFERROR(INDEX('Salary Cap'!$B$10:$K$39,MATCH($A166,'Salary Cap'!$A$10:$A$39,0),MATCH(""&amp;($B166-1),'Salary Cap'!$B$9:$K$9,0)),"n/a"))</f>
        <v>92710827</v>
      </c>
      <c r="P166" s="115">
        <f>IF($B166=2017,IFERROR(INDEX('Salary Cap'!$C$143:$C$172,MATCH($A166,'Salary Cap'!$A$143:$A$172,0)),"n/a"),IFERROR(INDEX('Salary Cap'!$B$109:$K$138,MATCH($A166,'Salary Cap'!$A$109:$A$138,0),MATCH(""&amp;($B166-1),'Salary Cap'!$B$108:$K$108,0)),"n/a"))</f>
        <v>0</v>
      </c>
      <c r="Q166" s="138">
        <f>IF(OR($B166=2021,$B166=2022),1,0)</f>
        <v>0</v>
      </c>
    </row>
    <row r="167" spans="1:17" x14ac:dyDescent="0.2">
      <c r="A167" s="113" t="str" cm="1">
        <f t="array" ref="A167">INDEX('NBA Valuations'!$A$5:$A$34,INT((ROW()-5)/10)+1)</f>
        <v>Milwaukee Bucks</v>
      </c>
      <c r="B167" s="105">
        <f t="shared" si="4"/>
        <v>2019</v>
      </c>
      <c r="C167" s="106">
        <f>IFERROR(INDEX('NBA Valuations'!$B$5:$K$34,MATCH($A167,'NBA Valuations'!$A$5:$A$34,0),MATCH(""&amp;$B167,'NBA Valuations'!$B$3:$K$3,0)),"n/a")</f>
        <v>1400</v>
      </c>
      <c r="D167" s="106">
        <f>IFERROR(INDEX(Revenue!$B$5:$K$34,MATCH($A167,Revenue!$A$5:$A$34,0),MATCH(""&amp;$B167,Revenue!$B$3:$K$3,0)),"n/a")</f>
        <v>204</v>
      </c>
      <c r="E167" s="106">
        <f>IFERROR(INDEX('Operating Income'!$B$5:$K$34,MATCH($A167,'Operating Income'!$A$5:$A$34,0),MATCH(""&amp;$B167,'Operating Income'!$B$3:$K$3,0)),"n/a")</f>
        <v>25</v>
      </c>
      <c r="F167" s="107">
        <f>IFERROR(INDEX('Market Size'!$L$5:$L$34,MATCH($A167,'Market Size'!$A$5:$A$34,0)),"n/a")</f>
        <v>1574549</v>
      </c>
      <c r="G167" s="108" t="str">
        <f>IFERROR(INDEX('Market Size'!$B$38:$K$67,MATCH($A167,'Market Size'!$A$38:$A$67,0),MATCH(""&amp;($B167-1),'Market Size'!$B$36:$K$36,0)),"n/a")</f>
        <v>n/a</v>
      </c>
      <c r="H167" s="108">
        <f>IFERROR(INDEX(Arena!$B$38:$K$67,MATCH($A167,Arena!$A$38:$A$67,0),MATCH(""&amp;$B167,Arena!$B$36:$K$36,0)),"n/a")</f>
        <v>1988</v>
      </c>
      <c r="I167" s="136" t="str">
        <f>IFERROR(INDEX(Arena!$B$71:$K$100,MATCH($A167,Arena!$A$71:$A$100,0),MATCH(""&amp;$B167,Arena!$B$69:$K$69,0)),"n/a")</f>
        <v>N</v>
      </c>
      <c r="J167" s="137">
        <f>IF(ISNUMBER($H167),($B167-1)-$H167,"n/a")</f>
        <v>30</v>
      </c>
      <c r="K167" s="108">
        <f>IF($B167=2017,IFERROR(INDEX('Team Performance'!$B$241:$B$270,MATCH($A167,'Team Performance'!$A$241:$A$270,0)),"n/a"),IFERROR(INDEX('Team Performance'!$B$6:$K$35,MATCH($A167,'Team Performance'!$A$6:$A$35,0),MATCH(($B167-2)&amp;"-"&amp;RIGHT($B167-1,2),'Team Performance'!$B$5:$K$5,0)),"n/a"))</f>
        <v>44</v>
      </c>
      <c r="L167" s="108">
        <f>IF($B167=2017,IFERROR(INDEX('Team Performance'!$C$241:$C$270,MATCH($A167,'Team Performance'!$A$241:$A$270,0)),"n/a"),IFERROR(INDEX('Team Performance'!$B$39:$K$68,MATCH($A167,'Team Performance'!$A$39:$A$68,0),MATCH(($B167-2)&amp;"-"&amp;RIGHT($B167-1,2),'Team Performance'!$B$38:$K$38,0)),"n/a"))</f>
        <v>38</v>
      </c>
      <c r="M167" s="109">
        <f t="shared" si="5"/>
        <v>0.53658536585365857</v>
      </c>
      <c r="N167" s="108">
        <f>IF($B167=2017,IFERROR(INDEX('Team Performance'!$E$241:$E$270,MATCH($A167,'Team Performance'!$A$241:$A$270,0)),"n/a"),IFERROR(INDEX('Team Performance'!$B$140:$K$169,MATCH($A167,'Team Performance'!$A$140:$A$169,0),MATCH(($B167-2)&amp;"-"&amp;RIGHT($B167-1,2),'Team Performance'!$B$139:$K$139,0)),"n/a"))</f>
        <v>1</v>
      </c>
      <c r="O167" s="110">
        <f>IF($B167=2017,IFERROR(INDEX('Salary Cap'!$B$143:$B$172,MATCH($A167,'Salary Cap'!$A$143:$A$172,0)),"n/a"),IFERROR(INDEX('Salary Cap'!$B$10:$K$39,MATCH($A167,'Salary Cap'!$A$10:$A$39,0),MATCH(""&amp;($B167-1),'Salary Cap'!$B$9:$K$9,0)),"n/a"))</f>
        <v>116214360</v>
      </c>
      <c r="P167" s="115">
        <f>IF($B167=2017,IFERROR(INDEX('Salary Cap'!$C$143:$C$172,MATCH($A167,'Salary Cap'!$A$143:$A$172,0)),"n/a"),IFERROR(INDEX('Salary Cap'!$B$109:$K$138,MATCH($A167,'Salary Cap'!$A$109:$A$138,0),MATCH(""&amp;($B167-1),'Salary Cap'!$B$108:$K$108,0)),"n/a"))</f>
        <v>0</v>
      </c>
      <c r="Q167" s="138">
        <f>IF(OR($B167=2021,$B167=2022),1,0)</f>
        <v>0</v>
      </c>
    </row>
    <row r="168" spans="1:17" x14ac:dyDescent="0.2">
      <c r="A168" s="113" t="str" cm="1">
        <f t="array" ref="A168">INDEX('NBA Valuations'!$A$5:$A$34,INT((ROW()-5)/10)+1)</f>
        <v>Milwaukee Bucks</v>
      </c>
      <c r="B168" s="105">
        <f t="shared" si="4"/>
        <v>2020</v>
      </c>
      <c r="C168" s="106">
        <f>IFERROR(INDEX('NBA Valuations'!$B$5:$K$34,MATCH($A168,'NBA Valuations'!$A$5:$A$34,0),MATCH(""&amp;$B168,'NBA Valuations'!$B$3:$K$3,0)),"n/a")</f>
        <v>1600</v>
      </c>
      <c r="D168" s="106">
        <f>IFERROR(INDEX(Revenue!$B$5:$K$34,MATCH($A168,Revenue!$A$5:$A$34,0),MATCH(""&amp;$B168,Revenue!$B$3:$K$3,0)),"n/a")</f>
        <v>283</v>
      </c>
      <c r="E168" s="106">
        <f>IFERROR(INDEX('Operating Income'!$B$5:$K$34,MATCH($A168,'Operating Income'!$A$5:$A$34,0),MATCH(""&amp;$B168,'Operating Income'!$B$3:$K$3,0)),"n/a")</f>
        <v>69</v>
      </c>
      <c r="F168" s="107">
        <f>IFERROR(INDEX('Market Size'!$L$5:$L$34,MATCH($A168,'Market Size'!$A$5:$A$34,0)),"n/a")</f>
        <v>1574549</v>
      </c>
      <c r="G168" s="108" t="str">
        <f>IFERROR(INDEX('Market Size'!$B$38:$K$67,MATCH($A168,'Market Size'!$A$38:$A$67,0),MATCH(""&amp;($B168-1),'Market Size'!$B$36:$K$36,0)),"n/a")</f>
        <v>n/a</v>
      </c>
      <c r="H168" s="108">
        <f>IFERROR(INDEX(Arena!$B$38:$K$67,MATCH($A168,Arena!$A$38:$A$67,0),MATCH(""&amp;$B168,Arena!$B$36:$K$36,0)),"n/a")</f>
        <v>2018</v>
      </c>
      <c r="I168" s="136" t="str">
        <f>IFERROR(INDEX(Arena!$B$71:$K$100,MATCH($A168,Arena!$A$71:$A$100,0),MATCH(""&amp;$B168,Arena!$B$69:$K$69,0)),"n/a")</f>
        <v>N</v>
      </c>
      <c r="J168" s="137">
        <f>IF(ISNUMBER($H168),($B168-1)-$H168,"n/a")</f>
        <v>1</v>
      </c>
      <c r="K168" s="108">
        <f>IF($B168=2017,IFERROR(INDEX('Team Performance'!$B$241:$B$270,MATCH($A168,'Team Performance'!$A$241:$A$270,0)),"n/a"),IFERROR(INDEX('Team Performance'!$B$6:$K$35,MATCH($A168,'Team Performance'!$A$6:$A$35,0),MATCH(($B168-2)&amp;"-"&amp;RIGHT($B168-1,2),'Team Performance'!$B$5:$K$5,0)),"n/a"))</f>
        <v>60</v>
      </c>
      <c r="L168" s="108">
        <f>IF($B168=2017,IFERROR(INDEX('Team Performance'!$C$241:$C$270,MATCH($A168,'Team Performance'!$A$241:$A$270,0)),"n/a"),IFERROR(INDEX('Team Performance'!$B$39:$K$68,MATCH($A168,'Team Performance'!$A$39:$A$68,0),MATCH(($B168-2)&amp;"-"&amp;RIGHT($B168-1,2),'Team Performance'!$B$38:$K$38,0)),"n/a"))</f>
        <v>22</v>
      </c>
      <c r="M168" s="109">
        <f t="shared" si="5"/>
        <v>0.73170731707317072</v>
      </c>
      <c r="N168" s="108">
        <f>IF($B168=2017,IFERROR(INDEX('Team Performance'!$E$241:$E$270,MATCH($A168,'Team Performance'!$A$241:$A$270,0)),"n/a"),IFERROR(INDEX('Team Performance'!$B$140:$K$169,MATCH($A168,'Team Performance'!$A$140:$A$169,0),MATCH(($B168-2)&amp;"-"&amp;RIGHT($B168-1,2),'Team Performance'!$B$139:$K$139,0)),"n/a"))</f>
        <v>3</v>
      </c>
      <c r="O168" s="110">
        <f>IF($B168=2017,IFERROR(INDEX('Salary Cap'!$B$143:$B$172,MATCH($A168,'Salary Cap'!$A$143:$A$172,0)),"n/a"),IFERROR(INDEX('Salary Cap'!$B$10:$K$39,MATCH($A168,'Salary Cap'!$A$10:$A$39,0),MATCH(""&amp;($B168-1),'Salary Cap'!$B$9:$K$9,0)),"n/a"))</f>
        <v>122368320</v>
      </c>
      <c r="P168" s="115">
        <f>IF($B168=2017,IFERROR(INDEX('Salary Cap'!$C$143:$C$172,MATCH($A168,'Salary Cap'!$A$143:$A$172,0)),"n/a"),IFERROR(INDEX('Salary Cap'!$B$109:$K$138,MATCH($A168,'Salary Cap'!$A$109:$A$138,0),MATCH(""&amp;($B168-1),'Salary Cap'!$B$108:$K$108,0)),"n/a"))</f>
        <v>0</v>
      </c>
      <c r="Q168" s="138">
        <f>IF(OR($B168=2021,$B168=2022),1,0)</f>
        <v>0</v>
      </c>
    </row>
    <row r="169" spans="1:17" x14ac:dyDescent="0.2">
      <c r="A169" s="113" t="str" cm="1">
        <f t="array" ref="A169">INDEX('NBA Valuations'!$A$5:$A$34,INT((ROW()-5)/10)+1)</f>
        <v>Milwaukee Bucks</v>
      </c>
      <c r="B169" s="105">
        <f t="shared" si="4"/>
        <v>2021</v>
      </c>
      <c r="C169" s="106">
        <f>IFERROR(INDEX('NBA Valuations'!$B$5:$K$34,MATCH($A169,'NBA Valuations'!$A$5:$A$34,0),MATCH(""&amp;$B169,'NBA Valuations'!$B$3:$K$3,0)),"n/a")</f>
        <v>1625</v>
      </c>
      <c r="D169" s="106">
        <f>IFERROR(INDEX(Revenue!$B$5:$K$34,MATCH($A169,Revenue!$A$5:$A$34,0),MATCH(""&amp;$B169,Revenue!$B$3:$K$3,0)),"n/a")</f>
        <v>239</v>
      </c>
      <c r="E169" s="106">
        <f>IFERROR(INDEX('Operating Income'!$B$5:$K$34,MATCH($A169,'Operating Income'!$A$5:$A$34,0),MATCH(""&amp;$B169,'Operating Income'!$B$3:$K$3,0)),"n/a")</f>
        <v>27</v>
      </c>
      <c r="F169" s="107">
        <f>IFERROR(INDEX('Market Size'!$L$5:$L$34,MATCH($A169,'Market Size'!$A$5:$A$34,0)),"n/a")</f>
        <v>1574549</v>
      </c>
      <c r="G169" s="108" t="str">
        <f>IFERROR(INDEX('Market Size'!$B$38:$K$67,MATCH($A169,'Market Size'!$A$38:$A$67,0),MATCH(""&amp;($B169-1),'Market Size'!$B$36:$K$36,0)),"n/a")</f>
        <v>n/a</v>
      </c>
      <c r="H169" s="108">
        <f>IFERROR(INDEX(Arena!$B$38:$K$67,MATCH($A169,Arena!$A$38:$A$67,0),MATCH(""&amp;$B169,Arena!$B$36:$K$36,0)),"n/a")</f>
        <v>2018</v>
      </c>
      <c r="I169" s="136" t="str">
        <f>IFERROR(INDEX(Arena!$B$71:$K$100,MATCH($A169,Arena!$A$71:$A$100,0),MATCH(""&amp;$B169,Arena!$B$69:$K$69,0)),"n/a")</f>
        <v>N</v>
      </c>
      <c r="J169" s="137">
        <f>IF(ISNUMBER($H169),($B169-1)-$H169,"n/a")</f>
        <v>2</v>
      </c>
      <c r="K169" s="108">
        <f>IF($B169=2017,IFERROR(INDEX('Team Performance'!$B$241:$B$270,MATCH($A169,'Team Performance'!$A$241:$A$270,0)),"n/a"),IFERROR(INDEX('Team Performance'!$B$6:$K$35,MATCH($A169,'Team Performance'!$A$6:$A$35,0),MATCH(($B169-2)&amp;"-"&amp;RIGHT($B169-1,2),'Team Performance'!$B$5:$K$5,0)),"n/a"))</f>
        <v>56</v>
      </c>
      <c r="L169" s="108">
        <f>IF($B169=2017,IFERROR(INDEX('Team Performance'!$C$241:$C$270,MATCH($A169,'Team Performance'!$A$241:$A$270,0)),"n/a"),IFERROR(INDEX('Team Performance'!$B$39:$K$68,MATCH($A169,'Team Performance'!$A$39:$A$68,0),MATCH(($B169-2)&amp;"-"&amp;RIGHT($B169-1,2),'Team Performance'!$B$38:$K$38,0)),"n/a"))</f>
        <v>17</v>
      </c>
      <c r="M169" s="109">
        <f t="shared" si="5"/>
        <v>0.76712328767123283</v>
      </c>
      <c r="N169" s="108">
        <f>IF($B169=2017,IFERROR(INDEX('Team Performance'!$E$241:$E$270,MATCH($A169,'Team Performance'!$A$241:$A$270,0)),"n/a"),IFERROR(INDEX('Team Performance'!$B$140:$K$169,MATCH($A169,'Team Performance'!$A$140:$A$169,0),MATCH(($B169-2)&amp;"-"&amp;RIGHT($B169-1,2),'Team Performance'!$B$139:$K$139,0)),"n/a"))</f>
        <v>2</v>
      </c>
      <c r="O169" s="110">
        <f>IF($B169=2017,IFERROR(INDEX('Salary Cap'!$B$143:$B$172,MATCH($A169,'Salary Cap'!$A$143:$A$172,0)),"n/a"),IFERROR(INDEX('Salary Cap'!$B$10:$K$39,MATCH($A169,'Salary Cap'!$A$10:$A$39,0),MATCH(""&amp;($B169-1),'Salary Cap'!$B$9:$K$9,0)),"n/a"))</f>
        <v>130404531</v>
      </c>
      <c r="P169" s="115">
        <f>IF($B169=2017,IFERROR(INDEX('Salary Cap'!$C$143:$C$172,MATCH($A169,'Salary Cap'!$A$143:$A$172,0)),"n/a"),IFERROR(INDEX('Salary Cap'!$B$109:$K$138,MATCH($A169,'Salary Cap'!$A$109:$A$138,0),MATCH(""&amp;($B169-1),'Salary Cap'!$B$108:$K$108,0)),"n/a"))</f>
        <v>0</v>
      </c>
      <c r="Q169" s="138">
        <f>IF(OR($B169=2021,$B169=2022),1,0)</f>
        <v>1</v>
      </c>
    </row>
    <row r="170" spans="1:17" x14ac:dyDescent="0.2">
      <c r="A170" s="113" t="str" cm="1">
        <f t="array" ref="A170">INDEX('NBA Valuations'!$A$5:$A$34,INT((ROW()-5)/10)+1)</f>
        <v>Milwaukee Bucks</v>
      </c>
      <c r="B170" s="105">
        <f t="shared" si="4"/>
        <v>2022</v>
      </c>
      <c r="C170" s="106">
        <f>IFERROR(INDEX('NBA Valuations'!$B$5:$K$34,MATCH($A170,'NBA Valuations'!$A$5:$A$34,0),MATCH(""&amp;$B170,'NBA Valuations'!$B$3:$K$3,0)),"n/a")</f>
        <v>1900</v>
      </c>
      <c r="D170" s="106">
        <f>IFERROR(INDEX(Revenue!$B$5:$K$34,MATCH($A170,Revenue!$A$5:$A$34,0),MATCH(""&amp;$B170,Revenue!$B$3:$K$3,0)),"n/a")</f>
        <v>212</v>
      </c>
      <c r="E170" s="106">
        <f>IFERROR(INDEX('Operating Income'!$B$5:$K$34,MATCH($A170,'Operating Income'!$A$5:$A$34,0),MATCH(""&amp;$B170,'Operating Income'!$B$3:$K$3,0)),"n/a")</f>
        <v>11</v>
      </c>
      <c r="F170" s="107">
        <f>IFERROR(INDEX('Market Size'!$L$5:$L$34,MATCH($A170,'Market Size'!$A$5:$A$34,0)),"n/a")</f>
        <v>1574549</v>
      </c>
      <c r="G170" s="108" t="str">
        <f>IFERROR(INDEX('Market Size'!$B$38:$K$67,MATCH($A170,'Market Size'!$A$38:$A$67,0),MATCH(""&amp;($B170-1),'Market Size'!$B$36:$K$36,0)),"n/a")</f>
        <v>n/a</v>
      </c>
      <c r="H170" s="108">
        <f>IFERROR(INDEX(Arena!$B$38:$K$67,MATCH($A170,Arena!$A$38:$A$67,0),MATCH(""&amp;$B170,Arena!$B$36:$K$36,0)),"n/a")</f>
        <v>2018</v>
      </c>
      <c r="I170" s="136" t="str">
        <f>IFERROR(INDEX(Arena!$B$71:$K$100,MATCH($A170,Arena!$A$71:$A$100,0),MATCH(""&amp;$B170,Arena!$B$69:$K$69,0)),"n/a")</f>
        <v>N</v>
      </c>
      <c r="J170" s="137">
        <f>IF(ISNUMBER($H170),($B170-1)-$H170,"n/a")</f>
        <v>3</v>
      </c>
      <c r="K170" s="108">
        <f>IF($B170=2017,IFERROR(INDEX('Team Performance'!$B$241:$B$270,MATCH($A170,'Team Performance'!$A$241:$A$270,0)),"n/a"),IFERROR(INDEX('Team Performance'!$B$6:$K$35,MATCH($A170,'Team Performance'!$A$6:$A$35,0),MATCH(($B170-2)&amp;"-"&amp;RIGHT($B170-1,2),'Team Performance'!$B$5:$K$5,0)),"n/a"))</f>
        <v>46</v>
      </c>
      <c r="L170" s="108">
        <f>IF($B170=2017,IFERROR(INDEX('Team Performance'!$C$241:$C$270,MATCH($A170,'Team Performance'!$A$241:$A$270,0)),"n/a"),IFERROR(INDEX('Team Performance'!$B$39:$K$68,MATCH($A170,'Team Performance'!$A$39:$A$68,0),MATCH(($B170-2)&amp;"-"&amp;RIGHT($B170-1,2),'Team Performance'!$B$38:$K$38,0)),"n/a"))</f>
        <v>26</v>
      </c>
      <c r="M170" s="109">
        <f t="shared" si="5"/>
        <v>0.63888888888888884</v>
      </c>
      <c r="N170" s="108">
        <f>IF($B170=2017,IFERROR(INDEX('Team Performance'!$E$241:$E$270,MATCH($A170,'Team Performance'!$A$241:$A$270,0)),"n/a"),IFERROR(INDEX('Team Performance'!$B$140:$K$169,MATCH($A170,'Team Performance'!$A$140:$A$169,0),MATCH(($B170-2)&amp;"-"&amp;RIGHT($B170-1,2),'Team Performance'!$B$139:$K$139,0)),"n/a"))</f>
        <v>5</v>
      </c>
      <c r="O170" s="110">
        <f>IF($B170=2017,IFERROR(INDEX('Salary Cap'!$B$143:$B$172,MATCH($A170,'Salary Cap'!$A$143:$A$172,0)),"n/a"),IFERROR(INDEX('Salary Cap'!$B$10:$K$39,MATCH($A170,'Salary Cap'!$A$10:$A$39,0),MATCH(""&amp;($B170-1),'Salary Cap'!$B$9:$K$9,0)),"n/a"))</f>
        <v>133244133</v>
      </c>
      <c r="P170" s="115">
        <f>IF($B170=2017,IFERROR(INDEX('Salary Cap'!$C$143:$C$172,MATCH($A170,'Salary Cap'!$A$143:$A$172,0)),"n/a"),IFERROR(INDEX('Salary Cap'!$B$109:$K$138,MATCH($A170,'Salary Cap'!$A$109:$A$138,0),MATCH(""&amp;($B170-1),'Salary Cap'!$B$108:$K$108,0)),"n/a"))</f>
        <v>794721</v>
      </c>
      <c r="Q170" s="138">
        <f>IF(OR($B170=2021,$B170=2022),1,0)</f>
        <v>1</v>
      </c>
    </row>
    <row r="171" spans="1:17" x14ac:dyDescent="0.2">
      <c r="A171" s="113" t="str" cm="1">
        <f t="array" ref="A171">INDEX('NBA Valuations'!$A$5:$A$34,INT((ROW()-5)/10)+1)</f>
        <v>Milwaukee Bucks</v>
      </c>
      <c r="B171" s="105">
        <f t="shared" si="4"/>
        <v>2023</v>
      </c>
      <c r="C171" s="106">
        <f>IFERROR(INDEX('NBA Valuations'!$B$5:$K$34,MATCH($A171,'NBA Valuations'!$A$5:$A$34,0),MATCH(""&amp;$B171,'NBA Valuations'!$B$3:$K$3,0)),"n/a")</f>
        <v>2300</v>
      </c>
      <c r="D171" s="106">
        <f>IFERROR(INDEX(Revenue!$B$5:$K$34,MATCH($A171,Revenue!$A$5:$A$34,0),MATCH(""&amp;$B171,Revenue!$B$3:$K$3,0)),"n/a")</f>
        <v>352</v>
      </c>
      <c r="E171" s="106">
        <f>IFERROR(INDEX('Operating Income'!$B$5:$K$34,MATCH($A171,'Operating Income'!$A$5:$A$34,0),MATCH(""&amp;$B171,'Operating Income'!$B$3:$K$3,0)),"n/a")</f>
        <v>51</v>
      </c>
      <c r="F171" s="107">
        <f>IFERROR(INDEX('Market Size'!$L$5:$L$34,MATCH($A171,'Market Size'!$A$5:$A$34,0)),"n/a")</f>
        <v>1574549</v>
      </c>
      <c r="G171" s="108" t="str">
        <f>IFERROR(INDEX('Market Size'!$B$38:$K$67,MATCH($A171,'Market Size'!$A$38:$A$67,0),MATCH(""&amp;($B171-1),'Market Size'!$B$36:$K$36,0)),"n/a")</f>
        <v>n/a</v>
      </c>
      <c r="H171" s="108">
        <f>IFERROR(INDEX(Arena!$B$38:$K$67,MATCH($A171,Arena!$A$38:$A$67,0),MATCH(""&amp;$B171,Arena!$B$36:$K$36,0)),"n/a")</f>
        <v>2018</v>
      </c>
      <c r="I171" s="136" t="str">
        <f>IFERROR(INDEX(Arena!$B$71:$K$100,MATCH($A171,Arena!$A$71:$A$100,0),MATCH(""&amp;$B171,Arena!$B$69:$K$69,0)),"n/a")</f>
        <v>N</v>
      </c>
      <c r="J171" s="137">
        <f>IF(ISNUMBER($H171),($B171-1)-$H171,"n/a")</f>
        <v>4</v>
      </c>
      <c r="K171" s="108">
        <f>IF($B171=2017,IFERROR(INDEX('Team Performance'!$B$241:$B$270,MATCH($A171,'Team Performance'!$A$241:$A$270,0)),"n/a"),IFERROR(INDEX('Team Performance'!$B$6:$K$35,MATCH($A171,'Team Performance'!$A$6:$A$35,0),MATCH(($B171-2)&amp;"-"&amp;RIGHT($B171-1,2),'Team Performance'!$B$5:$K$5,0)),"n/a"))</f>
        <v>51</v>
      </c>
      <c r="L171" s="108">
        <f>IF($B171=2017,IFERROR(INDEX('Team Performance'!$C$241:$C$270,MATCH($A171,'Team Performance'!$A$241:$A$270,0)),"n/a"),IFERROR(INDEX('Team Performance'!$B$39:$K$68,MATCH($A171,'Team Performance'!$A$39:$A$68,0),MATCH(($B171-2)&amp;"-"&amp;RIGHT($B171-1,2),'Team Performance'!$B$38:$K$38,0)),"n/a"))</f>
        <v>31</v>
      </c>
      <c r="M171" s="109">
        <f t="shared" si="5"/>
        <v>0.62195121951219512</v>
      </c>
      <c r="N171" s="108">
        <f>IF($B171=2017,IFERROR(INDEX('Team Performance'!$E$241:$E$270,MATCH($A171,'Team Performance'!$A$241:$A$270,0)),"n/a"),IFERROR(INDEX('Team Performance'!$B$140:$K$169,MATCH($A171,'Team Performance'!$A$140:$A$169,0),MATCH(($B171-2)&amp;"-"&amp;RIGHT($B171-1,2),'Team Performance'!$B$139:$K$139,0)),"n/a"))</f>
        <v>2</v>
      </c>
      <c r="O171" s="110">
        <f>IF($B171=2017,IFERROR(INDEX('Salary Cap'!$B$143:$B$172,MATCH($A171,'Salary Cap'!$A$143:$A$172,0)),"n/a"),IFERROR(INDEX('Salary Cap'!$B$10:$K$39,MATCH($A171,'Salary Cap'!$A$10:$A$39,0),MATCH(""&amp;($B171-1),'Salary Cap'!$B$9:$K$9,0)),"n/a"))</f>
        <v>158985385</v>
      </c>
      <c r="P171" s="115">
        <f>IF($B171=2017,IFERROR(INDEX('Salary Cap'!$C$143:$C$172,MATCH($A171,'Salary Cap'!$A$143:$A$172,0)),"n/a"),IFERROR(INDEX('Salary Cap'!$B$109:$K$138,MATCH($A171,'Salary Cap'!$A$109:$A$138,0),MATCH(""&amp;($B171-1),'Salary Cap'!$B$108:$K$108,0)),"n/a"))</f>
        <v>52037160</v>
      </c>
      <c r="Q171" s="138">
        <f>IF(OR($B171=2021,$B171=2022),1,0)</f>
        <v>0</v>
      </c>
    </row>
    <row r="172" spans="1:17" x14ac:dyDescent="0.2">
      <c r="A172" s="113" t="str" cm="1">
        <f t="array" ref="A172">INDEX('NBA Valuations'!$A$5:$A$34,INT((ROW()-5)/10)+1)</f>
        <v>Milwaukee Bucks</v>
      </c>
      <c r="B172" s="105">
        <f t="shared" si="4"/>
        <v>2024</v>
      </c>
      <c r="C172" s="106">
        <f>IFERROR(INDEX('NBA Valuations'!$B$5:$K$34,MATCH($A172,'NBA Valuations'!$A$5:$A$34,0),MATCH(""&amp;$B172,'NBA Valuations'!$B$3:$K$3,0)),"n/a")</f>
        <v>3200</v>
      </c>
      <c r="D172" s="106">
        <f>IFERROR(INDEX(Revenue!$B$5:$K$34,MATCH($A172,Revenue!$A$5:$A$34,0),MATCH(""&amp;$B172,Revenue!$B$3:$K$3,0)),"n/a")</f>
        <v>329</v>
      </c>
      <c r="E172" s="106">
        <f>IFERROR(INDEX('Operating Income'!$B$5:$K$34,MATCH($A172,'Operating Income'!$A$5:$A$34,0),MATCH(""&amp;$B172,'Operating Income'!$B$3:$K$3,0)),"n/a")</f>
        <v>-36</v>
      </c>
      <c r="F172" s="107">
        <f>IFERROR(INDEX('Market Size'!$L$5:$L$34,MATCH($A172,'Market Size'!$A$5:$A$34,0)),"n/a")</f>
        <v>1574549</v>
      </c>
      <c r="G172" s="108" t="str">
        <f>IFERROR(INDEX('Market Size'!$B$38:$K$67,MATCH($A172,'Market Size'!$A$38:$A$67,0),MATCH(""&amp;($B172-1),'Market Size'!$B$36:$K$36,0)),"n/a")</f>
        <v>n/a</v>
      </c>
      <c r="H172" s="108">
        <f>IFERROR(INDEX(Arena!$B$38:$K$67,MATCH($A172,Arena!$A$38:$A$67,0),MATCH(""&amp;$B172,Arena!$B$36:$K$36,0)),"n/a")</f>
        <v>2018</v>
      </c>
      <c r="I172" s="136" t="str">
        <f>IFERROR(INDEX(Arena!$B$71:$K$100,MATCH($A172,Arena!$A$71:$A$100,0),MATCH(""&amp;$B172,Arena!$B$69:$K$69,0)),"n/a")</f>
        <v>N</v>
      </c>
      <c r="J172" s="137">
        <f>IF(ISNUMBER($H172),($B172-1)-$H172,"n/a")</f>
        <v>5</v>
      </c>
      <c r="K172" s="108">
        <f>IF($B172=2017,IFERROR(INDEX('Team Performance'!$B$241:$B$270,MATCH($A172,'Team Performance'!$A$241:$A$270,0)),"n/a"),IFERROR(INDEX('Team Performance'!$B$6:$K$35,MATCH($A172,'Team Performance'!$A$6:$A$35,0),MATCH(($B172-2)&amp;"-"&amp;RIGHT($B172-1,2),'Team Performance'!$B$5:$K$5,0)),"n/a"))</f>
        <v>58</v>
      </c>
      <c r="L172" s="108">
        <f>IF($B172=2017,IFERROR(INDEX('Team Performance'!$C$241:$C$270,MATCH($A172,'Team Performance'!$A$241:$A$270,0)),"n/a"),IFERROR(INDEX('Team Performance'!$B$39:$K$68,MATCH($A172,'Team Performance'!$A$39:$A$68,0),MATCH(($B172-2)&amp;"-"&amp;RIGHT($B172-1,2),'Team Performance'!$B$38:$K$38,0)),"n/a"))</f>
        <v>24</v>
      </c>
      <c r="M172" s="109">
        <f t="shared" si="5"/>
        <v>0.70731707317073167</v>
      </c>
      <c r="N172" s="108">
        <f>IF($B172=2017,IFERROR(INDEX('Team Performance'!$E$241:$E$270,MATCH($A172,'Team Performance'!$A$241:$A$270,0)),"n/a"),IFERROR(INDEX('Team Performance'!$B$140:$K$169,MATCH($A172,'Team Performance'!$A$140:$A$169,0),MATCH(($B172-2)&amp;"-"&amp;RIGHT($B172-1,2),'Team Performance'!$B$139:$K$139,0)),"n/a"))</f>
        <v>1</v>
      </c>
      <c r="O172" s="110">
        <f>IF($B172=2017,IFERROR(INDEX('Salary Cap'!$B$143:$B$172,MATCH($A172,'Salary Cap'!$A$143:$A$172,0)),"n/a"),IFERROR(INDEX('Salary Cap'!$B$10:$K$39,MATCH($A172,'Salary Cap'!$A$10:$A$39,0),MATCH(""&amp;($B172-1),'Salary Cap'!$B$9:$K$9,0)),"n/a"))</f>
        <v>180006727</v>
      </c>
      <c r="P172" s="115">
        <f>IF($B172=2017,IFERROR(INDEX('Salary Cap'!$C$143:$C$172,MATCH($A172,'Salary Cap'!$A$143:$A$172,0)),"n/a"),IFERROR(INDEX('Salary Cap'!$B$109:$K$138,MATCH($A172,'Salary Cap'!$A$109:$A$138,0),MATCH(""&amp;($B172-1),'Salary Cap'!$B$108:$K$108,0)),"n/a"))</f>
        <v>83893840</v>
      </c>
      <c r="Q172" s="138">
        <f>IF(OR($B172=2021,$B172=2022),1,0)</f>
        <v>0</v>
      </c>
    </row>
    <row r="173" spans="1:17" x14ac:dyDescent="0.2">
      <c r="A173" s="113" t="str" cm="1">
        <f t="array" ref="A173">INDEX('NBA Valuations'!$A$5:$A$34,INT((ROW()-5)/10)+1)</f>
        <v>Milwaukee Bucks</v>
      </c>
      <c r="B173" s="105">
        <f t="shared" si="4"/>
        <v>2025</v>
      </c>
      <c r="C173" s="106">
        <f>IFERROR(INDEX('NBA Valuations'!$B$5:$K$34,MATCH($A173,'NBA Valuations'!$A$5:$A$34,0),MATCH(""&amp;$B173,'NBA Valuations'!$B$3:$K$3,0)),"n/a")</f>
        <v>4000</v>
      </c>
      <c r="D173" s="106">
        <f>IFERROR(INDEX(Revenue!$B$5:$K$34,MATCH($A173,Revenue!$A$5:$A$34,0),MATCH(""&amp;$B173,Revenue!$B$3:$K$3,0)),"n/a")</f>
        <v>333</v>
      </c>
      <c r="E173" s="106">
        <f>IFERROR(INDEX('Operating Income'!$B$5:$K$34,MATCH($A173,'Operating Income'!$A$5:$A$34,0),MATCH(""&amp;$B173,'Operating Income'!$B$3:$K$3,0)),"n/a")</f>
        <v>-16</v>
      </c>
      <c r="F173" s="107">
        <f>IFERROR(INDEX('Market Size'!$L$5:$L$34,MATCH($A173,'Market Size'!$A$5:$A$34,0)),"n/a")</f>
        <v>1574549</v>
      </c>
      <c r="G173" s="108">
        <f>IFERROR(INDEX('Market Size'!$B$38:$K$67,MATCH($A173,'Market Size'!$A$38:$A$67,0),MATCH(""&amp;($B173-1),'Market Size'!$B$36:$K$36,0)),"n/a")</f>
        <v>38</v>
      </c>
      <c r="H173" s="108">
        <f>IFERROR(INDEX(Arena!$B$38:$K$67,MATCH($A173,Arena!$A$38:$A$67,0),MATCH(""&amp;$B173,Arena!$B$36:$K$36,0)),"n/a")</f>
        <v>2018</v>
      </c>
      <c r="I173" s="136" t="str">
        <f>IFERROR(INDEX(Arena!$B$71:$K$100,MATCH($A173,Arena!$A$71:$A$100,0),MATCH(""&amp;$B173,Arena!$B$69:$K$69,0)),"n/a")</f>
        <v>N</v>
      </c>
      <c r="J173" s="137">
        <f>IF(ISNUMBER($H173),($B173-1)-$H173,"n/a")</f>
        <v>6</v>
      </c>
      <c r="K173" s="108">
        <f>IF($B173=2017,IFERROR(INDEX('Team Performance'!$B$241:$B$270,MATCH($A173,'Team Performance'!$A$241:$A$270,0)),"n/a"),IFERROR(INDEX('Team Performance'!$B$6:$K$35,MATCH($A173,'Team Performance'!$A$6:$A$35,0),MATCH(($B173-2)&amp;"-"&amp;RIGHT($B173-1,2),'Team Performance'!$B$5:$K$5,0)),"n/a"))</f>
        <v>49</v>
      </c>
      <c r="L173" s="108">
        <f>IF($B173=2017,IFERROR(INDEX('Team Performance'!$C$241:$C$270,MATCH($A173,'Team Performance'!$A$241:$A$270,0)),"n/a"),IFERROR(INDEX('Team Performance'!$B$39:$K$68,MATCH($A173,'Team Performance'!$A$39:$A$68,0),MATCH(($B173-2)&amp;"-"&amp;RIGHT($B173-1,2),'Team Performance'!$B$38:$K$38,0)),"n/a"))</f>
        <v>33</v>
      </c>
      <c r="M173" s="109">
        <f t="shared" si="5"/>
        <v>0.59756097560975607</v>
      </c>
      <c r="N173" s="108">
        <f>IF($B173=2017,IFERROR(INDEX('Team Performance'!$E$241:$E$270,MATCH($A173,'Team Performance'!$A$241:$A$270,0)),"n/a"),IFERROR(INDEX('Team Performance'!$B$140:$K$169,MATCH($A173,'Team Performance'!$A$140:$A$169,0),MATCH(($B173-2)&amp;"-"&amp;RIGHT($B173-1,2),'Team Performance'!$B$139:$K$139,0)),"n/a"))</f>
        <v>1</v>
      </c>
      <c r="O173" s="110">
        <f>IF($B173=2017,IFERROR(INDEX('Salary Cap'!$B$143:$B$172,MATCH($A173,'Salary Cap'!$A$143:$A$172,0)),"n/a"),IFERROR(INDEX('Salary Cap'!$B$10:$K$39,MATCH($A173,'Salary Cap'!$A$10:$A$39,0),MATCH(""&amp;($B173-1),'Salary Cap'!$B$9:$K$9,0)),"n/a"))</f>
        <v>182344527</v>
      </c>
      <c r="P173" s="115">
        <f>IF($B173=2017,IFERROR(INDEX('Salary Cap'!$C$143:$C$172,MATCH($A173,'Salary Cap'!$A$143:$A$172,0)),"n/a"),IFERROR(INDEX('Salary Cap'!$B$109:$K$138,MATCH($A173,'Salary Cap'!$A$109:$A$138,0),MATCH(""&amp;($B173-1),'Salary Cap'!$B$108:$K$108,0)),"n/a"))</f>
        <v>52464740</v>
      </c>
      <c r="Q173" s="138">
        <f>IF(OR($B173=2021,$B173=2022),1,0)</f>
        <v>0</v>
      </c>
    </row>
    <row r="174" spans="1:17" x14ac:dyDescent="0.2">
      <c r="A174" s="113" t="str" cm="1">
        <f t="array" ref="A174">INDEX('NBA Valuations'!$A$5:$A$34,INT((ROW()-5)/10)+1)</f>
        <v>Milwaukee Bucks</v>
      </c>
      <c r="B174" s="105">
        <f t="shared" si="4"/>
        <v>2026</v>
      </c>
      <c r="C174" s="106">
        <f>IFERROR(INDEX('NBA Valuations'!$B$5:$K$34,MATCH($A174,'NBA Valuations'!$A$5:$A$34,0),MATCH(""&amp;$B174,'NBA Valuations'!$B$3:$K$3,0)),"n/a")</f>
        <v>4300</v>
      </c>
      <c r="D174" s="106">
        <f>IFERROR(INDEX(Revenue!$B$5:$K$34,MATCH($A174,Revenue!$A$5:$A$34,0),MATCH(""&amp;$B174,Revenue!$B$3:$K$3,0)),"n/a")</f>
        <v>355</v>
      </c>
      <c r="E174" s="106">
        <f>IFERROR(INDEX('Operating Income'!$B$5:$K$34,MATCH($A174,'Operating Income'!$A$5:$A$34,0),MATCH(""&amp;$B174,'Operating Income'!$B$3:$K$3,0)),"n/a")</f>
        <v>26</v>
      </c>
      <c r="F174" s="107">
        <f>IFERROR(INDEX('Market Size'!$L$5:$L$34,MATCH($A174,'Market Size'!$A$5:$A$34,0)),"n/a")</f>
        <v>1574549</v>
      </c>
      <c r="G174" s="108">
        <f>IFERROR(INDEX('Market Size'!$B$38:$K$67,MATCH($A174,'Market Size'!$A$38:$A$67,0),MATCH(""&amp;($B174-1),'Market Size'!$B$36:$K$36,0)),"n/a")</f>
        <v>38</v>
      </c>
      <c r="H174" s="108">
        <f>IFERROR(INDEX(Arena!$B$38:$K$67,MATCH($A174,Arena!$A$38:$A$67,0),MATCH(""&amp;$B174,Arena!$B$36:$K$36,0)),"n/a")</f>
        <v>2018</v>
      </c>
      <c r="I174" s="136" t="str">
        <f>IFERROR(INDEX(Arena!$B$71:$K$100,MATCH($A174,Arena!$A$71:$A$100,0),MATCH(""&amp;$B174,Arena!$B$69:$K$69,0)),"n/a")</f>
        <v>N</v>
      </c>
      <c r="J174" s="137">
        <f>IF(ISNUMBER($H174),($B174-1)-$H174,"n/a")</f>
        <v>7</v>
      </c>
      <c r="K174" s="108">
        <f>IF($B174=2017,IFERROR(INDEX('Team Performance'!$B$241:$B$270,MATCH($A174,'Team Performance'!$A$241:$A$270,0)),"n/a"),IFERROR(INDEX('Team Performance'!$B$6:$K$35,MATCH($A174,'Team Performance'!$A$6:$A$35,0),MATCH(($B174-2)&amp;"-"&amp;RIGHT($B174-1,2),'Team Performance'!$B$5:$K$5,0)),"n/a"))</f>
        <v>48</v>
      </c>
      <c r="L174" s="108">
        <f>IF($B174=2017,IFERROR(INDEX('Team Performance'!$C$241:$C$270,MATCH($A174,'Team Performance'!$A$241:$A$270,0)),"n/a"),IFERROR(INDEX('Team Performance'!$B$39:$K$68,MATCH($A174,'Team Performance'!$A$39:$A$68,0),MATCH(($B174-2)&amp;"-"&amp;RIGHT($B174-1,2),'Team Performance'!$B$38:$K$38,0)),"n/a"))</f>
        <v>34</v>
      </c>
      <c r="M174" s="109">
        <f t="shared" si="5"/>
        <v>0.58536585365853655</v>
      </c>
      <c r="N174" s="108">
        <f>IF($B174=2017,IFERROR(INDEX('Team Performance'!$E$241:$E$270,MATCH($A174,'Team Performance'!$A$241:$A$270,0)),"n/a"),IFERROR(INDEX('Team Performance'!$B$140:$K$169,MATCH($A174,'Team Performance'!$A$140:$A$169,0),MATCH(($B174-2)&amp;"-"&amp;RIGHT($B174-1,2),'Team Performance'!$B$139:$K$139,0)),"n/a"))</f>
        <v>1</v>
      </c>
      <c r="O174" s="110">
        <f>IF($B174=2017,IFERROR(INDEX('Salary Cap'!$B$143:$B$172,MATCH($A174,'Salary Cap'!$A$143:$A$172,0)),"n/a"),IFERROR(INDEX('Salary Cap'!$B$10:$K$39,MATCH($A174,'Salary Cap'!$A$10:$A$39,0),MATCH(""&amp;($B174-1),'Salary Cap'!$B$9:$K$9,0)),"n/a"))</f>
        <v>181791983</v>
      </c>
      <c r="P174" s="115">
        <f>IF($B174=2017,IFERROR(INDEX('Salary Cap'!$C$143:$C$172,MATCH($A174,'Salary Cap'!$A$143:$A$172,0)),"n/a"),IFERROR(INDEX('Salary Cap'!$B$109:$K$138,MATCH($A174,'Salary Cap'!$A$109:$A$138,0),MATCH(""&amp;($B174-1),'Salary Cap'!$B$108:$K$108,0)),"n/a"))</f>
        <v>29378941</v>
      </c>
      <c r="Q174" s="138">
        <f>IF(OR($B174=2021,$B174=2022),1,0)</f>
        <v>0</v>
      </c>
    </row>
    <row r="175" spans="1:17" x14ac:dyDescent="0.2">
      <c r="A175" s="113" t="str" cm="1">
        <f t="array" ref="A175">INDEX('NBA Valuations'!$A$5:$A$34,INT((ROW()-5)/10)+1)</f>
        <v>Minnesota Timberwolves</v>
      </c>
      <c r="B175" s="105">
        <f t="shared" si="4"/>
        <v>2017</v>
      </c>
      <c r="C175" s="106">
        <f>IFERROR(INDEX('NBA Valuations'!$B$5:$K$34,MATCH($A175,'NBA Valuations'!$A$5:$A$34,0),MATCH(""&amp;$B175,'NBA Valuations'!$B$3:$K$3,0)),"n/a")</f>
        <v>770</v>
      </c>
      <c r="D175" s="106">
        <f>IFERROR(INDEX(Revenue!$B$5:$K$34,MATCH($A175,Revenue!$A$5:$A$34,0),MATCH(""&amp;$B175,Revenue!$B$3:$K$3,0)),"n/a")</f>
        <v>154</v>
      </c>
      <c r="E175" s="106">
        <f>IFERROR(INDEX('Operating Income'!$B$5:$K$34,MATCH($A175,'Operating Income'!$A$5:$A$34,0),MATCH(""&amp;$B175,'Operating Income'!$B$3:$K$3,0)),"n/a")</f>
        <v>25.9</v>
      </c>
      <c r="F175" s="107">
        <f>IFERROR(INDEX('Market Size'!$L$5:$L$34,MATCH($A175,'Market Size'!$A$5:$A$34,0)),"n/a")</f>
        <v>3694131</v>
      </c>
      <c r="G175" s="108" t="str">
        <f>IFERROR(INDEX('Market Size'!$B$38:$K$67,MATCH($A175,'Market Size'!$A$38:$A$67,0),MATCH(""&amp;($B175-1),'Market Size'!$B$36:$K$36,0)),"n/a")</f>
        <v>n/a</v>
      </c>
      <c r="H175" s="108">
        <f>IFERROR(INDEX(Arena!$B$38:$K$67,MATCH($A175,Arena!$A$38:$A$67,0),MATCH(""&amp;$B175,Arena!$B$36:$K$36,0)),"n/a")</f>
        <v>1990</v>
      </c>
      <c r="I175" s="136" t="str">
        <f>IFERROR(INDEX(Arena!$B$71:$K$100,MATCH($A175,Arena!$A$71:$A$100,0),MATCH(""&amp;$B175,Arena!$B$69:$K$69,0)),"n/a")</f>
        <v>N</v>
      </c>
      <c r="J175" s="137">
        <f>IF(ISNUMBER($H175),($B175-1)-$H175,"n/a")</f>
        <v>26</v>
      </c>
      <c r="K175" s="108">
        <f>IF($B175=2017,IFERROR(INDEX('Team Performance'!$B$241:$B$270,MATCH($A175,'Team Performance'!$A$241:$A$270,0)),"n/a"),IFERROR(INDEX('Team Performance'!$B$6:$K$35,MATCH($A175,'Team Performance'!$A$6:$A$35,0),MATCH(($B175-2)&amp;"-"&amp;RIGHT($B175-1,2),'Team Performance'!$B$5:$K$5,0)),"n/a"))</f>
        <v>29</v>
      </c>
      <c r="L175" s="108">
        <f>IF($B175=2017,IFERROR(INDEX('Team Performance'!$C$241:$C$270,MATCH($A175,'Team Performance'!$A$241:$A$270,0)),"n/a"),IFERROR(INDEX('Team Performance'!$B$39:$K$68,MATCH($A175,'Team Performance'!$A$39:$A$68,0),MATCH(($B175-2)&amp;"-"&amp;RIGHT($B175-1,2),'Team Performance'!$B$38:$K$38,0)),"n/a"))</f>
        <v>53</v>
      </c>
      <c r="M175" s="109">
        <f t="shared" si="5"/>
        <v>0.35365853658536583</v>
      </c>
      <c r="N175" s="108">
        <f>IF($B175=2017,IFERROR(INDEX('Team Performance'!$E$241:$E$270,MATCH($A175,'Team Performance'!$A$241:$A$270,0)),"n/a"),IFERROR(INDEX('Team Performance'!$B$140:$K$169,MATCH($A175,'Team Performance'!$A$140:$A$169,0),MATCH(($B175-2)&amp;"-"&amp;RIGHT($B175-1,2),'Team Performance'!$B$139:$K$139,0)),"n/a"))</f>
        <v>0</v>
      </c>
      <c r="O175" s="110">
        <f>IF($B175=2017,IFERROR(INDEX('Salary Cap'!$B$143:$B$172,MATCH($A175,'Salary Cap'!$A$143:$A$172,0)),"n/a"),IFERROR(INDEX('Salary Cap'!$B$10:$K$39,MATCH($A175,'Salary Cap'!$A$10:$A$39,0),MATCH(""&amp;($B175-1),'Salary Cap'!$B$9:$K$9,0)),"n/a"))</f>
        <v>70652855</v>
      </c>
      <c r="P175" s="115">
        <f>IF($B175=2017,IFERROR(INDEX('Salary Cap'!$C$143:$C$172,MATCH($A175,'Salary Cap'!$A$143:$A$172,0)),"n/a"),IFERROR(INDEX('Salary Cap'!$B$109:$K$138,MATCH($A175,'Salary Cap'!$A$109:$A$138,0),MATCH(""&amp;($B175-1),'Salary Cap'!$B$108:$K$108,0)),"n/a"))</f>
        <v>0</v>
      </c>
      <c r="Q175" s="138">
        <f>IF(OR($B175=2021,$B175=2022),1,0)</f>
        <v>0</v>
      </c>
    </row>
    <row r="176" spans="1:17" x14ac:dyDescent="0.2">
      <c r="A176" s="113" t="str" cm="1">
        <f t="array" ref="A176">INDEX('NBA Valuations'!$A$5:$A$34,INT((ROW()-5)/10)+1)</f>
        <v>Minnesota Timberwolves</v>
      </c>
      <c r="B176" s="105">
        <f t="shared" si="4"/>
        <v>2018</v>
      </c>
      <c r="C176" s="106">
        <f>IFERROR(INDEX('NBA Valuations'!$B$5:$K$34,MATCH($A176,'NBA Valuations'!$A$5:$A$34,0),MATCH(""&amp;$B176,'NBA Valuations'!$B$3:$K$3,0)),"n/a")</f>
        <v>1100</v>
      </c>
      <c r="D176" s="106">
        <f>IFERROR(INDEX(Revenue!$B$5:$K$34,MATCH($A176,Revenue!$A$5:$A$34,0),MATCH(""&amp;$B176,Revenue!$B$3:$K$3,0)),"n/a")</f>
        <v>204</v>
      </c>
      <c r="E176" s="106">
        <f>IFERROR(INDEX('Operating Income'!$B$5:$K$34,MATCH($A176,'Operating Income'!$A$5:$A$34,0),MATCH(""&amp;$B176,'Operating Income'!$B$3:$K$3,0)),"n/a")</f>
        <v>53</v>
      </c>
      <c r="F176" s="107">
        <f>IFERROR(INDEX('Market Size'!$L$5:$L$34,MATCH($A176,'Market Size'!$A$5:$A$34,0)),"n/a")</f>
        <v>3694131</v>
      </c>
      <c r="G176" s="108" t="str">
        <f>IFERROR(INDEX('Market Size'!$B$38:$K$67,MATCH($A176,'Market Size'!$A$38:$A$67,0),MATCH(""&amp;($B176-1),'Market Size'!$B$36:$K$36,0)),"n/a")</f>
        <v>n/a</v>
      </c>
      <c r="H176" s="108">
        <f>IFERROR(INDEX(Arena!$B$38:$K$67,MATCH($A176,Arena!$A$38:$A$67,0),MATCH(""&amp;$B176,Arena!$B$36:$K$36,0)),"n/a")</f>
        <v>1990</v>
      </c>
      <c r="I176" s="136" t="str">
        <f>IFERROR(INDEX(Arena!$B$71:$K$100,MATCH($A176,Arena!$A$71:$A$100,0),MATCH(""&amp;$B176,Arena!$B$69:$K$69,0)),"n/a")</f>
        <v>N</v>
      </c>
      <c r="J176" s="137">
        <f>IF(ISNUMBER($H176),($B176-1)-$H176,"n/a")</f>
        <v>27</v>
      </c>
      <c r="K176" s="108">
        <f>IF($B176=2017,IFERROR(INDEX('Team Performance'!$B$241:$B$270,MATCH($A176,'Team Performance'!$A$241:$A$270,0)),"n/a"),IFERROR(INDEX('Team Performance'!$B$6:$K$35,MATCH($A176,'Team Performance'!$A$6:$A$35,0),MATCH(($B176-2)&amp;"-"&amp;RIGHT($B176-1,2),'Team Performance'!$B$5:$K$5,0)),"n/a"))</f>
        <v>31</v>
      </c>
      <c r="L176" s="108">
        <f>IF($B176=2017,IFERROR(INDEX('Team Performance'!$C$241:$C$270,MATCH($A176,'Team Performance'!$A$241:$A$270,0)),"n/a"),IFERROR(INDEX('Team Performance'!$B$39:$K$68,MATCH($A176,'Team Performance'!$A$39:$A$68,0),MATCH(($B176-2)&amp;"-"&amp;RIGHT($B176-1,2),'Team Performance'!$B$38:$K$38,0)),"n/a"))</f>
        <v>51</v>
      </c>
      <c r="M176" s="109">
        <f t="shared" si="5"/>
        <v>0.37804878048780488</v>
      </c>
      <c r="N176" s="108">
        <f>IF($B176=2017,IFERROR(INDEX('Team Performance'!$E$241:$E$270,MATCH($A176,'Team Performance'!$A$241:$A$270,0)),"n/a"),IFERROR(INDEX('Team Performance'!$B$140:$K$169,MATCH($A176,'Team Performance'!$A$140:$A$169,0),MATCH(($B176-2)&amp;"-"&amp;RIGHT($B176-1,2),'Team Performance'!$B$139:$K$139,0)),"n/a"))</f>
        <v>0</v>
      </c>
      <c r="O176" s="110">
        <f>IF($B176=2017,IFERROR(INDEX('Salary Cap'!$B$143:$B$172,MATCH($A176,'Salary Cap'!$A$143:$A$172,0)),"n/a"),IFERROR(INDEX('Salary Cap'!$B$10:$K$39,MATCH($A176,'Salary Cap'!$A$10:$A$39,0),MATCH(""&amp;($B176-1),'Salary Cap'!$B$9:$K$9,0)),"n/a"))</f>
        <v>69605957</v>
      </c>
      <c r="P176" s="115">
        <f>IF($B176=2017,IFERROR(INDEX('Salary Cap'!$C$143:$C$172,MATCH($A176,'Salary Cap'!$A$143:$A$172,0)),"n/a"),IFERROR(INDEX('Salary Cap'!$B$109:$K$138,MATCH($A176,'Salary Cap'!$A$109:$A$138,0),MATCH(""&amp;($B176-1),'Salary Cap'!$B$108:$K$108,0)),"n/a"))</f>
        <v>0</v>
      </c>
      <c r="Q176" s="138">
        <f>IF(OR($B176=2021,$B176=2022),1,0)</f>
        <v>0</v>
      </c>
    </row>
    <row r="177" spans="1:17" x14ac:dyDescent="0.2">
      <c r="A177" s="113" t="str" cm="1">
        <f t="array" ref="A177">INDEX('NBA Valuations'!$A$5:$A$34,INT((ROW()-5)/10)+1)</f>
        <v>Minnesota Timberwolves</v>
      </c>
      <c r="B177" s="105">
        <f t="shared" si="4"/>
        <v>2019</v>
      </c>
      <c r="C177" s="106">
        <f>IFERROR(INDEX('NBA Valuations'!$B$5:$K$34,MATCH($A177,'NBA Valuations'!$A$5:$A$34,0),MATCH(""&amp;$B177,'NBA Valuations'!$B$3:$K$3,0)),"n/a")</f>
        <v>1300</v>
      </c>
      <c r="D177" s="106">
        <f>IFERROR(INDEX(Revenue!$B$5:$K$34,MATCH($A177,Revenue!$A$5:$A$34,0),MATCH(""&amp;$B177,Revenue!$B$3:$K$3,0)),"n/a")</f>
        <v>223</v>
      </c>
      <c r="E177" s="106">
        <f>IFERROR(INDEX('Operating Income'!$B$5:$K$34,MATCH($A177,'Operating Income'!$A$5:$A$34,0),MATCH(""&amp;$B177,'Operating Income'!$B$3:$K$3,0)),"n/a")</f>
        <v>47</v>
      </c>
      <c r="F177" s="107">
        <f>IFERROR(INDEX('Market Size'!$L$5:$L$34,MATCH($A177,'Market Size'!$A$5:$A$34,0)),"n/a")</f>
        <v>3694131</v>
      </c>
      <c r="G177" s="108" t="str">
        <f>IFERROR(INDEX('Market Size'!$B$38:$K$67,MATCH($A177,'Market Size'!$A$38:$A$67,0),MATCH(""&amp;($B177-1),'Market Size'!$B$36:$K$36,0)),"n/a")</f>
        <v>n/a</v>
      </c>
      <c r="H177" s="108">
        <f>IFERROR(INDEX(Arena!$B$38:$K$67,MATCH($A177,Arena!$A$38:$A$67,0),MATCH(""&amp;$B177,Arena!$B$36:$K$36,0)),"n/a")</f>
        <v>1990</v>
      </c>
      <c r="I177" s="136" t="str">
        <f>IFERROR(INDEX(Arena!$B$71:$K$100,MATCH($A177,Arena!$A$71:$A$100,0),MATCH(""&amp;$B177,Arena!$B$69:$K$69,0)),"n/a")</f>
        <v>N</v>
      </c>
      <c r="J177" s="137">
        <f>IF(ISNUMBER($H177),($B177-1)-$H177,"n/a")</f>
        <v>28</v>
      </c>
      <c r="K177" s="108">
        <f>IF($B177=2017,IFERROR(INDEX('Team Performance'!$B$241:$B$270,MATCH($A177,'Team Performance'!$A$241:$A$270,0)),"n/a"),IFERROR(INDEX('Team Performance'!$B$6:$K$35,MATCH($A177,'Team Performance'!$A$6:$A$35,0),MATCH(($B177-2)&amp;"-"&amp;RIGHT($B177-1,2),'Team Performance'!$B$5:$K$5,0)),"n/a"))</f>
        <v>47</v>
      </c>
      <c r="L177" s="108">
        <f>IF($B177=2017,IFERROR(INDEX('Team Performance'!$C$241:$C$270,MATCH($A177,'Team Performance'!$A$241:$A$270,0)),"n/a"),IFERROR(INDEX('Team Performance'!$B$39:$K$68,MATCH($A177,'Team Performance'!$A$39:$A$68,0),MATCH(($B177-2)&amp;"-"&amp;RIGHT($B177-1,2),'Team Performance'!$B$38:$K$38,0)),"n/a"))</f>
        <v>35</v>
      </c>
      <c r="M177" s="109">
        <f t="shared" si="5"/>
        <v>0.57317073170731703</v>
      </c>
      <c r="N177" s="108">
        <f>IF($B177=2017,IFERROR(INDEX('Team Performance'!$E$241:$E$270,MATCH($A177,'Team Performance'!$A$241:$A$270,0)),"n/a"),IFERROR(INDEX('Team Performance'!$B$140:$K$169,MATCH($A177,'Team Performance'!$A$140:$A$169,0),MATCH(($B177-2)&amp;"-"&amp;RIGHT($B177-1,2),'Team Performance'!$B$139:$K$139,0)),"n/a"))</f>
        <v>1</v>
      </c>
      <c r="O177" s="110">
        <f>IF($B177=2017,IFERROR(INDEX('Salary Cap'!$B$143:$B$172,MATCH($A177,'Salary Cap'!$A$143:$A$172,0)),"n/a"),IFERROR(INDEX('Salary Cap'!$B$10:$K$39,MATCH($A177,'Salary Cap'!$A$10:$A$39,0),MATCH(""&amp;($B177-1),'Salary Cap'!$B$9:$K$9,0)),"n/a"))</f>
        <v>105338698</v>
      </c>
      <c r="P177" s="115">
        <f>IF($B177=2017,IFERROR(INDEX('Salary Cap'!$C$143:$C$172,MATCH($A177,'Salary Cap'!$A$143:$A$172,0)),"n/a"),IFERROR(INDEX('Salary Cap'!$B$109:$K$138,MATCH($A177,'Salary Cap'!$A$109:$A$138,0),MATCH(""&amp;($B177-1),'Salary Cap'!$B$108:$K$108,0)),"n/a"))</f>
        <v>0</v>
      </c>
      <c r="Q177" s="138">
        <f>IF(OR($B177=2021,$B177=2022),1,0)</f>
        <v>0</v>
      </c>
    </row>
    <row r="178" spans="1:17" x14ac:dyDescent="0.2">
      <c r="A178" s="113" t="str" cm="1">
        <f t="array" ref="A178">INDEX('NBA Valuations'!$A$5:$A$34,INT((ROW()-5)/10)+1)</f>
        <v>Minnesota Timberwolves</v>
      </c>
      <c r="B178" s="105">
        <f t="shared" si="4"/>
        <v>2020</v>
      </c>
      <c r="C178" s="106">
        <f>IFERROR(INDEX('NBA Valuations'!$B$5:$K$34,MATCH($A178,'NBA Valuations'!$A$5:$A$34,0),MATCH(""&amp;$B178,'NBA Valuations'!$B$3:$K$3,0)),"n/a")</f>
        <v>1400</v>
      </c>
      <c r="D178" s="106">
        <f>IFERROR(INDEX(Revenue!$B$5:$K$34,MATCH($A178,Revenue!$A$5:$A$34,0),MATCH(""&amp;$B178,Revenue!$B$3:$K$3,0)),"n/a")</f>
        <v>234</v>
      </c>
      <c r="E178" s="106">
        <f>IFERROR(INDEX('Operating Income'!$B$5:$K$34,MATCH($A178,'Operating Income'!$A$5:$A$34,0),MATCH(""&amp;$B178,'Operating Income'!$B$3:$K$3,0)),"n/a")</f>
        <v>46</v>
      </c>
      <c r="F178" s="107">
        <f>IFERROR(INDEX('Market Size'!$L$5:$L$34,MATCH($A178,'Market Size'!$A$5:$A$34,0)),"n/a")</f>
        <v>3694131</v>
      </c>
      <c r="G178" s="108" t="str">
        <f>IFERROR(INDEX('Market Size'!$B$38:$K$67,MATCH($A178,'Market Size'!$A$38:$A$67,0),MATCH(""&amp;($B178-1),'Market Size'!$B$36:$K$36,0)),"n/a")</f>
        <v>n/a</v>
      </c>
      <c r="H178" s="108">
        <f>IFERROR(INDEX(Arena!$B$38:$K$67,MATCH($A178,Arena!$A$38:$A$67,0),MATCH(""&amp;$B178,Arena!$B$36:$K$36,0)),"n/a")</f>
        <v>1990</v>
      </c>
      <c r="I178" s="136" t="str">
        <f>IFERROR(INDEX(Arena!$B$71:$K$100,MATCH($A178,Arena!$A$71:$A$100,0),MATCH(""&amp;$B178,Arena!$B$69:$K$69,0)),"n/a")</f>
        <v>N</v>
      </c>
      <c r="J178" s="137">
        <f>IF(ISNUMBER($H178),($B178-1)-$H178,"n/a")</f>
        <v>29</v>
      </c>
      <c r="K178" s="108">
        <f>IF($B178=2017,IFERROR(INDEX('Team Performance'!$B$241:$B$270,MATCH($A178,'Team Performance'!$A$241:$A$270,0)),"n/a"),IFERROR(INDEX('Team Performance'!$B$6:$K$35,MATCH($A178,'Team Performance'!$A$6:$A$35,0),MATCH(($B178-2)&amp;"-"&amp;RIGHT($B178-1,2),'Team Performance'!$B$5:$K$5,0)),"n/a"))</f>
        <v>36</v>
      </c>
      <c r="L178" s="108">
        <f>IF($B178=2017,IFERROR(INDEX('Team Performance'!$C$241:$C$270,MATCH($A178,'Team Performance'!$A$241:$A$270,0)),"n/a"),IFERROR(INDEX('Team Performance'!$B$39:$K$68,MATCH($A178,'Team Performance'!$A$39:$A$68,0),MATCH(($B178-2)&amp;"-"&amp;RIGHT($B178-1,2),'Team Performance'!$B$38:$K$38,0)),"n/a"))</f>
        <v>46</v>
      </c>
      <c r="M178" s="109">
        <f t="shared" si="5"/>
        <v>0.43902439024390244</v>
      </c>
      <c r="N178" s="108">
        <f>IF($B178=2017,IFERROR(INDEX('Team Performance'!$E$241:$E$270,MATCH($A178,'Team Performance'!$A$241:$A$270,0)),"n/a"),IFERROR(INDEX('Team Performance'!$B$140:$K$169,MATCH($A178,'Team Performance'!$A$140:$A$169,0),MATCH(($B178-2)&amp;"-"&amp;RIGHT($B178-1,2),'Team Performance'!$B$139:$K$139,0)),"n/a"))</f>
        <v>0</v>
      </c>
      <c r="O178" s="110">
        <f>IF($B178=2017,IFERROR(INDEX('Salary Cap'!$B$143:$B$172,MATCH($A178,'Salary Cap'!$A$143:$A$172,0)),"n/a"),IFERROR(INDEX('Salary Cap'!$B$10:$K$39,MATCH($A178,'Salary Cap'!$A$10:$A$39,0),MATCH(""&amp;($B178-1),'Salary Cap'!$B$9:$K$9,0)),"n/a"))</f>
        <v>120431914</v>
      </c>
      <c r="P178" s="115">
        <f>IF($B178=2017,IFERROR(INDEX('Salary Cap'!$C$143:$C$172,MATCH($A178,'Salary Cap'!$A$143:$A$172,0)),"n/a"),IFERROR(INDEX('Salary Cap'!$B$109:$K$138,MATCH($A178,'Salary Cap'!$A$109:$A$138,0),MATCH(""&amp;($B178-1),'Salary Cap'!$B$108:$K$108,0)),"n/a"))</f>
        <v>0</v>
      </c>
      <c r="Q178" s="138">
        <f>IF(OR($B178=2021,$B178=2022),1,0)</f>
        <v>0</v>
      </c>
    </row>
    <row r="179" spans="1:17" x14ac:dyDescent="0.2">
      <c r="A179" s="113" t="str" cm="1">
        <f t="array" ref="A179">INDEX('NBA Valuations'!$A$5:$A$34,INT((ROW()-5)/10)+1)</f>
        <v>Minnesota Timberwolves</v>
      </c>
      <c r="B179" s="105">
        <f t="shared" si="4"/>
        <v>2021</v>
      </c>
      <c r="C179" s="106">
        <f>IFERROR(INDEX('NBA Valuations'!$B$5:$K$34,MATCH($A179,'NBA Valuations'!$A$5:$A$34,0),MATCH(""&amp;$B179,'NBA Valuations'!$B$3:$K$3,0)),"n/a")</f>
        <v>1400</v>
      </c>
      <c r="D179" s="106">
        <f>IFERROR(INDEX(Revenue!$B$5:$K$34,MATCH($A179,Revenue!$A$5:$A$34,0),MATCH(""&amp;$B179,Revenue!$B$3:$K$3,0)),"n/a")</f>
        <v>214</v>
      </c>
      <c r="E179" s="106">
        <f>IFERROR(INDEX('Operating Income'!$B$5:$K$34,MATCH($A179,'Operating Income'!$A$5:$A$34,0),MATCH(""&amp;$B179,'Operating Income'!$B$3:$K$3,0)),"n/a")</f>
        <v>32</v>
      </c>
      <c r="F179" s="107">
        <f>IFERROR(INDEX('Market Size'!$L$5:$L$34,MATCH($A179,'Market Size'!$A$5:$A$34,0)),"n/a")</f>
        <v>3694131</v>
      </c>
      <c r="G179" s="108" t="str">
        <f>IFERROR(INDEX('Market Size'!$B$38:$K$67,MATCH($A179,'Market Size'!$A$38:$A$67,0),MATCH(""&amp;($B179-1),'Market Size'!$B$36:$K$36,0)),"n/a")</f>
        <v>n/a</v>
      </c>
      <c r="H179" s="108">
        <f>IFERROR(INDEX(Arena!$B$38:$K$67,MATCH($A179,Arena!$A$38:$A$67,0),MATCH(""&amp;$B179,Arena!$B$36:$K$36,0)),"n/a")</f>
        <v>1990</v>
      </c>
      <c r="I179" s="136" t="str">
        <f>IFERROR(INDEX(Arena!$B$71:$K$100,MATCH($A179,Arena!$A$71:$A$100,0),MATCH(""&amp;$B179,Arena!$B$69:$K$69,0)),"n/a")</f>
        <v>N</v>
      </c>
      <c r="J179" s="137">
        <f>IF(ISNUMBER($H179),($B179-1)-$H179,"n/a")</f>
        <v>30</v>
      </c>
      <c r="K179" s="108">
        <f>IF($B179=2017,IFERROR(INDEX('Team Performance'!$B$241:$B$270,MATCH($A179,'Team Performance'!$A$241:$A$270,0)),"n/a"),IFERROR(INDEX('Team Performance'!$B$6:$K$35,MATCH($A179,'Team Performance'!$A$6:$A$35,0),MATCH(($B179-2)&amp;"-"&amp;RIGHT($B179-1,2),'Team Performance'!$B$5:$K$5,0)),"n/a"))</f>
        <v>19</v>
      </c>
      <c r="L179" s="108">
        <f>IF($B179=2017,IFERROR(INDEX('Team Performance'!$C$241:$C$270,MATCH($A179,'Team Performance'!$A$241:$A$270,0)),"n/a"),IFERROR(INDEX('Team Performance'!$B$39:$K$68,MATCH($A179,'Team Performance'!$A$39:$A$68,0),MATCH(($B179-2)&amp;"-"&amp;RIGHT($B179-1,2),'Team Performance'!$B$38:$K$38,0)),"n/a"))</f>
        <v>45</v>
      </c>
      <c r="M179" s="109">
        <f t="shared" si="5"/>
        <v>0.296875</v>
      </c>
      <c r="N179" s="108">
        <f>IF($B179=2017,IFERROR(INDEX('Team Performance'!$E$241:$E$270,MATCH($A179,'Team Performance'!$A$241:$A$270,0)),"n/a"),IFERROR(INDEX('Team Performance'!$B$140:$K$169,MATCH($A179,'Team Performance'!$A$140:$A$169,0),MATCH(($B179-2)&amp;"-"&amp;RIGHT($B179-1,2),'Team Performance'!$B$139:$K$139,0)),"n/a"))</f>
        <v>0</v>
      </c>
      <c r="O179" s="110">
        <f>IF($B179=2017,IFERROR(INDEX('Salary Cap'!$B$143:$B$172,MATCH($A179,'Salary Cap'!$A$143:$A$172,0)),"n/a"),IFERROR(INDEX('Salary Cap'!$B$10:$K$39,MATCH($A179,'Salary Cap'!$A$10:$A$39,0),MATCH(""&amp;($B179-1),'Salary Cap'!$B$9:$K$9,0)),"n/a"))</f>
        <v>133543271</v>
      </c>
      <c r="P179" s="115">
        <f>IF($B179=2017,IFERROR(INDEX('Salary Cap'!$C$143:$C$172,MATCH($A179,'Salary Cap'!$A$143:$A$172,0)),"n/a"),IFERROR(INDEX('Salary Cap'!$B$109:$K$138,MATCH($A179,'Salary Cap'!$A$109:$A$138,0),MATCH(""&amp;($B179-1),'Salary Cap'!$B$108:$K$108,0)),"n/a"))</f>
        <v>497502</v>
      </c>
      <c r="Q179" s="138">
        <f>IF(OR($B179=2021,$B179=2022),1,0)</f>
        <v>1</v>
      </c>
    </row>
    <row r="180" spans="1:17" x14ac:dyDescent="0.2">
      <c r="A180" s="113" t="str" cm="1">
        <f t="array" ref="A180">INDEX('NBA Valuations'!$A$5:$A$34,INT((ROW()-5)/10)+1)</f>
        <v>Minnesota Timberwolves</v>
      </c>
      <c r="B180" s="105">
        <f t="shared" si="4"/>
        <v>2022</v>
      </c>
      <c r="C180" s="106">
        <f>IFERROR(INDEX('NBA Valuations'!$B$5:$K$34,MATCH($A180,'NBA Valuations'!$A$5:$A$34,0),MATCH(""&amp;$B180,'NBA Valuations'!$B$3:$K$3,0)),"n/a")</f>
        <v>1550</v>
      </c>
      <c r="D180" s="106">
        <f>IFERROR(INDEX(Revenue!$B$5:$K$34,MATCH($A180,Revenue!$A$5:$A$34,0),MATCH(""&amp;$B180,Revenue!$B$3:$K$3,0)),"n/a")</f>
        <v>199</v>
      </c>
      <c r="E180" s="106">
        <f>IFERROR(INDEX('Operating Income'!$B$5:$K$34,MATCH($A180,'Operating Income'!$A$5:$A$34,0),MATCH(""&amp;$B180,'Operating Income'!$B$3:$K$3,0)),"n/a")</f>
        <v>29</v>
      </c>
      <c r="F180" s="107">
        <f>IFERROR(INDEX('Market Size'!$L$5:$L$34,MATCH($A180,'Market Size'!$A$5:$A$34,0)),"n/a")</f>
        <v>3694131</v>
      </c>
      <c r="G180" s="108" t="str">
        <f>IFERROR(INDEX('Market Size'!$B$38:$K$67,MATCH($A180,'Market Size'!$A$38:$A$67,0),MATCH(""&amp;($B180-1),'Market Size'!$B$36:$K$36,0)),"n/a")</f>
        <v>n/a</v>
      </c>
      <c r="H180" s="108">
        <f>IFERROR(INDEX(Arena!$B$38:$K$67,MATCH($A180,Arena!$A$38:$A$67,0),MATCH(""&amp;$B180,Arena!$B$36:$K$36,0)),"n/a")</f>
        <v>1990</v>
      </c>
      <c r="I180" s="136" t="str">
        <f>IFERROR(INDEX(Arena!$B$71:$K$100,MATCH($A180,Arena!$A$71:$A$100,0),MATCH(""&amp;$B180,Arena!$B$69:$K$69,0)),"n/a")</f>
        <v>N</v>
      </c>
      <c r="J180" s="137">
        <f>IF(ISNUMBER($H180),($B180-1)-$H180,"n/a")</f>
        <v>31</v>
      </c>
      <c r="K180" s="108">
        <f>IF($B180=2017,IFERROR(INDEX('Team Performance'!$B$241:$B$270,MATCH($A180,'Team Performance'!$A$241:$A$270,0)),"n/a"),IFERROR(INDEX('Team Performance'!$B$6:$K$35,MATCH($A180,'Team Performance'!$A$6:$A$35,0),MATCH(($B180-2)&amp;"-"&amp;RIGHT($B180-1,2),'Team Performance'!$B$5:$K$5,0)),"n/a"))</f>
        <v>23</v>
      </c>
      <c r="L180" s="108">
        <f>IF($B180=2017,IFERROR(INDEX('Team Performance'!$C$241:$C$270,MATCH($A180,'Team Performance'!$A$241:$A$270,0)),"n/a"),IFERROR(INDEX('Team Performance'!$B$39:$K$68,MATCH($A180,'Team Performance'!$A$39:$A$68,0),MATCH(($B180-2)&amp;"-"&amp;RIGHT($B180-1,2),'Team Performance'!$B$38:$K$38,0)),"n/a"))</f>
        <v>49</v>
      </c>
      <c r="M180" s="109">
        <f t="shared" si="5"/>
        <v>0.31944444444444442</v>
      </c>
      <c r="N180" s="108">
        <f>IF($B180=2017,IFERROR(INDEX('Team Performance'!$E$241:$E$270,MATCH($A180,'Team Performance'!$A$241:$A$270,0)),"n/a"),IFERROR(INDEX('Team Performance'!$B$140:$K$169,MATCH($A180,'Team Performance'!$A$140:$A$169,0),MATCH(($B180-2)&amp;"-"&amp;RIGHT($B180-1,2),'Team Performance'!$B$139:$K$139,0)),"n/a"))</f>
        <v>0</v>
      </c>
      <c r="O180" s="110">
        <f>IF($B180=2017,IFERROR(INDEX('Salary Cap'!$B$143:$B$172,MATCH($A180,'Salary Cap'!$A$143:$A$172,0)),"n/a"),IFERROR(INDEX('Salary Cap'!$B$10:$K$39,MATCH($A180,'Salary Cap'!$A$10:$A$39,0),MATCH(""&amp;($B180-1),'Salary Cap'!$B$9:$K$9,0)),"n/a"))</f>
        <v>129024393</v>
      </c>
      <c r="P180" s="115">
        <f>IF($B180=2017,IFERROR(INDEX('Salary Cap'!$C$143:$C$172,MATCH($A180,'Salary Cap'!$A$143:$A$172,0)),"n/a"),IFERROR(INDEX('Salary Cap'!$B$109:$K$138,MATCH($A180,'Salary Cap'!$A$109:$A$138,0),MATCH(""&amp;($B180-1),'Salary Cap'!$B$108:$K$108,0)),"n/a"))</f>
        <v>0</v>
      </c>
      <c r="Q180" s="138">
        <f>IF(OR($B180=2021,$B180=2022),1,0)</f>
        <v>1</v>
      </c>
    </row>
    <row r="181" spans="1:17" x14ac:dyDescent="0.2">
      <c r="A181" s="113" t="str" cm="1">
        <f t="array" ref="A181">INDEX('NBA Valuations'!$A$5:$A$34,INT((ROW()-5)/10)+1)</f>
        <v>Minnesota Timberwolves</v>
      </c>
      <c r="B181" s="105">
        <f t="shared" si="4"/>
        <v>2023</v>
      </c>
      <c r="C181" s="106">
        <f>IFERROR(INDEX('NBA Valuations'!$B$5:$K$34,MATCH($A181,'NBA Valuations'!$A$5:$A$34,0),MATCH(""&amp;$B181,'NBA Valuations'!$B$3:$K$3,0)),"n/a")</f>
        <v>1670</v>
      </c>
      <c r="D181" s="106">
        <f>IFERROR(INDEX(Revenue!$B$5:$K$34,MATCH($A181,Revenue!$A$5:$A$34,0),MATCH(""&amp;$B181,Revenue!$B$3:$K$3,0)),"n/a")</f>
        <v>271</v>
      </c>
      <c r="E181" s="106">
        <f>IFERROR(INDEX('Operating Income'!$B$5:$K$34,MATCH($A181,'Operating Income'!$A$5:$A$34,0),MATCH(""&amp;$B181,'Operating Income'!$B$3:$K$3,0)),"n/a")</f>
        <v>87</v>
      </c>
      <c r="F181" s="107">
        <f>IFERROR(INDEX('Market Size'!$L$5:$L$34,MATCH($A181,'Market Size'!$A$5:$A$34,0)),"n/a")</f>
        <v>3694131</v>
      </c>
      <c r="G181" s="108" t="str">
        <f>IFERROR(INDEX('Market Size'!$B$38:$K$67,MATCH($A181,'Market Size'!$A$38:$A$67,0),MATCH(""&amp;($B181-1),'Market Size'!$B$36:$K$36,0)),"n/a")</f>
        <v>n/a</v>
      </c>
      <c r="H181" s="108">
        <f>IFERROR(INDEX(Arena!$B$38:$K$67,MATCH($A181,Arena!$A$38:$A$67,0),MATCH(""&amp;$B181,Arena!$B$36:$K$36,0)),"n/a")</f>
        <v>1990</v>
      </c>
      <c r="I181" s="136" t="str">
        <f>IFERROR(INDEX(Arena!$B$71:$K$100,MATCH($A181,Arena!$A$71:$A$100,0),MATCH(""&amp;$B181,Arena!$B$69:$K$69,0)),"n/a")</f>
        <v>N</v>
      </c>
      <c r="J181" s="137">
        <f>IF(ISNUMBER($H181),($B181-1)-$H181,"n/a")</f>
        <v>32</v>
      </c>
      <c r="K181" s="108">
        <f>IF($B181=2017,IFERROR(INDEX('Team Performance'!$B$241:$B$270,MATCH($A181,'Team Performance'!$A$241:$A$270,0)),"n/a"),IFERROR(INDEX('Team Performance'!$B$6:$K$35,MATCH($A181,'Team Performance'!$A$6:$A$35,0),MATCH(($B181-2)&amp;"-"&amp;RIGHT($B181-1,2),'Team Performance'!$B$5:$K$5,0)),"n/a"))</f>
        <v>46</v>
      </c>
      <c r="L181" s="108">
        <f>IF($B181=2017,IFERROR(INDEX('Team Performance'!$C$241:$C$270,MATCH($A181,'Team Performance'!$A$241:$A$270,0)),"n/a"),IFERROR(INDEX('Team Performance'!$B$39:$K$68,MATCH($A181,'Team Performance'!$A$39:$A$68,0),MATCH(($B181-2)&amp;"-"&amp;RIGHT($B181-1,2),'Team Performance'!$B$38:$K$38,0)),"n/a"))</f>
        <v>36</v>
      </c>
      <c r="M181" s="109">
        <f t="shared" si="5"/>
        <v>0.56097560975609762</v>
      </c>
      <c r="N181" s="108">
        <f>IF($B181=2017,IFERROR(INDEX('Team Performance'!$E$241:$E$270,MATCH($A181,'Team Performance'!$A$241:$A$270,0)),"n/a"),IFERROR(INDEX('Team Performance'!$B$140:$K$169,MATCH($A181,'Team Performance'!$A$140:$A$169,0),MATCH(($B181-2)&amp;"-"&amp;RIGHT($B181-1,2),'Team Performance'!$B$139:$K$139,0)),"n/a"))</f>
        <v>1</v>
      </c>
      <c r="O181" s="110">
        <f>IF($B181=2017,IFERROR(INDEX('Salary Cap'!$B$143:$B$172,MATCH($A181,'Salary Cap'!$A$143:$A$172,0)),"n/a"),IFERROR(INDEX('Salary Cap'!$B$10:$K$39,MATCH($A181,'Salary Cap'!$A$10:$A$39,0),MATCH(""&amp;($B181-1),'Salary Cap'!$B$9:$K$9,0)),"n/a"))</f>
        <v>136105827</v>
      </c>
      <c r="P181" s="115">
        <f>IF($B181=2017,IFERROR(INDEX('Salary Cap'!$C$143:$C$172,MATCH($A181,'Salary Cap'!$A$143:$A$172,0)),"n/a"),IFERROR(INDEX('Salary Cap'!$B$109:$K$138,MATCH($A181,'Salary Cap'!$A$109:$A$138,0),MATCH(""&amp;($B181-1),'Salary Cap'!$B$108:$K$108,0)),"n/a"))</f>
        <v>0</v>
      </c>
      <c r="Q181" s="138">
        <f>IF(OR($B181=2021,$B181=2022),1,0)</f>
        <v>0</v>
      </c>
    </row>
    <row r="182" spans="1:17" x14ac:dyDescent="0.2">
      <c r="A182" s="113" t="str" cm="1">
        <f t="array" ref="A182">INDEX('NBA Valuations'!$A$5:$A$34,INT((ROW()-5)/10)+1)</f>
        <v>Minnesota Timberwolves</v>
      </c>
      <c r="B182" s="105">
        <f t="shared" si="4"/>
        <v>2024</v>
      </c>
      <c r="C182" s="106">
        <f>IFERROR(INDEX('NBA Valuations'!$B$5:$K$34,MATCH($A182,'NBA Valuations'!$A$5:$A$34,0),MATCH(""&amp;$B182,'NBA Valuations'!$B$3:$K$3,0)),"n/a")</f>
        <v>2500</v>
      </c>
      <c r="D182" s="106">
        <f>IFERROR(INDEX(Revenue!$B$5:$K$34,MATCH($A182,Revenue!$A$5:$A$34,0),MATCH(""&amp;$B182,Revenue!$B$3:$K$3,0)),"n/a")</f>
        <v>259</v>
      </c>
      <c r="E182" s="106">
        <f>IFERROR(INDEX('Operating Income'!$B$5:$K$34,MATCH($A182,'Operating Income'!$A$5:$A$34,0),MATCH(""&amp;$B182,'Operating Income'!$B$3:$K$3,0)),"n/a")</f>
        <v>47</v>
      </c>
      <c r="F182" s="107">
        <f>IFERROR(INDEX('Market Size'!$L$5:$L$34,MATCH($A182,'Market Size'!$A$5:$A$34,0)),"n/a")</f>
        <v>3694131</v>
      </c>
      <c r="G182" s="108" t="str">
        <f>IFERROR(INDEX('Market Size'!$B$38:$K$67,MATCH($A182,'Market Size'!$A$38:$A$67,0),MATCH(""&amp;($B182-1),'Market Size'!$B$36:$K$36,0)),"n/a")</f>
        <v>n/a</v>
      </c>
      <c r="H182" s="108">
        <f>IFERROR(INDEX(Arena!$B$38:$K$67,MATCH($A182,Arena!$A$38:$A$67,0),MATCH(""&amp;$B182,Arena!$B$36:$K$36,0)),"n/a")</f>
        <v>1990</v>
      </c>
      <c r="I182" s="136" t="str">
        <f>IFERROR(INDEX(Arena!$B$71:$K$100,MATCH($A182,Arena!$A$71:$A$100,0),MATCH(""&amp;$B182,Arena!$B$69:$K$69,0)),"n/a")</f>
        <v>N</v>
      </c>
      <c r="J182" s="137">
        <f>IF(ISNUMBER($H182),($B182-1)-$H182,"n/a")</f>
        <v>33</v>
      </c>
      <c r="K182" s="108">
        <f>IF($B182=2017,IFERROR(INDEX('Team Performance'!$B$241:$B$270,MATCH($A182,'Team Performance'!$A$241:$A$270,0)),"n/a"),IFERROR(INDEX('Team Performance'!$B$6:$K$35,MATCH($A182,'Team Performance'!$A$6:$A$35,0),MATCH(($B182-2)&amp;"-"&amp;RIGHT($B182-1,2),'Team Performance'!$B$5:$K$5,0)),"n/a"))</f>
        <v>42</v>
      </c>
      <c r="L182" s="108">
        <f>IF($B182=2017,IFERROR(INDEX('Team Performance'!$C$241:$C$270,MATCH($A182,'Team Performance'!$A$241:$A$270,0)),"n/a"),IFERROR(INDEX('Team Performance'!$B$39:$K$68,MATCH($A182,'Team Performance'!$A$39:$A$68,0),MATCH(($B182-2)&amp;"-"&amp;RIGHT($B182-1,2),'Team Performance'!$B$38:$K$38,0)),"n/a"))</f>
        <v>40</v>
      </c>
      <c r="M182" s="109">
        <f t="shared" si="5"/>
        <v>0.51219512195121952</v>
      </c>
      <c r="N182" s="108">
        <f>IF($B182=2017,IFERROR(INDEX('Team Performance'!$E$241:$E$270,MATCH($A182,'Team Performance'!$A$241:$A$270,0)),"n/a"),IFERROR(INDEX('Team Performance'!$B$140:$K$169,MATCH($A182,'Team Performance'!$A$140:$A$169,0),MATCH(($B182-2)&amp;"-"&amp;RIGHT($B182-1,2),'Team Performance'!$B$139:$K$139,0)),"n/a"))</f>
        <v>1</v>
      </c>
      <c r="O182" s="110">
        <f>IF($B182=2017,IFERROR(INDEX('Salary Cap'!$B$143:$B$172,MATCH($A182,'Salary Cap'!$A$143:$A$172,0)),"n/a"),IFERROR(INDEX('Salary Cap'!$B$10:$K$39,MATCH($A182,'Salary Cap'!$A$10:$A$39,0),MATCH(""&amp;($B182-1),'Salary Cap'!$B$9:$K$9,0)),"n/a"))</f>
        <v>143294647</v>
      </c>
      <c r="P182" s="115">
        <f>IF($B182=2017,IFERROR(INDEX('Salary Cap'!$C$143:$C$172,MATCH($A182,'Salary Cap'!$A$143:$A$172,0)),"n/a"),IFERROR(INDEX('Salary Cap'!$B$109:$K$138,MATCH($A182,'Salary Cap'!$A$109:$A$138,0),MATCH(""&amp;($B182-1),'Salary Cap'!$B$108:$K$108,0)),"n/a"))</f>
        <v>0</v>
      </c>
      <c r="Q182" s="138">
        <f>IF(OR($B182=2021,$B182=2022),1,0)</f>
        <v>0</v>
      </c>
    </row>
    <row r="183" spans="1:17" x14ac:dyDescent="0.2">
      <c r="A183" s="113" t="str" cm="1">
        <f t="array" ref="A183">INDEX('NBA Valuations'!$A$5:$A$34,INT((ROW()-5)/10)+1)</f>
        <v>Minnesota Timberwolves</v>
      </c>
      <c r="B183" s="105">
        <f t="shared" si="4"/>
        <v>2025</v>
      </c>
      <c r="C183" s="106">
        <f>IFERROR(INDEX('NBA Valuations'!$B$5:$K$34,MATCH($A183,'NBA Valuations'!$A$5:$A$34,0),MATCH(""&amp;$B183,'NBA Valuations'!$B$3:$K$3,0)),"n/a")</f>
        <v>3100</v>
      </c>
      <c r="D183" s="106">
        <f>IFERROR(INDEX(Revenue!$B$5:$K$34,MATCH($A183,Revenue!$A$5:$A$34,0),MATCH(""&amp;$B183,Revenue!$B$3:$K$3,0)),"n/a")</f>
        <v>305</v>
      </c>
      <c r="E183" s="106">
        <f>IFERROR(INDEX('Operating Income'!$B$5:$K$34,MATCH($A183,'Operating Income'!$A$5:$A$34,0),MATCH(""&amp;$B183,'Operating Income'!$B$3:$K$3,0)),"n/a")</f>
        <v>72</v>
      </c>
      <c r="F183" s="107">
        <f>IFERROR(INDEX('Market Size'!$L$5:$L$34,MATCH($A183,'Market Size'!$A$5:$A$34,0)),"n/a")</f>
        <v>3694131</v>
      </c>
      <c r="G183" s="108">
        <f>IFERROR(INDEX('Market Size'!$B$38:$K$67,MATCH($A183,'Market Size'!$A$38:$A$67,0),MATCH(""&amp;($B183-1),'Market Size'!$B$36:$K$36,0)),"n/a")</f>
        <v>15</v>
      </c>
      <c r="H183" s="108">
        <f>IFERROR(INDEX(Arena!$B$38:$K$67,MATCH($A183,Arena!$A$38:$A$67,0),MATCH(""&amp;$B183,Arena!$B$36:$K$36,0)),"n/a")</f>
        <v>1990</v>
      </c>
      <c r="I183" s="136" t="str">
        <f>IFERROR(INDEX(Arena!$B$71:$K$100,MATCH($A183,Arena!$A$71:$A$100,0),MATCH(""&amp;$B183,Arena!$B$69:$K$69,0)),"n/a")</f>
        <v>N</v>
      </c>
      <c r="J183" s="137">
        <f>IF(ISNUMBER($H183),($B183-1)-$H183,"n/a")</f>
        <v>34</v>
      </c>
      <c r="K183" s="108">
        <f>IF($B183=2017,IFERROR(INDEX('Team Performance'!$B$241:$B$270,MATCH($A183,'Team Performance'!$A$241:$A$270,0)),"n/a"),IFERROR(INDEX('Team Performance'!$B$6:$K$35,MATCH($A183,'Team Performance'!$A$6:$A$35,0),MATCH(($B183-2)&amp;"-"&amp;RIGHT($B183-1,2),'Team Performance'!$B$5:$K$5,0)),"n/a"))</f>
        <v>56</v>
      </c>
      <c r="L183" s="108">
        <f>IF($B183=2017,IFERROR(INDEX('Team Performance'!$C$241:$C$270,MATCH($A183,'Team Performance'!$A$241:$A$270,0)),"n/a"),IFERROR(INDEX('Team Performance'!$B$39:$K$68,MATCH($A183,'Team Performance'!$A$39:$A$68,0),MATCH(($B183-2)&amp;"-"&amp;RIGHT($B183-1,2),'Team Performance'!$B$38:$K$38,0)),"n/a"))</f>
        <v>26</v>
      </c>
      <c r="M183" s="109">
        <f t="shared" si="5"/>
        <v>0.68292682926829273</v>
      </c>
      <c r="N183" s="108">
        <f>IF($B183=2017,IFERROR(INDEX('Team Performance'!$E$241:$E$270,MATCH($A183,'Team Performance'!$A$241:$A$270,0)),"n/a"),IFERROR(INDEX('Team Performance'!$B$140:$K$169,MATCH($A183,'Team Performance'!$A$140:$A$169,0),MATCH(($B183-2)&amp;"-"&amp;RIGHT($B183-1,2),'Team Performance'!$B$139:$K$139,0)),"n/a"))</f>
        <v>3</v>
      </c>
      <c r="O183" s="110">
        <f>IF($B183=2017,IFERROR(INDEX('Salary Cap'!$B$143:$B$172,MATCH($A183,'Salary Cap'!$A$143:$A$172,0)),"n/a"),IFERROR(INDEX('Salary Cap'!$B$10:$K$39,MATCH($A183,'Salary Cap'!$A$10:$A$39,0),MATCH(""&amp;($B183-1),'Salary Cap'!$B$9:$K$9,0)),"n/a"))</f>
        <v>164528789</v>
      </c>
      <c r="P183" s="115">
        <f>IF($B183=2017,IFERROR(INDEX('Salary Cap'!$C$143:$C$172,MATCH($A183,'Salary Cap'!$A$143:$A$172,0)),"n/a"),IFERROR(INDEX('Salary Cap'!$B$109:$K$138,MATCH($A183,'Salary Cap'!$A$109:$A$138,0),MATCH(""&amp;($B183-1),'Salary Cap'!$B$108:$K$108,0)),"n/a"))</f>
        <v>0</v>
      </c>
      <c r="Q183" s="138">
        <f>IF(OR($B183=2021,$B183=2022),1,0)</f>
        <v>0</v>
      </c>
    </row>
    <row r="184" spans="1:17" x14ac:dyDescent="0.2">
      <c r="A184" s="113" t="str" cm="1">
        <f t="array" ref="A184">INDEX('NBA Valuations'!$A$5:$A$34,INT((ROW()-5)/10)+1)</f>
        <v>Minnesota Timberwolves</v>
      </c>
      <c r="B184" s="105">
        <f t="shared" si="4"/>
        <v>2026</v>
      </c>
      <c r="C184" s="106">
        <f>IFERROR(INDEX('NBA Valuations'!$B$5:$K$34,MATCH($A184,'NBA Valuations'!$A$5:$A$34,0),MATCH(""&amp;$B184,'NBA Valuations'!$B$3:$K$3,0)),"n/a")</f>
        <v>3600</v>
      </c>
      <c r="D184" s="106">
        <f>IFERROR(INDEX(Revenue!$B$5:$K$34,MATCH($A184,Revenue!$A$5:$A$34,0),MATCH(""&amp;$B184,Revenue!$B$3:$K$3,0)),"n/a")</f>
        <v>320</v>
      </c>
      <c r="E184" s="106">
        <f>IFERROR(INDEX('Operating Income'!$B$5:$K$34,MATCH($A184,'Operating Income'!$A$5:$A$34,0),MATCH(""&amp;$B184,'Operating Income'!$B$3:$K$3,0)),"n/a")</f>
        <v>-41</v>
      </c>
      <c r="F184" s="107">
        <f>IFERROR(INDEX('Market Size'!$L$5:$L$34,MATCH($A184,'Market Size'!$A$5:$A$34,0)),"n/a")</f>
        <v>3694131</v>
      </c>
      <c r="G184" s="108">
        <f>IFERROR(INDEX('Market Size'!$B$38:$K$67,MATCH($A184,'Market Size'!$A$38:$A$67,0),MATCH(""&amp;($B184-1),'Market Size'!$B$36:$K$36,0)),"n/a")</f>
        <v>16</v>
      </c>
      <c r="H184" s="108">
        <f>IFERROR(INDEX(Arena!$B$38:$K$67,MATCH($A184,Arena!$A$38:$A$67,0),MATCH(""&amp;$B184,Arena!$B$36:$K$36,0)),"n/a")</f>
        <v>1990</v>
      </c>
      <c r="I184" s="136" t="str">
        <f>IFERROR(INDEX(Arena!$B$71:$K$100,MATCH($A184,Arena!$A$71:$A$100,0),MATCH(""&amp;$B184,Arena!$B$69:$K$69,0)),"n/a")</f>
        <v>N</v>
      </c>
      <c r="J184" s="137">
        <f>IF(ISNUMBER($H184),($B184-1)-$H184,"n/a")</f>
        <v>35</v>
      </c>
      <c r="K184" s="108">
        <f>IF($B184=2017,IFERROR(INDEX('Team Performance'!$B$241:$B$270,MATCH($A184,'Team Performance'!$A$241:$A$270,0)),"n/a"),IFERROR(INDEX('Team Performance'!$B$6:$K$35,MATCH($A184,'Team Performance'!$A$6:$A$35,0),MATCH(($B184-2)&amp;"-"&amp;RIGHT($B184-1,2),'Team Performance'!$B$5:$K$5,0)),"n/a"))</f>
        <v>49</v>
      </c>
      <c r="L184" s="108">
        <f>IF($B184=2017,IFERROR(INDEX('Team Performance'!$C$241:$C$270,MATCH($A184,'Team Performance'!$A$241:$A$270,0)),"n/a"),IFERROR(INDEX('Team Performance'!$B$39:$K$68,MATCH($A184,'Team Performance'!$A$39:$A$68,0),MATCH(($B184-2)&amp;"-"&amp;RIGHT($B184-1,2),'Team Performance'!$B$38:$K$38,0)),"n/a"))</f>
        <v>33</v>
      </c>
      <c r="M184" s="109">
        <f t="shared" si="5"/>
        <v>0.59756097560975607</v>
      </c>
      <c r="N184" s="108">
        <f>IF($B184=2017,IFERROR(INDEX('Team Performance'!$E$241:$E$270,MATCH($A184,'Team Performance'!$A$241:$A$270,0)),"n/a"),IFERROR(INDEX('Team Performance'!$B$140:$K$169,MATCH($A184,'Team Performance'!$A$140:$A$169,0),MATCH(($B184-2)&amp;"-"&amp;RIGHT($B184-1,2),'Team Performance'!$B$139:$K$139,0)),"n/a"))</f>
        <v>3</v>
      </c>
      <c r="O184" s="110">
        <f>IF($B184=2017,IFERROR(INDEX('Salary Cap'!$B$143:$B$172,MATCH($A184,'Salary Cap'!$A$143:$A$172,0)),"n/a"),IFERROR(INDEX('Salary Cap'!$B$10:$K$39,MATCH($A184,'Salary Cap'!$A$10:$A$39,0),MATCH(""&amp;($B184-1),'Salary Cap'!$B$9:$K$9,0)),"n/a"))</f>
        <v>202359194</v>
      </c>
      <c r="P184" s="115">
        <f>IF($B184=2017,IFERROR(INDEX('Salary Cap'!$C$143:$C$172,MATCH($A184,'Salary Cap'!$A$143:$A$172,0)),"n/a"),IFERROR(INDEX('Salary Cap'!$B$109:$K$138,MATCH($A184,'Salary Cap'!$A$109:$A$138,0),MATCH(""&amp;($B184-1),'Salary Cap'!$B$108:$K$108,0)),"n/a"))</f>
        <v>90407672</v>
      </c>
      <c r="Q184" s="138">
        <f>IF(OR($B184=2021,$B184=2022),1,0)</f>
        <v>0</v>
      </c>
    </row>
    <row r="185" spans="1:17" x14ac:dyDescent="0.2">
      <c r="A185" s="113" t="str" cm="1">
        <f t="array" ref="A185">INDEX('NBA Valuations'!$A$5:$A$34,INT((ROW()-5)/10)+1)</f>
        <v>New Orleans Pelicans</v>
      </c>
      <c r="B185" s="105">
        <f t="shared" si="4"/>
        <v>2017</v>
      </c>
      <c r="C185" s="106">
        <f>IFERROR(INDEX('NBA Valuations'!$B$5:$K$34,MATCH($A185,'NBA Valuations'!$A$5:$A$34,0),MATCH(""&amp;$B185,'NBA Valuations'!$B$3:$K$3,0)),"n/a")</f>
        <v>750</v>
      </c>
      <c r="D185" s="106">
        <f>IFERROR(INDEX(Revenue!$B$5:$K$34,MATCH($A185,Revenue!$A$5:$A$34,0),MATCH(""&amp;$B185,Revenue!$B$3:$K$3,0)),"n/a")</f>
        <v>156</v>
      </c>
      <c r="E185" s="106">
        <f>IFERROR(INDEX('Operating Income'!$B$5:$K$34,MATCH($A185,'Operating Income'!$A$5:$A$34,0),MATCH(""&amp;$B185,'Operating Income'!$B$3:$K$3,0)),"n/a")</f>
        <v>16.7</v>
      </c>
      <c r="F185" s="107">
        <f>IFERROR(INDEX('Market Size'!$L$5:$L$34,MATCH($A185,'Market Size'!$A$5:$A$34,0)),"n/a")</f>
        <v>1005404</v>
      </c>
      <c r="G185" s="108" t="str">
        <f>IFERROR(INDEX('Market Size'!$B$38:$K$67,MATCH($A185,'Market Size'!$A$38:$A$67,0),MATCH(""&amp;($B185-1),'Market Size'!$B$36:$K$36,0)),"n/a")</f>
        <v>n/a</v>
      </c>
      <c r="H185" s="108">
        <f>IFERROR(INDEX(Arena!$B$38:$K$67,MATCH($A185,Arena!$A$38:$A$67,0),MATCH(""&amp;$B185,Arena!$B$36:$K$36,0)),"n/a")</f>
        <v>1999</v>
      </c>
      <c r="I185" s="136" t="str">
        <f>IFERROR(INDEX(Arena!$B$71:$K$100,MATCH($A185,Arena!$A$71:$A$100,0),MATCH(""&amp;$B185,Arena!$B$69:$K$69,0)),"n/a")</f>
        <v>N</v>
      </c>
      <c r="J185" s="137">
        <f>IF(ISNUMBER($H185),($B185-1)-$H185,"n/a")</f>
        <v>17</v>
      </c>
      <c r="K185" s="108">
        <f>IF($B185=2017,IFERROR(INDEX('Team Performance'!$B$241:$B$270,MATCH($A185,'Team Performance'!$A$241:$A$270,0)),"n/a"),IFERROR(INDEX('Team Performance'!$B$6:$K$35,MATCH($A185,'Team Performance'!$A$6:$A$35,0),MATCH(($B185-2)&amp;"-"&amp;RIGHT($B185-1,2),'Team Performance'!$B$5:$K$5,0)),"n/a"))</f>
        <v>30</v>
      </c>
      <c r="L185" s="108">
        <f>IF($B185=2017,IFERROR(INDEX('Team Performance'!$C$241:$C$270,MATCH($A185,'Team Performance'!$A$241:$A$270,0)),"n/a"),IFERROR(INDEX('Team Performance'!$B$39:$K$68,MATCH($A185,'Team Performance'!$A$39:$A$68,0),MATCH(($B185-2)&amp;"-"&amp;RIGHT($B185-1,2),'Team Performance'!$B$38:$K$38,0)),"n/a"))</f>
        <v>52</v>
      </c>
      <c r="M185" s="109">
        <f t="shared" si="5"/>
        <v>0.36585365853658536</v>
      </c>
      <c r="N185" s="108">
        <f>IF($B185=2017,IFERROR(INDEX('Team Performance'!$E$241:$E$270,MATCH($A185,'Team Performance'!$A$241:$A$270,0)),"n/a"),IFERROR(INDEX('Team Performance'!$B$140:$K$169,MATCH($A185,'Team Performance'!$A$140:$A$169,0),MATCH(($B185-2)&amp;"-"&amp;RIGHT($B185-1,2),'Team Performance'!$B$139:$K$139,0)),"n/a"))</f>
        <v>0</v>
      </c>
      <c r="O185" s="110">
        <f>IF($B185=2017,IFERROR(INDEX('Salary Cap'!$B$143:$B$172,MATCH($A185,'Salary Cap'!$A$143:$A$172,0)),"n/a"),IFERROR(INDEX('Salary Cap'!$B$10:$K$39,MATCH($A185,'Salary Cap'!$A$10:$A$39,0),MATCH(""&amp;($B185-1),'Salary Cap'!$B$9:$K$9,0)),"n/a"))</f>
        <v>81425760</v>
      </c>
      <c r="P185" s="115">
        <f>IF($B185=2017,IFERROR(INDEX('Salary Cap'!$C$143:$C$172,MATCH($A185,'Salary Cap'!$A$143:$A$172,0)),"n/a"),IFERROR(INDEX('Salary Cap'!$B$109:$K$138,MATCH($A185,'Salary Cap'!$A$109:$A$138,0),MATCH(""&amp;($B185-1),'Salary Cap'!$B$108:$K$108,0)),"n/a"))</f>
        <v>0</v>
      </c>
      <c r="Q185" s="138">
        <f>IF(OR($B185=2021,$B185=2022),1,0)</f>
        <v>0</v>
      </c>
    </row>
    <row r="186" spans="1:17" x14ac:dyDescent="0.2">
      <c r="A186" s="113" t="str" cm="1">
        <f t="array" ref="A186">INDEX('NBA Valuations'!$A$5:$A$34,INT((ROW()-5)/10)+1)</f>
        <v>New Orleans Pelicans</v>
      </c>
      <c r="B186" s="105">
        <f t="shared" si="4"/>
        <v>2018</v>
      </c>
      <c r="C186" s="106">
        <f>IFERROR(INDEX('NBA Valuations'!$B$5:$K$34,MATCH($A186,'NBA Valuations'!$A$5:$A$34,0),MATCH(""&amp;$B186,'NBA Valuations'!$B$3:$K$3,0)),"n/a")</f>
        <v>1000</v>
      </c>
      <c r="D186" s="106">
        <f>IFERROR(INDEX(Revenue!$B$5:$K$34,MATCH($A186,Revenue!$A$5:$A$34,0),MATCH(""&amp;$B186,Revenue!$B$3:$K$3,0)),"n/a")</f>
        <v>204</v>
      </c>
      <c r="E186" s="106">
        <f>IFERROR(INDEX('Operating Income'!$B$5:$K$34,MATCH($A186,'Operating Income'!$A$5:$A$34,0),MATCH(""&amp;$B186,'Operating Income'!$B$3:$K$3,0)),"n/a")</f>
        <v>37</v>
      </c>
      <c r="F186" s="107">
        <f>IFERROR(INDEX('Market Size'!$L$5:$L$34,MATCH($A186,'Market Size'!$A$5:$A$34,0)),"n/a")</f>
        <v>1005404</v>
      </c>
      <c r="G186" s="108" t="str">
        <f>IFERROR(INDEX('Market Size'!$B$38:$K$67,MATCH($A186,'Market Size'!$A$38:$A$67,0),MATCH(""&amp;($B186-1),'Market Size'!$B$36:$K$36,0)),"n/a")</f>
        <v>n/a</v>
      </c>
      <c r="H186" s="108">
        <f>IFERROR(INDEX(Arena!$B$38:$K$67,MATCH($A186,Arena!$A$38:$A$67,0),MATCH(""&amp;$B186,Arena!$B$36:$K$36,0)),"n/a")</f>
        <v>1999</v>
      </c>
      <c r="I186" s="136" t="str">
        <f>IFERROR(INDEX(Arena!$B$71:$K$100,MATCH($A186,Arena!$A$71:$A$100,0),MATCH(""&amp;$B186,Arena!$B$69:$K$69,0)),"n/a")</f>
        <v>N</v>
      </c>
      <c r="J186" s="137">
        <f>IF(ISNUMBER($H186),($B186-1)-$H186,"n/a")</f>
        <v>18</v>
      </c>
      <c r="K186" s="108">
        <f>IF($B186=2017,IFERROR(INDEX('Team Performance'!$B$241:$B$270,MATCH($A186,'Team Performance'!$A$241:$A$270,0)),"n/a"),IFERROR(INDEX('Team Performance'!$B$6:$K$35,MATCH($A186,'Team Performance'!$A$6:$A$35,0),MATCH(($B186-2)&amp;"-"&amp;RIGHT($B186-1,2),'Team Performance'!$B$5:$K$5,0)),"n/a"))</f>
        <v>34</v>
      </c>
      <c r="L186" s="108">
        <f>IF($B186=2017,IFERROR(INDEX('Team Performance'!$C$241:$C$270,MATCH($A186,'Team Performance'!$A$241:$A$270,0)),"n/a"),IFERROR(INDEX('Team Performance'!$B$39:$K$68,MATCH($A186,'Team Performance'!$A$39:$A$68,0),MATCH(($B186-2)&amp;"-"&amp;RIGHT($B186-1,2),'Team Performance'!$B$38:$K$38,0)),"n/a"))</f>
        <v>48</v>
      </c>
      <c r="M186" s="109">
        <f t="shared" si="5"/>
        <v>0.41463414634146339</v>
      </c>
      <c r="N186" s="108">
        <f>IF($B186=2017,IFERROR(INDEX('Team Performance'!$E$241:$E$270,MATCH($A186,'Team Performance'!$A$241:$A$270,0)),"n/a"),IFERROR(INDEX('Team Performance'!$B$140:$K$169,MATCH($A186,'Team Performance'!$A$140:$A$169,0),MATCH(($B186-2)&amp;"-"&amp;RIGHT($B186-1,2),'Team Performance'!$B$139:$K$139,0)),"n/a"))</f>
        <v>0</v>
      </c>
      <c r="O186" s="110">
        <f>IF($B186=2017,IFERROR(INDEX('Salary Cap'!$B$143:$B$172,MATCH($A186,'Salary Cap'!$A$143:$A$172,0)),"n/a"),IFERROR(INDEX('Salary Cap'!$B$10:$K$39,MATCH($A186,'Salary Cap'!$A$10:$A$39,0),MATCH(""&amp;($B186-1),'Salary Cap'!$B$9:$K$9,0)),"n/a"))</f>
        <v>101485185</v>
      </c>
      <c r="P186" s="115">
        <f>IF($B186=2017,IFERROR(INDEX('Salary Cap'!$C$143:$C$172,MATCH($A186,'Salary Cap'!$A$143:$A$172,0)),"n/a"),IFERROR(INDEX('Salary Cap'!$B$109:$K$138,MATCH($A186,'Salary Cap'!$A$109:$A$138,0),MATCH(""&amp;($B186-1),'Salary Cap'!$B$108:$K$108,0)),"n/a"))</f>
        <v>0</v>
      </c>
      <c r="Q186" s="138">
        <f>IF(OR($B186=2021,$B186=2022),1,0)</f>
        <v>0</v>
      </c>
    </row>
    <row r="187" spans="1:17" x14ac:dyDescent="0.2">
      <c r="A187" s="113" t="str" cm="1">
        <f t="array" ref="A187">INDEX('NBA Valuations'!$A$5:$A$34,INT((ROW()-5)/10)+1)</f>
        <v>New Orleans Pelicans</v>
      </c>
      <c r="B187" s="105">
        <f t="shared" si="4"/>
        <v>2019</v>
      </c>
      <c r="C187" s="106">
        <f>IFERROR(INDEX('NBA Valuations'!$B$5:$K$34,MATCH($A187,'NBA Valuations'!$A$5:$A$34,0),MATCH(""&amp;$B187,'NBA Valuations'!$B$3:$K$3,0)),"n/a")</f>
        <v>1200</v>
      </c>
      <c r="D187" s="106">
        <f>IFERROR(INDEX(Revenue!$B$5:$K$34,MATCH($A187,Revenue!$A$5:$A$34,0),MATCH(""&amp;$B187,Revenue!$B$3:$K$3,0)),"n/a")</f>
        <v>214</v>
      </c>
      <c r="E187" s="106">
        <f>IFERROR(INDEX('Operating Income'!$B$5:$K$34,MATCH($A187,'Operating Income'!$A$5:$A$34,0),MATCH(""&amp;$B187,'Operating Income'!$B$3:$K$3,0)),"n/a")</f>
        <v>29</v>
      </c>
      <c r="F187" s="107">
        <f>IFERROR(INDEX('Market Size'!$L$5:$L$34,MATCH($A187,'Market Size'!$A$5:$A$34,0)),"n/a")</f>
        <v>1005404</v>
      </c>
      <c r="G187" s="108" t="str">
        <f>IFERROR(INDEX('Market Size'!$B$38:$K$67,MATCH($A187,'Market Size'!$A$38:$A$67,0),MATCH(""&amp;($B187-1),'Market Size'!$B$36:$K$36,0)),"n/a")</f>
        <v>n/a</v>
      </c>
      <c r="H187" s="108">
        <f>IFERROR(INDEX(Arena!$B$38:$K$67,MATCH($A187,Arena!$A$38:$A$67,0),MATCH(""&amp;$B187,Arena!$B$36:$K$36,0)),"n/a")</f>
        <v>1999</v>
      </c>
      <c r="I187" s="136" t="str">
        <f>IFERROR(INDEX(Arena!$B$71:$K$100,MATCH($A187,Arena!$A$71:$A$100,0),MATCH(""&amp;$B187,Arena!$B$69:$K$69,0)),"n/a")</f>
        <v>N</v>
      </c>
      <c r="J187" s="137">
        <f>IF(ISNUMBER($H187),($B187-1)-$H187,"n/a")</f>
        <v>19</v>
      </c>
      <c r="K187" s="108">
        <f>IF($B187=2017,IFERROR(INDEX('Team Performance'!$B$241:$B$270,MATCH($A187,'Team Performance'!$A$241:$A$270,0)),"n/a"),IFERROR(INDEX('Team Performance'!$B$6:$K$35,MATCH($A187,'Team Performance'!$A$6:$A$35,0),MATCH(($B187-2)&amp;"-"&amp;RIGHT($B187-1,2),'Team Performance'!$B$5:$K$5,0)),"n/a"))</f>
        <v>48</v>
      </c>
      <c r="L187" s="108">
        <f>IF($B187=2017,IFERROR(INDEX('Team Performance'!$C$241:$C$270,MATCH($A187,'Team Performance'!$A$241:$A$270,0)),"n/a"),IFERROR(INDEX('Team Performance'!$B$39:$K$68,MATCH($A187,'Team Performance'!$A$39:$A$68,0),MATCH(($B187-2)&amp;"-"&amp;RIGHT($B187-1,2),'Team Performance'!$B$38:$K$38,0)),"n/a"))</f>
        <v>34</v>
      </c>
      <c r="M187" s="109">
        <f t="shared" si="5"/>
        <v>0.58536585365853655</v>
      </c>
      <c r="N187" s="108">
        <f>IF($B187=2017,IFERROR(INDEX('Team Performance'!$E$241:$E$270,MATCH($A187,'Team Performance'!$A$241:$A$270,0)),"n/a"),IFERROR(INDEX('Team Performance'!$B$140:$K$169,MATCH($A187,'Team Performance'!$A$140:$A$169,0),MATCH(($B187-2)&amp;"-"&amp;RIGHT($B187-1,2),'Team Performance'!$B$139:$K$139,0)),"n/a"))</f>
        <v>2</v>
      </c>
      <c r="O187" s="110">
        <f>IF($B187=2017,IFERROR(INDEX('Salary Cap'!$B$143:$B$172,MATCH($A187,'Salary Cap'!$A$143:$A$172,0)),"n/a"),IFERROR(INDEX('Salary Cap'!$B$10:$K$39,MATCH($A187,'Salary Cap'!$A$10:$A$39,0),MATCH(""&amp;($B187-1),'Salary Cap'!$B$9:$K$9,0)),"n/a"))</f>
        <v>118813359</v>
      </c>
      <c r="P187" s="115">
        <f>IF($B187=2017,IFERROR(INDEX('Salary Cap'!$C$143:$C$172,MATCH($A187,'Salary Cap'!$A$143:$A$172,0)),"n/a"),IFERROR(INDEX('Salary Cap'!$B$109:$K$138,MATCH($A187,'Salary Cap'!$A$109:$A$138,0),MATCH(""&amp;($B187-1),'Salary Cap'!$B$108:$K$108,0)),"n/a"))</f>
        <v>0</v>
      </c>
      <c r="Q187" s="138">
        <f>IF(OR($B187=2021,$B187=2022),1,0)</f>
        <v>0</v>
      </c>
    </row>
    <row r="188" spans="1:17" x14ac:dyDescent="0.2">
      <c r="A188" s="113" t="str" cm="1">
        <f t="array" ref="A188">INDEX('NBA Valuations'!$A$5:$A$34,INT((ROW()-5)/10)+1)</f>
        <v>New Orleans Pelicans</v>
      </c>
      <c r="B188" s="105">
        <f t="shared" si="4"/>
        <v>2020</v>
      </c>
      <c r="C188" s="106">
        <f>IFERROR(INDEX('NBA Valuations'!$B$5:$K$34,MATCH($A188,'NBA Valuations'!$A$5:$A$34,0),MATCH(""&amp;$B188,'NBA Valuations'!$B$3:$K$3,0)),"n/a")</f>
        <v>1400</v>
      </c>
      <c r="D188" s="106">
        <f>IFERROR(INDEX(Revenue!$B$5:$K$34,MATCH($A188,Revenue!$A$5:$A$34,0),MATCH(""&amp;$B188,Revenue!$B$3:$K$3,0)),"n/a")</f>
        <v>224</v>
      </c>
      <c r="E188" s="106">
        <f>IFERROR(INDEX('Operating Income'!$B$5:$K$34,MATCH($A188,'Operating Income'!$A$5:$A$34,0),MATCH(""&amp;$B188,'Operating Income'!$B$3:$K$3,0)),"n/a")</f>
        <v>49</v>
      </c>
      <c r="F188" s="107">
        <f>IFERROR(INDEX('Market Size'!$L$5:$L$34,MATCH($A188,'Market Size'!$A$5:$A$34,0)),"n/a")</f>
        <v>1005404</v>
      </c>
      <c r="G188" s="108" t="str">
        <f>IFERROR(INDEX('Market Size'!$B$38:$K$67,MATCH($A188,'Market Size'!$A$38:$A$67,0),MATCH(""&amp;($B188-1),'Market Size'!$B$36:$K$36,0)),"n/a")</f>
        <v>n/a</v>
      </c>
      <c r="H188" s="108">
        <f>IFERROR(INDEX(Arena!$B$38:$K$67,MATCH($A188,Arena!$A$38:$A$67,0),MATCH(""&amp;$B188,Arena!$B$36:$K$36,0)),"n/a")</f>
        <v>1999</v>
      </c>
      <c r="I188" s="136" t="str">
        <f>IFERROR(INDEX(Arena!$B$71:$K$100,MATCH($A188,Arena!$A$71:$A$100,0),MATCH(""&amp;$B188,Arena!$B$69:$K$69,0)),"n/a")</f>
        <v>N</v>
      </c>
      <c r="J188" s="137">
        <f>IF(ISNUMBER($H188),($B188-1)-$H188,"n/a")</f>
        <v>20</v>
      </c>
      <c r="K188" s="108">
        <f>IF($B188=2017,IFERROR(INDEX('Team Performance'!$B$241:$B$270,MATCH($A188,'Team Performance'!$A$241:$A$270,0)),"n/a"),IFERROR(INDEX('Team Performance'!$B$6:$K$35,MATCH($A188,'Team Performance'!$A$6:$A$35,0),MATCH(($B188-2)&amp;"-"&amp;RIGHT($B188-1,2),'Team Performance'!$B$5:$K$5,0)),"n/a"))</f>
        <v>33</v>
      </c>
      <c r="L188" s="108">
        <f>IF($B188=2017,IFERROR(INDEX('Team Performance'!$C$241:$C$270,MATCH($A188,'Team Performance'!$A$241:$A$270,0)),"n/a"),IFERROR(INDEX('Team Performance'!$B$39:$K$68,MATCH($A188,'Team Performance'!$A$39:$A$68,0),MATCH(($B188-2)&amp;"-"&amp;RIGHT($B188-1,2),'Team Performance'!$B$38:$K$38,0)),"n/a"))</f>
        <v>49</v>
      </c>
      <c r="M188" s="109">
        <f t="shared" si="5"/>
        <v>0.40243902439024393</v>
      </c>
      <c r="N188" s="108">
        <f>IF($B188=2017,IFERROR(INDEX('Team Performance'!$E$241:$E$270,MATCH($A188,'Team Performance'!$A$241:$A$270,0)),"n/a"),IFERROR(INDEX('Team Performance'!$B$140:$K$169,MATCH($A188,'Team Performance'!$A$140:$A$169,0),MATCH(($B188-2)&amp;"-"&amp;RIGHT($B188-1,2),'Team Performance'!$B$139:$K$139,0)),"n/a"))</f>
        <v>0</v>
      </c>
      <c r="O188" s="110">
        <f>IF($B188=2017,IFERROR(INDEX('Salary Cap'!$B$143:$B$172,MATCH($A188,'Salary Cap'!$A$143:$A$172,0)),"n/a"),IFERROR(INDEX('Salary Cap'!$B$10:$K$39,MATCH($A188,'Salary Cap'!$A$10:$A$39,0),MATCH(""&amp;($B188-1),'Salary Cap'!$B$9:$K$9,0)),"n/a"))</f>
        <v>115358553</v>
      </c>
      <c r="P188" s="115">
        <f>IF($B188=2017,IFERROR(INDEX('Salary Cap'!$C$143:$C$172,MATCH($A188,'Salary Cap'!$A$143:$A$172,0)),"n/a"),IFERROR(INDEX('Salary Cap'!$B$109:$K$138,MATCH($A188,'Salary Cap'!$A$109:$A$138,0),MATCH(""&amp;($B188-1),'Salary Cap'!$B$108:$K$108,0)),"n/a"))</f>
        <v>0</v>
      </c>
      <c r="Q188" s="138">
        <f>IF(OR($B188=2021,$B188=2022),1,0)</f>
        <v>0</v>
      </c>
    </row>
    <row r="189" spans="1:17" x14ac:dyDescent="0.2">
      <c r="A189" s="113" t="str" cm="1">
        <f t="array" ref="A189">INDEX('NBA Valuations'!$A$5:$A$34,INT((ROW()-5)/10)+1)</f>
        <v>New Orleans Pelicans</v>
      </c>
      <c r="B189" s="105">
        <f t="shared" si="4"/>
        <v>2021</v>
      </c>
      <c r="C189" s="106">
        <f>IFERROR(INDEX('NBA Valuations'!$B$5:$K$34,MATCH($A189,'NBA Valuations'!$A$5:$A$34,0),MATCH(""&amp;$B189,'NBA Valuations'!$B$3:$K$3,0)),"n/a")</f>
        <v>1350</v>
      </c>
      <c r="D189" s="106">
        <f>IFERROR(INDEX(Revenue!$B$5:$K$34,MATCH($A189,Revenue!$A$5:$A$34,0),MATCH(""&amp;$B189,Revenue!$B$3:$K$3,0)),"n/a")</f>
        <v>209</v>
      </c>
      <c r="E189" s="106">
        <f>IFERROR(INDEX('Operating Income'!$B$5:$K$34,MATCH($A189,'Operating Income'!$A$5:$A$34,0),MATCH(""&amp;$B189,'Operating Income'!$B$3:$K$3,0)),"n/a")</f>
        <v>44</v>
      </c>
      <c r="F189" s="107">
        <f>IFERROR(INDEX('Market Size'!$L$5:$L$34,MATCH($A189,'Market Size'!$A$5:$A$34,0)),"n/a")</f>
        <v>1005404</v>
      </c>
      <c r="G189" s="108" t="str">
        <f>IFERROR(INDEX('Market Size'!$B$38:$K$67,MATCH($A189,'Market Size'!$A$38:$A$67,0),MATCH(""&amp;($B189-1),'Market Size'!$B$36:$K$36,0)),"n/a")</f>
        <v>n/a</v>
      </c>
      <c r="H189" s="108">
        <f>IFERROR(INDEX(Arena!$B$38:$K$67,MATCH($A189,Arena!$A$38:$A$67,0),MATCH(""&amp;$B189,Arena!$B$36:$K$36,0)),"n/a")</f>
        <v>1999</v>
      </c>
      <c r="I189" s="136" t="str">
        <f>IFERROR(INDEX(Arena!$B$71:$K$100,MATCH($A189,Arena!$A$71:$A$100,0),MATCH(""&amp;$B189,Arena!$B$69:$K$69,0)),"n/a")</f>
        <v>N</v>
      </c>
      <c r="J189" s="137">
        <f>IF(ISNUMBER($H189),($B189-1)-$H189,"n/a")</f>
        <v>21</v>
      </c>
      <c r="K189" s="108">
        <f>IF($B189=2017,IFERROR(INDEX('Team Performance'!$B$241:$B$270,MATCH($A189,'Team Performance'!$A$241:$A$270,0)),"n/a"),IFERROR(INDEX('Team Performance'!$B$6:$K$35,MATCH($A189,'Team Performance'!$A$6:$A$35,0),MATCH(($B189-2)&amp;"-"&amp;RIGHT($B189-1,2),'Team Performance'!$B$5:$K$5,0)),"n/a"))</f>
        <v>30</v>
      </c>
      <c r="L189" s="108">
        <f>IF($B189=2017,IFERROR(INDEX('Team Performance'!$C$241:$C$270,MATCH($A189,'Team Performance'!$A$241:$A$270,0)),"n/a"),IFERROR(INDEX('Team Performance'!$B$39:$K$68,MATCH($A189,'Team Performance'!$A$39:$A$68,0),MATCH(($B189-2)&amp;"-"&amp;RIGHT($B189-1,2),'Team Performance'!$B$38:$K$38,0)),"n/a"))</f>
        <v>42</v>
      </c>
      <c r="M189" s="109">
        <f t="shared" si="5"/>
        <v>0.41666666666666669</v>
      </c>
      <c r="N189" s="108">
        <f>IF($B189=2017,IFERROR(INDEX('Team Performance'!$E$241:$E$270,MATCH($A189,'Team Performance'!$A$241:$A$270,0)),"n/a"),IFERROR(INDEX('Team Performance'!$B$140:$K$169,MATCH($A189,'Team Performance'!$A$140:$A$169,0),MATCH(($B189-2)&amp;"-"&amp;RIGHT($B189-1,2),'Team Performance'!$B$139:$K$139,0)),"n/a"))</f>
        <v>0</v>
      </c>
      <c r="O189" s="110">
        <f>IF($B189=2017,IFERROR(INDEX('Salary Cap'!$B$143:$B$172,MATCH($A189,'Salary Cap'!$A$143:$A$172,0)),"n/a"),IFERROR(INDEX('Salary Cap'!$B$10:$K$39,MATCH($A189,'Salary Cap'!$A$10:$A$39,0),MATCH(""&amp;($B189-1),'Salary Cap'!$B$9:$K$9,0)),"n/a"))</f>
        <v>117797425</v>
      </c>
      <c r="P189" s="115">
        <f>IF($B189=2017,IFERROR(INDEX('Salary Cap'!$C$143:$C$172,MATCH($A189,'Salary Cap'!$A$143:$A$172,0)),"n/a"),IFERROR(INDEX('Salary Cap'!$B$109:$K$138,MATCH($A189,'Salary Cap'!$A$109:$A$138,0),MATCH(""&amp;($B189-1),'Salary Cap'!$B$108:$K$108,0)),"n/a"))</f>
        <v>0</v>
      </c>
      <c r="Q189" s="138">
        <f>IF(OR($B189=2021,$B189=2022),1,0)</f>
        <v>1</v>
      </c>
    </row>
    <row r="190" spans="1:17" x14ac:dyDescent="0.2">
      <c r="A190" s="113" t="str" cm="1">
        <f t="array" ref="A190">INDEX('NBA Valuations'!$A$5:$A$34,INT((ROW()-5)/10)+1)</f>
        <v>New Orleans Pelicans</v>
      </c>
      <c r="B190" s="105">
        <f t="shared" si="4"/>
        <v>2022</v>
      </c>
      <c r="C190" s="106">
        <f>IFERROR(INDEX('NBA Valuations'!$B$5:$K$34,MATCH($A190,'NBA Valuations'!$A$5:$A$34,0),MATCH(""&amp;$B190,'NBA Valuations'!$B$3:$K$3,0)),"n/a")</f>
        <v>1530</v>
      </c>
      <c r="D190" s="106">
        <f>IFERROR(INDEX(Revenue!$B$5:$K$34,MATCH($A190,Revenue!$A$5:$A$34,0),MATCH(""&amp;$B190,Revenue!$B$3:$K$3,0)),"n/a")</f>
        <v>181</v>
      </c>
      <c r="E190" s="106">
        <f>IFERROR(INDEX('Operating Income'!$B$5:$K$34,MATCH($A190,'Operating Income'!$A$5:$A$34,0),MATCH(""&amp;$B190,'Operating Income'!$B$3:$K$3,0)),"n/a")</f>
        <v>24</v>
      </c>
      <c r="F190" s="107">
        <f>IFERROR(INDEX('Market Size'!$L$5:$L$34,MATCH($A190,'Market Size'!$A$5:$A$34,0)),"n/a")</f>
        <v>1005404</v>
      </c>
      <c r="G190" s="108" t="str">
        <f>IFERROR(INDEX('Market Size'!$B$38:$K$67,MATCH($A190,'Market Size'!$A$38:$A$67,0),MATCH(""&amp;($B190-1),'Market Size'!$B$36:$K$36,0)),"n/a")</f>
        <v>n/a</v>
      </c>
      <c r="H190" s="108">
        <f>IFERROR(INDEX(Arena!$B$38:$K$67,MATCH($A190,Arena!$A$38:$A$67,0),MATCH(""&amp;$B190,Arena!$B$36:$K$36,0)),"n/a")</f>
        <v>1999</v>
      </c>
      <c r="I190" s="136" t="str">
        <f>IFERROR(INDEX(Arena!$B$71:$K$100,MATCH($A190,Arena!$A$71:$A$100,0),MATCH(""&amp;$B190,Arena!$B$69:$K$69,0)),"n/a")</f>
        <v>N</v>
      </c>
      <c r="J190" s="137">
        <f>IF(ISNUMBER($H190),($B190-1)-$H190,"n/a")</f>
        <v>22</v>
      </c>
      <c r="K190" s="108">
        <f>IF($B190=2017,IFERROR(INDEX('Team Performance'!$B$241:$B$270,MATCH($A190,'Team Performance'!$A$241:$A$270,0)),"n/a"),IFERROR(INDEX('Team Performance'!$B$6:$K$35,MATCH($A190,'Team Performance'!$A$6:$A$35,0),MATCH(($B190-2)&amp;"-"&amp;RIGHT($B190-1,2),'Team Performance'!$B$5:$K$5,0)),"n/a"))</f>
        <v>31</v>
      </c>
      <c r="L190" s="108">
        <f>IF($B190=2017,IFERROR(INDEX('Team Performance'!$C$241:$C$270,MATCH($A190,'Team Performance'!$A$241:$A$270,0)),"n/a"),IFERROR(INDEX('Team Performance'!$B$39:$K$68,MATCH($A190,'Team Performance'!$A$39:$A$68,0),MATCH(($B190-2)&amp;"-"&amp;RIGHT($B190-1,2),'Team Performance'!$B$38:$K$38,0)),"n/a"))</f>
        <v>41</v>
      </c>
      <c r="M190" s="109">
        <f t="shared" si="5"/>
        <v>0.43055555555555558</v>
      </c>
      <c r="N190" s="108">
        <f>IF($B190=2017,IFERROR(INDEX('Team Performance'!$E$241:$E$270,MATCH($A190,'Team Performance'!$A$241:$A$270,0)),"n/a"),IFERROR(INDEX('Team Performance'!$B$140:$K$169,MATCH($A190,'Team Performance'!$A$140:$A$169,0),MATCH(($B190-2)&amp;"-"&amp;RIGHT($B190-1,2),'Team Performance'!$B$139:$K$139,0)),"n/a"))</f>
        <v>0</v>
      </c>
      <c r="O190" s="110">
        <f>IF($B190=2017,IFERROR(INDEX('Salary Cap'!$B$143:$B$172,MATCH($A190,'Salary Cap'!$A$143:$A$172,0)),"n/a"),IFERROR(INDEX('Salary Cap'!$B$10:$K$39,MATCH($A190,'Salary Cap'!$A$10:$A$39,0),MATCH(""&amp;($B190-1),'Salary Cap'!$B$9:$K$9,0)),"n/a"))</f>
        <v>132616252</v>
      </c>
      <c r="P190" s="115">
        <f>IF($B190=2017,IFERROR(INDEX('Salary Cap'!$C$143:$C$172,MATCH($A190,'Salary Cap'!$A$143:$A$172,0)),"n/a"),IFERROR(INDEX('Salary Cap'!$B$109:$K$138,MATCH($A190,'Salary Cap'!$A$109:$A$138,0),MATCH(""&amp;($B190-1),'Salary Cap'!$B$108:$K$108,0)),"n/a"))</f>
        <v>0</v>
      </c>
      <c r="Q190" s="138">
        <f>IF(OR($B190=2021,$B190=2022),1,0)</f>
        <v>1</v>
      </c>
    </row>
    <row r="191" spans="1:17" x14ac:dyDescent="0.2">
      <c r="A191" s="113" t="str" cm="1">
        <f t="array" ref="A191">INDEX('NBA Valuations'!$A$5:$A$34,INT((ROW()-5)/10)+1)</f>
        <v>New Orleans Pelicans</v>
      </c>
      <c r="B191" s="105">
        <f t="shared" si="4"/>
        <v>2023</v>
      </c>
      <c r="C191" s="106">
        <f>IFERROR(INDEX('NBA Valuations'!$B$5:$K$34,MATCH($A191,'NBA Valuations'!$A$5:$A$34,0),MATCH(""&amp;$B191,'NBA Valuations'!$B$3:$K$3,0)),"n/a")</f>
        <v>1600</v>
      </c>
      <c r="D191" s="106">
        <f>IFERROR(INDEX(Revenue!$B$5:$K$34,MATCH($A191,Revenue!$A$5:$A$34,0),MATCH(""&amp;$B191,Revenue!$B$3:$K$3,0)),"n/a")</f>
        <v>268</v>
      </c>
      <c r="E191" s="106">
        <f>IFERROR(INDEX('Operating Income'!$B$5:$K$34,MATCH($A191,'Operating Income'!$A$5:$A$34,0),MATCH(""&amp;$B191,'Operating Income'!$B$3:$K$3,0)),"n/a")</f>
        <v>94</v>
      </c>
      <c r="F191" s="107">
        <f>IFERROR(INDEX('Market Size'!$L$5:$L$34,MATCH($A191,'Market Size'!$A$5:$A$34,0)),"n/a")</f>
        <v>1005404</v>
      </c>
      <c r="G191" s="108" t="str">
        <f>IFERROR(INDEX('Market Size'!$B$38:$K$67,MATCH($A191,'Market Size'!$A$38:$A$67,0),MATCH(""&amp;($B191-1),'Market Size'!$B$36:$K$36,0)),"n/a")</f>
        <v>n/a</v>
      </c>
      <c r="H191" s="108">
        <f>IFERROR(INDEX(Arena!$B$38:$K$67,MATCH($A191,Arena!$A$38:$A$67,0),MATCH(""&amp;$B191,Arena!$B$36:$K$36,0)),"n/a")</f>
        <v>1999</v>
      </c>
      <c r="I191" s="136" t="str">
        <f>IFERROR(INDEX(Arena!$B$71:$K$100,MATCH($A191,Arena!$A$71:$A$100,0),MATCH(""&amp;$B191,Arena!$B$69:$K$69,0)),"n/a")</f>
        <v>N</v>
      </c>
      <c r="J191" s="137">
        <f>IF(ISNUMBER($H191),($B191-1)-$H191,"n/a")</f>
        <v>23</v>
      </c>
      <c r="K191" s="108">
        <f>IF($B191=2017,IFERROR(INDEX('Team Performance'!$B$241:$B$270,MATCH($A191,'Team Performance'!$A$241:$A$270,0)),"n/a"),IFERROR(INDEX('Team Performance'!$B$6:$K$35,MATCH($A191,'Team Performance'!$A$6:$A$35,0),MATCH(($B191-2)&amp;"-"&amp;RIGHT($B191-1,2),'Team Performance'!$B$5:$K$5,0)),"n/a"))</f>
        <v>36</v>
      </c>
      <c r="L191" s="108">
        <f>IF($B191=2017,IFERROR(INDEX('Team Performance'!$C$241:$C$270,MATCH($A191,'Team Performance'!$A$241:$A$270,0)),"n/a"),IFERROR(INDEX('Team Performance'!$B$39:$K$68,MATCH($A191,'Team Performance'!$A$39:$A$68,0),MATCH(($B191-2)&amp;"-"&amp;RIGHT($B191-1,2),'Team Performance'!$B$38:$K$38,0)),"n/a"))</f>
        <v>46</v>
      </c>
      <c r="M191" s="109">
        <f t="shared" si="5"/>
        <v>0.43902439024390244</v>
      </c>
      <c r="N191" s="108">
        <f>IF($B191=2017,IFERROR(INDEX('Team Performance'!$E$241:$E$270,MATCH($A191,'Team Performance'!$A$241:$A$270,0)),"n/a"),IFERROR(INDEX('Team Performance'!$B$140:$K$169,MATCH($A191,'Team Performance'!$A$140:$A$169,0),MATCH(($B191-2)&amp;"-"&amp;RIGHT($B191-1,2),'Team Performance'!$B$139:$K$139,0)),"n/a"))</f>
        <v>1</v>
      </c>
      <c r="O191" s="110">
        <f>IF($B191=2017,IFERROR(INDEX('Salary Cap'!$B$143:$B$172,MATCH($A191,'Salary Cap'!$A$143:$A$172,0)),"n/a"),IFERROR(INDEX('Salary Cap'!$B$10:$K$39,MATCH($A191,'Salary Cap'!$A$10:$A$39,0),MATCH(""&amp;($B191-1),'Salary Cap'!$B$9:$K$9,0)),"n/a"))</f>
        <v>133174471</v>
      </c>
      <c r="P191" s="115">
        <f>IF($B191=2017,IFERROR(INDEX('Salary Cap'!$C$143:$C$172,MATCH($A191,'Salary Cap'!$A$143:$A$172,0)),"n/a"),IFERROR(INDEX('Salary Cap'!$B$109:$K$138,MATCH($A191,'Salary Cap'!$A$109:$A$138,0),MATCH(""&amp;($B191-1),'Salary Cap'!$B$108:$K$108,0)),"n/a"))</f>
        <v>0</v>
      </c>
      <c r="Q191" s="138">
        <f>IF(OR($B191=2021,$B191=2022),1,0)</f>
        <v>0</v>
      </c>
    </row>
    <row r="192" spans="1:17" x14ac:dyDescent="0.2">
      <c r="A192" s="113" t="str" cm="1">
        <f t="array" ref="A192">INDEX('NBA Valuations'!$A$5:$A$34,INT((ROW()-5)/10)+1)</f>
        <v>New Orleans Pelicans</v>
      </c>
      <c r="B192" s="105">
        <f t="shared" si="4"/>
        <v>2024</v>
      </c>
      <c r="C192" s="106">
        <f>IFERROR(INDEX('NBA Valuations'!$B$5:$K$34,MATCH($A192,'NBA Valuations'!$A$5:$A$34,0),MATCH(""&amp;$B192,'NBA Valuations'!$B$3:$K$3,0)),"n/a")</f>
        <v>2550</v>
      </c>
      <c r="D192" s="106">
        <f>IFERROR(INDEX(Revenue!$B$5:$K$34,MATCH($A192,Revenue!$A$5:$A$34,0),MATCH(""&amp;$B192,Revenue!$B$3:$K$3,0)),"n/a")</f>
        <v>262</v>
      </c>
      <c r="E192" s="106">
        <f>IFERROR(INDEX('Operating Income'!$B$5:$K$34,MATCH($A192,'Operating Income'!$A$5:$A$34,0),MATCH(""&amp;$B192,'Operating Income'!$B$3:$K$3,0)),"n/a")</f>
        <v>57</v>
      </c>
      <c r="F192" s="107">
        <f>IFERROR(INDEX('Market Size'!$L$5:$L$34,MATCH($A192,'Market Size'!$A$5:$A$34,0)),"n/a")</f>
        <v>1005404</v>
      </c>
      <c r="G192" s="108" t="str">
        <f>IFERROR(INDEX('Market Size'!$B$38:$K$67,MATCH($A192,'Market Size'!$A$38:$A$67,0),MATCH(""&amp;($B192-1),'Market Size'!$B$36:$K$36,0)),"n/a")</f>
        <v>n/a</v>
      </c>
      <c r="H192" s="108">
        <f>IFERROR(INDEX(Arena!$B$38:$K$67,MATCH($A192,Arena!$A$38:$A$67,0),MATCH(""&amp;$B192,Arena!$B$36:$K$36,0)),"n/a")</f>
        <v>1999</v>
      </c>
      <c r="I192" s="136" t="str">
        <f>IFERROR(INDEX(Arena!$B$71:$K$100,MATCH($A192,Arena!$A$71:$A$100,0),MATCH(""&amp;$B192,Arena!$B$69:$K$69,0)),"n/a")</f>
        <v>N</v>
      </c>
      <c r="J192" s="137">
        <f>IF(ISNUMBER($H192),($B192-1)-$H192,"n/a")</f>
        <v>24</v>
      </c>
      <c r="K192" s="108">
        <f>IF($B192=2017,IFERROR(INDEX('Team Performance'!$B$241:$B$270,MATCH($A192,'Team Performance'!$A$241:$A$270,0)),"n/a"),IFERROR(INDEX('Team Performance'!$B$6:$K$35,MATCH($A192,'Team Performance'!$A$6:$A$35,0),MATCH(($B192-2)&amp;"-"&amp;RIGHT($B192-1,2),'Team Performance'!$B$5:$K$5,0)),"n/a"))</f>
        <v>42</v>
      </c>
      <c r="L192" s="108">
        <f>IF($B192=2017,IFERROR(INDEX('Team Performance'!$C$241:$C$270,MATCH($A192,'Team Performance'!$A$241:$A$270,0)),"n/a"),IFERROR(INDEX('Team Performance'!$B$39:$K$68,MATCH($A192,'Team Performance'!$A$39:$A$68,0),MATCH(($B192-2)&amp;"-"&amp;RIGHT($B192-1,2),'Team Performance'!$B$38:$K$38,0)),"n/a"))</f>
        <v>40</v>
      </c>
      <c r="M192" s="109">
        <f t="shared" si="5"/>
        <v>0.51219512195121952</v>
      </c>
      <c r="N192" s="108">
        <f>IF($B192=2017,IFERROR(INDEX('Team Performance'!$E$241:$E$270,MATCH($A192,'Team Performance'!$A$241:$A$270,0)),"n/a"),IFERROR(INDEX('Team Performance'!$B$140:$K$169,MATCH($A192,'Team Performance'!$A$140:$A$169,0),MATCH(($B192-2)&amp;"-"&amp;RIGHT($B192-1,2),'Team Performance'!$B$139:$K$139,0)),"n/a"))</f>
        <v>0</v>
      </c>
      <c r="O192" s="110">
        <f>IF($B192=2017,IFERROR(INDEX('Salary Cap'!$B$143:$B$172,MATCH($A192,'Salary Cap'!$A$143:$A$172,0)),"n/a"),IFERROR(INDEX('Salary Cap'!$B$10:$K$39,MATCH($A192,'Salary Cap'!$A$10:$A$39,0),MATCH(""&amp;($B192-1),'Salary Cap'!$B$9:$K$9,0)),"n/a"))</f>
        <v>147529313</v>
      </c>
      <c r="P192" s="115">
        <f>IF($B192=2017,IFERROR(INDEX('Salary Cap'!$C$143:$C$172,MATCH($A192,'Salary Cap'!$A$143:$A$172,0)),"n/a"),IFERROR(INDEX('Salary Cap'!$B$109:$K$138,MATCH($A192,'Salary Cap'!$A$109:$A$138,0),MATCH(""&amp;($B192-1),'Salary Cap'!$B$108:$K$108,0)),"n/a"))</f>
        <v>0</v>
      </c>
      <c r="Q192" s="138">
        <f>IF(OR($B192=2021,$B192=2022),1,0)</f>
        <v>0</v>
      </c>
    </row>
    <row r="193" spans="1:17" x14ac:dyDescent="0.2">
      <c r="A193" s="113" t="str" cm="1">
        <f t="array" ref="A193">INDEX('NBA Valuations'!$A$5:$A$34,INT((ROW()-5)/10)+1)</f>
        <v>New Orleans Pelicans</v>
      </c>
      <c r="B193" s="105">
        <f t="shared" si="4"/>
        <v>2025</v>
      </c>
      <c r="C193" s="106">
        <f>IFERROR(INDEX('NBA Valuations'!$B$5:$K$34,MATCH($A193,'NBA Valuations'!$A$5:$A$34,0),MATCH(""&amp;$B193,'NBA Valuations'!$B$3:$K$3,0)),"n/a")</f>
        <v>3050</v>
      </c>
      <c r="D193" s="106">
        <f>IFERROR(INDEX(Revenue!$B$5:$K$34,MATCH($A193,Revenue!$A$5:$A$34,0),MATCH(""&amp;$B193,Revenue!$B$3:$K$3,0)),"n/a")</f>
        <v>272</v>
      </c>
      <c r="E193" s="106">
        <f>IFERROR(INDEX('Operating Income'!$B$5:$K$34,MATCH($A193,'Operating Income'!$A$5:$A$34,0),MATCH(""&amp;$B193,'Operating Income'!$B$3:$K$3,0)),"n/a")</f>
        <v>41</v>
      </c>
      <c r="F193" s="107">
        <f>IFERROR(INDEX('Market Size'!$L$5:$L$34,MATCH($A193,'Market Size'!$A$5:$A$34,0)),"n/a")</f>
        <v>1005404</v>
      </c>
      <c r="G193" s="108">
        <f>IFERROR(INDEX('Market Size'!$B$38:$K$67,MATCH($A193,'Market Size'!$A$38:$A$67,0),MATCH(""&amp;($B193-1),'Market Size'!$B$36:$K$36,0)),"n/a")</f>
        <v>50</v>
      </c>
      <c r="H193" s="108">
        <f>IFERROR(INDEX(Arena!$B$38:$K$67,MATCH($A193,Arena!$A$38:$A$67,0),MATCH(""&amp;$B193,Arena!$B$36:$K$36,0)),"n/a")</f>
        <v>1999</v>
      </c>
      <c r="I193" s="136" t="str">
        <f>IFERROR(INDEX(Arena!$B$71:$K$100,MATCH($A193,Arena!$A$71:$A$100,0),MATCH(""&amp;$B193,Arena!$B$69:$K$69,0)),"n/a")</f>
        <v>N</v>
      </c>
      <c r="J193" s="137">
        <f>IF(ISNUMBER($H193),($B193-1)-$H193,"n/a")</f>
        <v>25</v>
      </c>
      <c r="K193" s="108">
        <f>IF($B193=2017,IFERROR(INDEX('Team Performance'!$B$241:$B$270,MATCH($A193,'Team Performance'!$A$241:$A$270,0)),"n/a"),IFERROR(INDEX('Team Performance'!$B$6:$K$35,MATCH($A193,'Team Performance'!$A$6:$A$35,0),MATCH(($B193-2)&amp;"-"&amp;RIGHT($B193-1,2),'Team Performance'!$B$5:$K$5,0)),"n/a"))</f>
        <v>49</v>
      </c>
      <c r="L193" s="108">
        <f>IF($B193=2017,IFERROR(INDEX('Team Performance'!$C$241:$C$270,MATCH($A193,'Team Performance'!$A$241:$A$270,0)),"n/a"),IFERROR(INDEX('Team Performance'!$B$39:$K$68,MATCH($A193,'Team Performance'!$A$39:$A$68,0),MATCH(($B193-2)&amp;"-"&amp;RIGHT($B193-1,2),'Team Performance'!$B$38:$K$38,0)),"n/a"))</f>
        <v>33</v>
      </c>
      <c r="M193" s="109">
        <f t="shared" si="5"/>
        <v>0.59756097560975607</v>
      </c>
      <c r="N193" s="108">
        <f>IF($B193=2017,IFERROR(INDEX('Team Performance'!$E$241:$E$270,MATCH($A193,'Team Performance'!$A$241:$A$270,0)),"n/a"),IFERROR(INDEX('Team Performance'!$B$140:$K$169,MATCH($A193,'Team Performance'!$A$140:$A$169,0),MATCH(($B193-2)&amp;"-"&amp;RIGHT($B193-1,2),'Team Performance'!$B$139:$K$139,0)),"n/a"))</f>
        <v>1</v>
      </c>
      <c r="O193" s="110">
        <f>IF($B193=2017,IFERROR(INDEX('Salary Cap'!$B$143:$B$172,MATCH($A193,'Salary Cap'!$A$143:$A$172,0)),"n/a"),IFERROR(INDEX('Salary Cap'!$B$10:$K$39,MATCH($A193,'Salary Cap'!$A$10:$A$39,0),MATCH(""&amp;($B193-1),'Salary Cap'!$B$9:$K$9,0)),"n/a"))</f>
        <v>165016607</v>
      </c>
      <c r="P193" s="115">
        <f>IF($B193=2017,IFERROR(INDEX('Salary Cap'!$C$143:$C$172,MATCH($A193,'Salary Cap'!$A$143:$A$172,0)),"n/a"),IFERROR(INDEX('Salary Cap'!$B$109:$K$138,MATCH($A193,'Salary Cap'!$A$109:$A$138,0),MATCH(""&amp;($B193-1),'Salary Cap'!$B$108:$K$108,0)),"n/a"))</f>
        <v>0</v>
      </c>
      <c r="Q193" s="138">
        <f>IF(OR($B193=2021,$B193=2022),1,0)</f>
        <v>0</v>
      </c>
    </row>
    <row r="194" spans="1:17" x14ac:dyDescent="0.2">
      <c r="A194" s="113" t="str" cm="1">
        <f t="array" ref="A194">INDEX('NBA Valuations'!$A$5:$A$34,INT((ROW()-5)/10)+1)</f>
        <v>New Orleans Pelicans</v>
      </c>
      <c r="B194" s="105">
        <f t="shared" si="4"/>
        <v>2026</v>
      </c>
      <c r="C194" s="106">
        <f>IFERROR(INDEX('NBA Valuations'!$B$5:$K$34,MATCH($A194,'NBA Valuations'!$A$5:$A$34,0),MATCH(""&amp;$B194,'NBA Valuations'!$B$3:$K$3,0)),"n/a")</f>
        <v>3550</v>
      </c>
      <c r="D194" s="106">
        <f>IFERROR(INDEX(Revenue!$B$5:$K$34,MATCH($A194,Revenue!$A$5:$A$34,0),MATCH(""&amp;$B194,Revenue!$B$3:$K$3,0)),"n/a")</f>
        <v>302</v>
      </c>
      <c r="E194" s="106">
        <f>IFERROR(INDEX('Operating Income'!$B$5:$K$34,MATCH($A194,'Operating Income'!$A$5:$A$34,0),MATCH(""&amp;$B194,'Operating Income'!$B$3:$K$3,0)),"n/a")</f>
        <v>78</v>
      </c>
      <c r="F194" s="107">
        <f>IFERROR(INDEX('Market Size'!$L$5:$L$34,MATCH($A194,'Market Size'!$A$5:$A$34,0)),"n/a")</f>
        <v>1005404</v>
      </c>
      <c r="G194" s="108">
        <f>IFERROR(INDEX('Market Size'!$B$38:$K$67,MATCH($A194,'Market Size'!$A$38:$A$67,0),MATCH(""&amp;($B194-1),'Market Size'!$B$36:$K$36,0)),"n/a")</f>
        <v>50</v>
      </c>
      <c r="H194" s="108">
        <f>IFERROR(INDEX(Arena!$B$38:$K$67,MATCH($A194,Arena!$A$38:$A$67,0),MATCH(""&amp;$B194,Arena!$B$36:$K$36,0)),"n/a")</f>
        <v>1999</v>
      </c>
      <c r="I194" s="136" t="str">
        <f>IFERROR(INDEX(Arena!$B$71:$K$100,MATCH($A194,Arena!$A$71:$A$100,0),MATCH(""&amp;$B194,Arena!$B$69:$K$69,0)),"n/a")</f>
        <v>N</v>
      </c>
      <c r="J194" s="137">
        <f>IF(ISNUMBER($H194),($B194-1)-$H194,"n/a")</f>
        <v>26</v>
      </c>
      <c r="K194" s="108">
        <f>IF($B194=2017,IFERROR(INDEX('Team Performance'!$B$241:$B$270,MATCH($A194,'Team Performance'!$A$241:$A$270,0)),"n/a"),IFERROR(INDEX('Team Performance'!$B$6:$K$35,MATCH($A194,'Team Performance'!$A$6:$A$35,0),MATCH(($B194-2)&amp;"-"&amp;RIGHT($B194-1,2),'Team Performance'!$B$5:$K$5,0)),"n/a"))</f>
        <v>21</v>
      </c>
      <c r="L194" s="108">
        <f>IF($B194=2017,IFERROR(INDEX('Team Performance'!$C$241:$C$270,MATCH($A194,'Team Performance'!$A$241:$A$270,0)),"n/a"),IFERROR(INDEX('Team Performance'!$B$39:$K$68,MATCH($A194,'Team Performance'!$A$39:$A$68,0),MATCH(($B194-2)&amp;"-"&amp;RIGHT($B194-1,2),'Team Performance'!$B$38:$K$38,0)),"n/a"))</f>
        <v>61</v>
      </c>
      <c r="M194" s="109">
        <f t="shared" si="5"/>
        <v>0.25609756097560976</v>
      </c>
      <c r="N194" s="108">
        <f>IF($B194=2017,IFERROR(INDEX('Team Performance'!$E$241:$E$270,MATCH($A194,'Team Performance'!$A$241:$A$270,0)),"n/a"),IFERROR(INDEX('Team Performance'!$B$140:$K$169,MATCH($A194,'Team Performance'!$A$140:$A$169,0),MATCH(($B194-2)&amp;"-"&amp;RIGHT($B194-1,2),'Team Performance'!$B$139:$K$139,0)),"n/a"))</f>
        <v>0</v>
      </c>
      <c r="O194" s="110">
        <f>IF($B194=2017,IFERROR(INDEX('Salary Cap'!$B$143:$B$172,MATCH($A194,'Salary Cap'!$A$143:$A$172,0)),"n/a"),IFERROR(INDEX('Salary Cap'!$B$10:$K$39,MATCH($A194,'Salary Cap'!$A$10:$A$39,0),MATCH(""&amp;($B194-1),'Salary Cap'!$B$9:$K$9,0)),"n/a"))</f>
        <v>170690843</v>
      </c>
      <c r="P194" s="115">
        <f>IF($B194=2017,IFERROR(INDEX('Salary Cap'!$C$143:$C$172,MATCH($A194,'Salary Cap'!$A$143:$A$172,0)),"n/a"),IFERROR(INDEX('Salary Cap'!$B$109:$K$138,MATCH($A194,'Salary Cap'!$A$109:$A$138,0),MATCH(""&amp;($B194-1),'Salary Cap'!$B$108:$K$108,0)),"n/a"))</f>
        <v>0</v>
      </c>
      <c r="Q194" s="138">
        <f>IF(OR($B194=2021,$B194=2022),1,0)</f>
        <v>0</v>
      </c>
    </row>
    <row r="195" spans="1:17" x14ac:dyDescent="0.2">
      <c r="A195" s="113" t="str" cm="1">
        <f t="array" ref="A195">INDEX('NBA Valuations'!$A$5:$A$34,INT((ROW()-5)/10)+1)</f>
        <v>New York Knicks</v>
      </c>
      <c r="B195" s="105">
        <f t="shared" si="4"/>
        <v>2017</v>
      </c>
      <c r="C195" s="106">
        <f>IFERROR(INDEX('NBA Valuations'!$B$5:$K$34,MATCH($A195,'NBA Valuations'!$A$5:$A$34,0),MATCH(""&amp;$B195,'NBA Valuations'!$B$3:$K$3,0)),"n/a")</f>
        <v>3300</v>
      </c>
      <c r="D195" s="106">
        <f>IFERROR(INDEX(Revenue!$B$5:$K$34,MATCH($A195,Revenue!$A$5:$A$34,0),MATCH(""&amp;$B195,Revenue!$B$3:$K$3,0)),"n/a")</f>
        <v>376</v>
      </c>
      <c r="E195" s="106">
        <f>IFERROR(INDEX('Operating Income'!$B$5:$K$34,MATCH($A195,'Operating Income'!$A$5:$A$34,0),MATCH(""&amp;$B195,'Operating Income'!$B$3:$K$3,0)),"n/a")</f>
        <v>141.19999999999999</v>
      </c>
      <c r="F195" s="107">
        <f>IFERROR(INDEX('Market Size'!$L$5:$L$34,MATCH($A195,'Market Size'!$A$5:$A$34,0)),"n/a")</f>
        <v>19999993</v>
      </c>
      <c r="G195" s="108" t="str">
        <f>IFERROR(INDEX('Market Size'!$B$38:$K$67,MATCH($A195,'Market Size'!$A$38:$A$67,0),MATCH(""&amp;($B195-1),'Market Size'!$B$36:$K$36,0)),"n/a")</f>
        <v>n/a</v>
      </c>
      <c r="H195" s="108">
        <f>IFERROR(INDEX(Arena!$B$38:$K$67,MATCH($A195,Arena!$A$38:$A$67,0),MATCH(""&amp;$B195,Arena!$B$36:$K$36,0)),"n/a")</f>
        <v>1968</v>
      </c>
      <c r="I195" s="136" t="str">
        <f>IFERROR(INDEX(Arena!$B$71:$K$100,MATCH($A195,Arena!$A$71:$A$100,0),MATCH(""&amp;$B195,Arena!$B$69:$K$69,0)),"n/a")</f>
        <v>Y</v>
      </c>
      <c r="J195" s="137">
        <f>IF(ISNUMBER($H195),($B195-1)-$H195,"n/a")</f>
        <v>48</v>
      </c>
      <c r="K195" s="108">
        <f>IF($B195=2017,IFERROR(INDEX('Team Performance'!$B$241:$B$270,MATCH($A195,'Team Performance'!$A$241:$A$270,0)),"n/a"),IFERROR(INDEX('Team Performance'!$B$6:$K$35,MATCH($A195,'Team Performance'!$A$6:$A$35,0),MATCH(($B195-2)&amp;"-"&amp;RIGHT($B195-1,2),'Team Performance'!$B$5:$K$5,0)),"n/a"))</f>
        <v>32</v>
      </c>
      <c r="L195" s="108">
        <f>IF($B195=2017,IFERROR(INDEX('Team Performance'!$C$241:$C$270,MATCH($A195,'Team Performance'!$A$241:$A$270,0)),"n/a"),IFERROR(INDEX('Team Performance'!$B$39:$K$68,MATCH($A195,'Team Performance'!$A$39:$A$68,0),MATCH(($B195-2)&amp;"-"&amp;RIGHT($B195-1,2),'Team Performance'!$B$38:$K$38,0)),"n/a"))</f>
        <v>50</v>
      </c>
      <c r="M195" s="109">
        <f t="shared" si="5"/>
        <v>0.3902439024390244</v>
      </c>
      <c r="N195" s="108">
        <f>IF($B195=2017,IFERROR(INDEX('Team Performance'!$E$241:$E$270,MATCH($A195,'Team Performance'!$A$241:$A$270,0)),"n/a"),IFERROR(INDEX('Team Performance'!$B$140:$K$169,MATCH($A195,'Team Performance'!$A$140:$A$169,0),MATCH(($B195-2)&amp;"-"&amp;RIGHT($B195-1,2),'Team Performance'!$B$139:$K$139,0)),"n/a"))</f>
        <v>0</v>
      </c>
      <c r="O195" s="110">
        <f>IF($B195=2017,IFERROR(INDEX('Salary Cap'!$B$143:$B$172,MATCH($A195,'Salary Cap'!$A$143:$A$172,0)),"n/a"),IFERROR(INDEX('Salary Cap'!$B$10:$K$39,MATCH($A195,'Salary Cap'!$A$10:$A$39,0),MATCH(""&amp;($B195-1),'Salary Cap'!$B$9:$K$9,0)),"n/a"))</f>
        <v>59812260</v>
      </c>
      <c r="P195" s="115">
        <f>IF($B195=2017,IFERROR(INDEX('Salary Cap'!$C$143:$C$172,MATCH($A195,'Salary Cap'!$A$143:$A$172,0)),"n/a"),IFERROR(INDEX('Salary Cap'!$B$109:$K$138,MATCH($A195,'Salary Cap'!$A$109:$A$138,0),MATCH(""&amp;($B195-1),'Salary Cap'!$B$108:$K$108,0)),"n/a"))</f>
        <v>0</v>
      </c>
      <c r="Q195" s="138">
        <f>IF(OR($B195=2021,$B195=2022),1,0)</f>
        <v>0</v>
      </c>
    </row>
    <row r="196" spans="1:17" x14ac:dyDescent="0.2">
      <c r="A196" s="113" t="str" cm="1">
        <f t="array" ref="A196">INDEX('NBA Valuations'!$A$5:$A$34,INT((ROW()-5)/10)+1)</f>
        <v>New York Knicks</v>
      </c>
      <c r="B196" s="105">
        <f t="shared" si="4"/>
        <v>2018</v>
      </c>
      <c r="C196" s="106">
        <f>IFERROR(INDEX('NBA Valuations'!$B$5:$K$34,MATCH($A196,'NBA Valuations'!$A$5:$A$34,0),MATCH(""&amp;$B196,'NBA Valuations'!$B$3:$K$3,0)),"n/a")</f>
        <v>3600</v>
      </c>
      <c r="D196" s="106">
        <f>IFERROR(INDEX(Revenue!$B$5:$K$34,MATCH($A196,Revenue!$A$5:$A$34,0),MATCH(""&amp;$B196,Revenue!$B$3:$K$3,0)),"n/a")</f>
        <v>426</v>
      </c>
      <c r="E196" s="106">
        <f>IFERROR(INDEX('Operating Income'!$B$5:$K$34,MATCH($A196,'Operating Income'!$A$5:$A$34,0),MATCH(""&amp;$B196,'Operating Income'!$B$3:$K$3,0)),"n/a")</f>
        <v>140</v>
      </c>
      <c r="F196" s="107">
        <f>IFERROR(INDEX('Market Size'!$L$5:$L$34,MATCH($A196,'Market Size'!$A$5:$A$34,0)),"n/a")</f>
        <v>19999993</v>
      </c>
      <c r="G196" s="108" t="str">
        <f>IFERROR(INDEX('Market Size'!$B$38:$K$67,MATCH($A196,'Market Size'!$A$38:$A$67,0),MATCH(""&amp;($B196-1),'Market Size'!$B$36:$K$36,0)),"n/a")</f>
        <v>n/a</v>
      </c>
      <c r="H196" s="108">
        <f>IFERROR(INDEX(Arena!$B$38:$K$67,MATCH($A196,Arena!$A$38:$A$67,0),MATCH(""&amp;$B196,Arena!$B$36:$K$36,0)),"n/a")</f>
        <v>1968</v>
      </c>
      <c r="I196" s="136" t="str">
        <f>IFERROR(INDEX(Arena!$B$71:$K$100,MATCH($A196,Arena!$A$71:$A$100,0),MATCH(""&amp;$B196,Arena!$B$69:$K$69,0)),"n/a")</f>
        <v>Y</v>
      </c>
      <c r="J196" s="137">
        <f>IF(ISNUMBER($H196),($B196-1)-$H196,"n/a")</f>
        <v>49</v>
      </c>
      <c r="K196" s="108">
        <f>IF($B196=2017,IFERROR(INDEX('Team Performance'!$B$241:$B$270,MATCH($A196,'Team Performance'!$A$241:$A$270,0)),"n/a"),IFERROR(INDEX('Team Performance'!$B$6:$K$35,MATCH($A196,'Team Performance'!$A$6:$A$35,0),MATCH(($B196-2)&amp;"-"&amp;RIGHT($B196-1,2),'Team Performance'!$B$5:$K$5,0)),"n/a"))</f>
        <v>31</v>
      </c>
      <c r="L196" s="108">
        <f>IF($B196=2017,IFERROR(INDEX('Team Performance'!$C$241:$C$270,MATCH($A196,'Team Performance'!$A$241:$A$270,0)),"n/a"),IFERROR(INDEX('Team Performance'!$B$39:$K$68,MATCH($A196,'Team Performance'!$A$39:$A$68,0),MATCH(($B196-2)&amp;"-"&amp;RIGHT($B196-1,2),'Team Performance'!$B$38:$K$38,0)),"n/a"))</f>
        <v>51</v>
      </c>
      <c r="M196" s="109">
        <f t="shared" si="5"/>
        <v>0.37804878048780488</v>
      </c>
      <c r="N196" s="108">
        <f>IF($B196=2017,IFERROR(INDEX('Team Performance'!$E$241:$E$270,MATCH($A196,'Team Performance'!$A$241:$A$270,0)),"n/a"),IFERROR(INDEX('Team Performance'!$B$140:$K$169,MATCH($A196,'Team Performance'!$A$140:$A$169,0),MATCH(($B196-2)&amp;"-"&amp;RIGHT($B196-1,2),'Team Performance'!$B$139:$K$139,0)),"n/a"))</f>
        <v>0</v>
      </c>
      <c r="O196" s="110">
        <f>IF($B196=2017,IFERROR(INDEX('Salary Cap'!$B$143:$B$172,MATCH($A196,'Salary Cap'!$A$143:$A$172,0)),"n/a"),IFERROR(INDEX('Salary Cap'!$B$10:$K$39,MATCH($A196,'Salary Cap'!$A$10:$A$39,0),MATCH(""&amp;($B196-1),'Salary Cap'!$B$9:$K$9,0)),"n/a"))</f>
        <v>86487353</v>
      </c>
      <c r="P196" s="115">
        <f>IF($B196=2017,IFERROR(INDEX('Salary Cap'!$C$143:$C$172,MATCH($A196,'Salary Cap'!$A$143:$A$172,0)),"n/a"),IFERROR(INDEX('Salary Cap'!$B$109:$K$138,MATCH($A196,'Salary Cap'!$A$109:$A$138,0),MATCH(""&amp;($B196-1),'Salary Cap'!$B$108:$K$108,0)),"n/a"))</f>
        <v>0</v>
      </c>
      <c r="Q196" s="138">
        <f>IF(OR($B196=2021,$B196=2022),1,0)</f>
        <v>0</v>
      </c>
    </row>
    <row r="197" spans="1:17" x14ac:dyDescent="0.2">
      <c r="A197" s="113" t="str" cm="1">
        <f t="array" ref="A197">INDEX('NBA Valuations'!$A$5:$A$34,INT((ROW()-5)/10)+1)</f>
        <v>New York Knicks</v>
      </c>
      <c r="B197" s="105">
        <f t="shared" si="4"/>
        <v>2019</v>
      </c>
      <c r="C197" s="106">
        <f>IFERROR(INDEX('NBA Valuations'!$B$5:$K$34,MATCH($A197,'NBA Valuations'!$A$5:$A$34,0),MATCH(""&amp;$B197,'NBA Valuations'!$B$3:$K$3,0)),"n/a")</f>
        <v>4000</v>
      </c>
      <c r="D197" s="106">
        <f>IFERROR(INDEX(Revenue!$B$5:$K$34,MATCH($A197,Revenue!$A$5:$A$34,0),MATCH(""&amp;$B197,Revenue!$B$3:$K$3,0)),"n/a")</f>
        <v>443</v>
      </c>
      <c r="E197" s="106">
        <f>IFERROR(INDEX('Operating Income'!$B$5:$K$34,MATCH($A197,'Operating Income'!$A$5:$A$34,0),MATCH(""&amp;$B197,'Operating Income'!$B$3:$K$3,0)),"n/a")</f>
        <v>155</v>
      </c>
      <c r="F197" s="107">
        <f>IFERROR(INDEX('Market Size'!$L$5:$L$34,MATCH($A197,'Market Size'!$A$5:$A$34,0)),"n/a")</f>
        <v>19999993</v>
      </c>
      <c r="G197" s="108" t="str">
        <f>IFERROR(INDEX('Market Size'!$B$38:$K$67,MATCH($A197,'Market Size'!$A$38:$A$67,0),MATCH(""&amp;($B197-1),'Market Size'!$B$36:$K$36,0)),"n/a")</f>
        <v>n/a</v>
      </c>
      <c r="H197" s="108">
        <f>IFERROR(INDEX(Arena!$B$38:$K$67,MATCH($A197,Arena!$A$38:$A$67,0),MATCH(""&amp;$B197,Arena!$B$36:$K$36,0)),"n/a")</f>
        <v>1968</v>
      </c>
      <c r="I197" s="136" t="str">
        <f>IFERROR(INDEX(Arena!$B$71:$K$100,MATCH($A197,Arena!$A$71:$A$100,0),MATCH(""&amp;$B197,Arena!$B$69:$K$69,0)),"n/a")</f>
        <v>Y</v>
      </c>
      <c r="J197" s="137">
        <f>IF(ISNUMBER($H197),($B197-1)-$H197,"n/a")</f>
        <v>50</v>
      </c>
      <c r="K197" s="108">
        <f>IF($B197=2017,IFERROR(INDEX('Team Performance'!$B$241:$B$270,MATCH($A197,'Team Performance'!$A$241:$A$270,0)),"n/a"),IFERROR(INDEX('Team Performance'!$B$6:$K$35,MATCH($A197,'Team Performance'!$A$6:$A$35,0),MATCH(($B197-2)&amp;"-"&amp;RIGHT($B197-1,2),'Team Performance'!$B$5:$K$5,0)),"n/a"))</f>
        <v>29</v>
      </c>
      <c r="L197" s="108">
        <f>IF($B197=2017,IFERROR(INDEX('Team Performance'!$C$241:$C$270,MATCH($A197,'Team Performance'!$A$241:$A$270,0)),"n/a"),IFERROR(INDEX('Team Performance'!$B$39:$K$68,MATCH($A197,'Team Performance'!$A$39:$A$68,0),MATCH(($B197-2)&amp;"-"&amp;RIGHT($B197-1,2),'Team Performance'!$B$38:$K$38,0)),"n/a"))</f>
        <v>53</v>
      </c>
      <c r="M197" s="109">
        <f t="shared" si="5"/>
        <v>0.35365853658536583</v>
      </c>
      <c r="N197" s="108">
        <f>IF($B197=2017,IFERROR(INDEX('Team Performance'!$E$241:$E$270,MATCH($A197,'Team Performance'!$A$241:$A$270,0)),"n/a"),IFERROR(INDEX('Team Performance'!$B$140:$K$169,MATCH($A197,'Team Performance'!$A$140:$A$169,0),MATCH(($B197-2)&amp;"-"&amp;RIGHT($B197-1,2),'Team Performance'!$B$139:$K$139,0)),"n/a"))</f>
        <v>0</v>
      </c>
      <c r="O197" s="110">
        <f>IF($B197=2017,IFERROR(INDEX('Salary Cap'!$B$143:$B$172,MATCH($A197,'Salary Cap'!$A$143:$A$172,0)),"n/a"),IFERROR(INDEX('Salary Cap'!$B$10:$K$39,MATCH($A197,'Salary Cap'!$A$10:$A$39,0),MATCH(""&amp;($B197-1),'Salary Cap'!$B$9:$K$9,0)),"n/a"))</f>
        <v>104405156</v>
      </c>
      <c r="P197" s="115">
        <f>IF($B197=2017,IFERROR(INDEX('Salary Cap'!$C$143:$C$172,MATCH($A197,'Salary Cap'!$A$143:$A$172,0)),"n/a"),IFERROR(INDEX('Salary Cap'!$B$109:$K$138,MATCH($A197,'Salary Cap'!$A$109:$A$138,0),MATCH(""&amp;($B197-1),'Salary Cap'!$B$108:$K$108,0)),"n/a"))</f>
        <v>0</v>
      </c>
      <c r="Q197" s="138">
        <f>IF(OR($B197=2021,$B197=2022),1,0)</f>
        <v>0</v>
      </c>
    </row>
    <row r="198" spans="1:17" x14ac:dyDescent="0.2">
      <c r="A198" s="113" t="str" cm="1">
        <f t="array" ref="A198">INDEX('NBA Valuations'!$A$5:$A$34,INT((ROW()-5)/10)+1)</f>
        <v>New York Knicks</v>
      </c>
      <c r="B198" s="105">
        <f t="shared" ref="B198:B261" si="6">2017+MOD(ROW()-5,10)</f>
        <v>2020</v>
      </c>
      <c r="C198" s="106">
        <f>IFERROR(INDEX('NBA Valuations'!$B$5:$K$34,MATCH($A198,'NBA Valuations'!$A$5:$A$34,0),MATCH(""&amp;$B198,'NBA Valuations'!$B$3:$K$3,0)),"n/a")</f>
        <v>4600</v>
      </c>
      <c r="D198" s="106">
        <f>IFERROR(INDEX(Revenue!$B$5:$K$34,MATCH($A198,Revenue!$A$5:$A$34,0),MATCH(""&amp;$B198,Revenue!$B$3:$K$3,0)),"n/a")</f>
        <v>472</v>
      </c>
      <c r="E198" s="106">
        <f>IFERROR(INDEX('Operating Income'!$B$5:$K$34,MATCH($A198,'Operating Income'!$A$5:$A$34,0),MATCH(""&amp;$B198,'Operating Income'!$B$3:$K$3,0)),"n/a")</f>
        <v>157</v>
      </c>
      <c r="F198" s="107">
        <f>IFERROR(INDEX('Market Size'!$L$5:$L$34,MATCH($A198,'Market Size'!$A$5:$A$34,0)),"n/a")</f>
        <v>19999993</v>
      </c>
      <c r="G198" s="108" t="str">
        <f>IFERROR(INDEX('Market Size'!$B$38:$K$67,MATCH($A198,'Market Size'!$A$38:$A$67,0),MATCH(""&amp;($B198-1),'Market Size'!$B$36:$K$36,0)),"n/a")</f>
        <v>n/a</v>
      </c>
      <c r="H198" s="108">
        <f>IFERROR(INDEX(Arena!$B$38:$K$67,MATCH($A198,Arena!$A$38:$A$67,0),MATCH(""&amp;$B198,Arena!$B$36:$K$36,0)),"n/a")</f>
        <v>1968</v>
      </c>
      <c r="I198" s="136" t="str">
        <f>IFERROR(INDEX(Arena!$B$71:$K$100,MATCH($A198,Arena!$A$71:$A$100,0),MATCH(""&amp;$B198,Arena!$B$69:$K$69,0)),"n/a")</f>
        <v>Y</v>
      </c>
      <c r="J198" s="137">
        <f>IF(ISNUMBER($H198),($B198-1)-$H198,"n/a")</f>
        <v>51</v>
      </c>
      <c r="K198" s="108">
        <f>IF($B198=2017,IFERROR(INDEX('Team Performance'!$B$241:$B$270,MATCH($A198,'Team Performance'!$A$241:$A$270,0)),"n/a"),IFERROR(INDEX('Team Performance'!$B$6:$K$35,MATCH($A198,'Team Performance'!$A$6:$A$35,0),MATCH(($B198-2)&amp;"-"&amp;RIGHT($B198-1,2),'Team Performance'!$B$5:$K$5,0)),"n/a"))</f>
        <v>17</v>
      </c>
      <c r="L198" s="108">
        <f>IF($B198=2017,IFERROR(INDEX('Team Performance'!$C$241:$C$270,MATCH($A198,'Team Performance'!$A$241:$A$270,0)),"n/a"),IFERROR(INDEX('Team Performance'!$B$39:$K$68,MATCH($A198,'Team Performance'!$A$39:$A$68,0),MATCH(($B198-2)&amp;"-"&amp;RIGHT($B198-1,2),'Team Performance'!$B$38:$K$38,0)),"n/a"))</f>
        <v>65</v>
      </c>
      <c r="M198" s="109">
        <f t="shared" ref="M198:M261" si="7">IF(AND(ISNUMBER($K198),ISNUMBER($L198)),$K198/($K198+$L198),"n/a")</f>
        <v>0.2073170731707317</v>
      </c>
      <c r="N198" s="108">
        <f>IF($B198=2017,IFERROR(INDEX('Team Performance'!$E$241:$E$270,MATCH($A198,'Team Performance'!$A$241:$A$270,0)),"n/a"),IFERROR(INDEX('Team Performance'!$B$140:$K$169,MATCH($A198,'Team Performance'!$A$140:$A$169,0),MATCH(($B198-2)&amp;"-"&amp;RIGHT($B198-1,2),'Team Performance'!$B$139:$K$139,0)),"n/a"))</f>
        <v>0</v>
      </c>
      <c r="O198" s="110">
        <f>IF($B198=2017,IFERROR(INDEX('Salary Cap'!$B$143:$B$172,MATCH($A198,'Salary Cap'!$A$143:$A$172,0)),"n/a"),IFERROR(INDEX('Salary Cap'!$B$10:$K$39,MATCH($A198,'Salary Cap'!$A$10:$A$39,0),MATCH(""&amp;($B198-1),'Salary Cap'!$B$9:$K$9,0)),"n/a"))</f>
        <v>123265800</v>
      </c>
      <c r="P198" s="115">
        <f>IF($B198=2017,IFERROR(INDEX('Salary Cap'!$C$143:$C$172,MATCH($A198,'Salary Cap'!$A$143:$A$172,0)),"n/a"),IFERROR(INDEX('Salary Cap'!$B$109:$K$138,MATCH($A198,'Salary Cap'!$A$109:$A$138,0),MATCH(""&amp;($B198-1),'Salary Cap'!$B$108:$K$108,0)),"n/a"))</f>
        <v>0</v>
      </c>
      <c r="Q198" s="138">
        <f>IF(OR($B198=2021,$B198=2022),1,0)</f>
        <v>0</v>
      </c>
    </row>
    <row r="199" spans="1:17" x14ac:dyDescent="0.2">
      <c r="A199" s="113" t="str" cm="1">
        <f t="array" ref="A199">INDEX('NBA Valuations'!$A$5:$A$34,INT((ROW()-5)/10)+1)</f>
        <v>New York Knicks</v>
      </c>
      <c r="B199" s="105">
        <f t="shared" si="6"/>
        <v>2021</v>
      </c>
      <c r="C199" s="106">
        <f>IFERROR(INDEX('NBA Valuations'!$B$5:$K$34,MATCH($A199,'NBA Valuations'!$A$5:$A$34,0),MATCH(""&amp;$B199,'NBA Valuations'!$B$3:$K$3,0)),"n/a")</f>
        <v>5000</v>
      </c>
      <c r="D199" s="106">
        <f>IFERROR(INDEX(Revenue!$B$5:$K$34,MATCH($A199,Revenue!$A$5:$A$34,0),MATCH(""&amp;$B199,Revenue!$B$3:$K$3,0)),"n/a")</f>
        <v>421</v>
      </c>
      <c r="E199" s="106">
        <f>IFERROR(INDEX('Operating Income'!$B$5:$K$34,MATCH($A199,'Operating Income'!$A$5:$A$34,0),MATCH(""&amp;$B199,'Operating Income'!$B$3:$K$3,0)),"n/a")</f>
        <v>178</v>
      </c>
      <c r="F199" s="107">
        <f>IFERROR(INDEX('Market Size'!$L$5:$L$34,MATCH($A199,'Market Size'!$A$5:$A$34,0)),"n/a")</f>
        <v>19999993</v>
      </c>
      <c r="G199" s="108" t="str">
        <f>IFERROR(INDEX('Market Size'!$B$38:$K$67,MATCH($A199,'Market Size'!$A$38:$A$67,0),MATCH(""&amp;($B199-1),'Market Size'!$B$36:$K$36,0)),"n/a")</f>
        <v>n/a</v>
      </c>
      <c r="H199" s="108">
        <f>IFERROR(INDEX(Arena!$B$38:$K$67,MATCH($A199,Arena!$A$38:$A$67,0),MATCH(""&amp;$B199,Arena!$B$36:$K$36,0)),"n/a")</f>
        <v>1968</v>
      </c>
      <c r="I199" s="136" t="str">
        <f>IFERROR(INDEX(Arena!$B$71:$K$100,MATCH($A199,Arena!$A$71:$A$100,0),MATCH(""&amp;$B199,Arena!$B$69:$K$69,0)),"n/a")</f>
        <v>Y</v>
      </c>
      <c r="J199" s="137">
        <f>IF(ISNUMBER($H199),($B199-1)-$H199,"n/a")</f>
        <v>52</v>
      </c>
      <c r="K199" s="108">
        <f>IF($B199=2017,IFERROR(INDEX('Team Performance'!$B$241:$B$270,MATCH($A199,'Team Performance'!$A$241:$A$270,0)),"n/a"),IFERROR(INDEX('Team Performance'!$B$6:$K$35,MATCH($A199,'Team Performance'!$A$6:$A$35,0),MATCH(($B199-2)&amp;"-"&amp;RIGHT($B199-1,2),'Team Performance'!$B$5:$K$5,0)),"n/a"))</f>
        <v>21</v>
      </c>
      <c r="L199" s="108">
        <f>IF($B199=2017,IFERROR(INDEX('Team Performance'!$C$241:$C$270,MATCH($A199,'Team Performance'!$A$241:$A$270,0)),"n/a"),IFERROR(INDEX('Team Performance'!$B$39:$K$68,MATCH($A199,'Team Performance'!$A$39:$A$68,0),MATCH(($B199-2)&amp;"-"&amp;RIGHT($B199-1,2),'Team Performance'!$B$38:$K$38,0)),"n/a"))</f>
        <v>45</v>
      </c>
      <c r="M199" s="109">
        <f t="shared" si="7"/>
        <v>0.31818181818181818</v>
      </c>
      <c r="N199" s="108">
        <f>IF($B199=2017,IFERROR(INDEX('Team Performance'!$E$241:$E$270,MATCH($A199,'Team Performance'!$A$241:$A$270,0)),"n/a"),IFERROR(INDEX('Team Performance'!$B$140:$K$169,MATCH($A199,'Team Performance'!$A$140:$A$169,0),MATCH(($B199-2)&amp;"-"&amp;RIGHT($B199-1,2),'Team Performance'!$B$139:$K$139,0)),"n/a"))</f>
        <v>0</v>
      </c>
      <c r="O199" s="110">
        <f>IF($B199=2017,IFERROR(INDEX('Salary Cap'!$B$143:$B$172,MATCH($A199,'Salary Cap'!$A$143:$A$172,0)),"n/a"),IFERROR(INDEX('Salary Cap'!$B$10:$K$39,MATCH($A199,'Salary Cap'!$A$10:$A$39,0),MATCH(""&amp;($B199-1),'Salary Cap'!$B$9:$K$9,0)),"n/a"))</f>
        <v>110203043</v>
      </c>
      <c r="P199" s="115">
        <f>IF($B199=2017,IFERROR(INDEX('Salary Cap'!$C$143:$C$172,MATCH($A199,'Salary Cap'!$A$143:$A$172,0)),"n/a"),IFERROR(INDEX('Salary Cap'!$B$109:$K$138,MATCH($A199,'Salary Cap'!$A$109:$A$138,0),MATCH(""&amp;($B199-1),'Salary Cap'!$B$108:$K$108,0)),"n/a"))</f>
        <v>0</v>
      </c>
      <c r="Q199" s="138">
        <f>IF(OR($B199=2021,$B199=2022),1,0)</f>
        <v>1</v>
      </c>
    </row>
    <row r="200" spans="1:17" x14ac:dyDescent="0.2">
      <c r="A200" s="113" t="str" cm="1">
        <f t="array" ref="A200">INDEX('NBA Valuations'!$A$5:$A$34,INT((ROW()-5)/10)+1)</f>
        <v>New York Knicks</v>
      </c>
      <c r="B200" s="105">
        <f t="shared" si="6"/>
        <v>2022</v>
      </c>
      <c r="C200" s="106">
        <f>IFERROR(INDEX('NBA Valuations'!$B$5:$K$34,MATCH($A200,'NBA Valuations'!$A$5:$A$34,0),MATCH(""&amp;$B200,'NBA Valuations'!$B$3:$K$3,0)),"n/a")</f>
        <v>5800</v>
      </c>
      <c r="D200" s="106">
        <f>IFERROR(INDEX(Revenue!$B$5:$K$34,MATCH($A200,Revenue!$A$5:$A$34,0),MATCH(""&amp;$B200,Revenue!$B$3:$K$3,0)),"n/a")</f>
        <v>298</v>
      </c>
      <c r="E200" s="106">
        <f>IFERROR(INDEX('Operating Income'!$B$5:$K$34,MATCH($A200,'Operating Income'!$A$5:$A$34,0),MATCH(""&amp;$B200,'Operating Income'!$B$3:$K$3,0)),"n/a")</f>
        <v>71</v>
      </c>
      <c r="F200" s="107">
        <f>IFERROR(INDEX('Market Size'!$L$5:$L$34,MATCH($A200,'Market Size'!$A$5:$A$34,0)),"n/a")</f>
        <v>19999993</v>
      </c>
      <c r="G200" s="108" t="str">
        <f>IFERROR(INDEX('Market Size'!$B$38:$K$67,MATCH($A200,'Market Size'!$A$38:$A$67,0),MATCH(""&amp;($B200-1),'Market Size'!$B$36:$K$36,0)),"n/a")</f>
        <v>n/a</v>
      </c>
      <c r="H200" s="108">
        <f>IFERROR(INDEX(Arena!$B$38:$K$67,MATCH($A200,Arena!$A$38:$A$67,0),MATCH(""&amp;$B200,Arena!$B$36:$K$36,0)),"n/a")</f>
        <v>1968</v>
      </c>
      <c r="I200" s="136" t="str">
        <f>IFERROR(INDEX(Arena!$B$71:$K$100,MATCH($A200,Arena!$A$71:$A$100,0),MATCH(""&amp;$B200,Arena!$B$69:$K$69,0)),"n/a")</f>
        <v>Y</v>
      </c>
      <c r="J200" s="137">
        <f>IF(ISNUMBER($H200),($B200-1)-$H200,"n/a")</f>
        <v>53</v>
      </c>
      <c r="K200" s="108">
        <f>IF($B200=2017,IFERROR(INDEX('Team Performance'!$B$241:$B$270,MATCH($A200,'Team Performance'!$A$241:$A$270,0)),"n/a"),IFERROR(INDEX('Team Performance'!$B$6:$K$35,MATCH($A200,'Team Performance'!$A$6:$A$35,0),MATCH(($B200-2)&amp;"-"&amp;RIGHT($B200-1,2),'Team Performance'!$B$5:$K$5,0)),"n/a"))</f>
        <v>41</v>
      </c>
      <c r="L200" s="108">
        <f>IF($B200=2017,IFERROR(INDEX('Team Performance'!$C$241:$C$270,MATCH($A200,'Team Performance'!$A$241:$A$270,0)),"n/a"),IFERROR(INDEX('Team Performance'!$B$39:$K$68,MATCH($A200,'Team Performance'!$A$39:$A$68,0),MATCH(($B200-2)&amp;"-"&amp;RIGHT($B200-1,2),'Team Performance'!$B$38:$K$38,0)),"n/a"))</f>
        <v>31</v>
      </c>
      <c r="M200" s="109">
        <f t="shared" si="7"/>
        <v>0.56944444444444442</v>
      </c>
      <c r="N200" s="108">
        <f>IF($B200=2017,IFERROR(INDEX('Team Performance'!$E$241:$E$270,MATCH($A200,'Team Performance'!$A$241:$A$270,0)),"n/a"),IFERROR(INDEX('Team Performance'!$B$140:$K$169,MATCH($A200,'Team Performance'!$A$140:$A$169,0),MATCH(($B200-2)&amp;"-"&amp;RIGHT($B200-1,2),'Team Performance'!$B$139:$K$139,0)),"n/a"))</f>
        <v>1</v>
      </c>
      <c r="O200" s="110">
        <f>IF($B200=2017,IFERROR(INDEX('Salary Cap'!$B$143:$B$172,MATCH($A200,'Salary Cap'!$A$143:$A$172,0)),"n/a"),IFERROR(INDEX('Salary Cap'!$B$10:$K$39,MATCH($A200,'Salary Cap'!$A$10:$A$39,0),MATCH(""&amp;($B200-1),'Salary Cap'!$B$9:$K$9,0)),"n/a"))</f>
        <v>102005813</v>
      </c>
      <c r="P200" s="115">
        <f>IF($B200=2017,IFERROR(INDEX('Salary Cap'!$C$143:$C$172,MATCH($A200,'Salary Cap'!$A$143:$A$172,0)),"n/a"),IFERROR(INDEX('Salary Cap'!$B$109:$K$138,MATCH($A200,'Salary Cap'!$A$109:$A$138,0),MATCH(""&amp;($B200-1),'Salary Cap'!$B$108:$K$108,0)),"n/a"))</f>
        <v>0</v>
      </c>
      <c r="Q200" s="138">
        <f>IF(OR($B200=2021,$B200=2022),1,0)</f>
        <v>1</v>
      </c>
    </row>
    <row r="201" spans="1:17" x14ac:dyDescent="0.2">
      <c r="A201" s="113" t="str" cm="1">
        <f t="array" ref="A201">INDEX('NBA Valuations'!$A$5:$A$34,INT((ROW()-5)/10)+1)</f>
        <v>New York Knicks</v>
      </c>
      <c r="B201" s="105">
        <f t="shared" si="6"/>
        <v>2023</v>
      </c>
      <c r="C201" s="106">
        <f>IFERROR(INDEX('NBA Valuations'!$B$5:$K$34,MATCH($A201,'NBA Valuations'!$A$5:$A$34,0),MATCH(""&amp;$B201,'NBA Valuations'!$B$3:$K$3,0)),"n/a")</f>
        <v>6100</v>
      </c>
      <c r="D201" s="106">
        <f>IFERROR(INDEX(Revenue!$B$5:$K$34,MATCH($A201,Revenue!$A$5:$A$34,0),MATCH(""&amp;$B201,Revenue!$B$3:$K$3,0)),"n/a")</f>
        <v>452</v>
      </c>
      <c r="E201" s="106">
        <f>IFERROR(INDEX('Operating Income'!$B$5:$K$34,MATCH($A201,'Operating Income'!$A$5:$A$34,0),MATCH(""&amp;$B201,'Operating Income'!$B$3:$K$3,0)),"n/a")</f>
        <v>155</v>
      </c>
      <c r="F201" s="107">
        <f>IFERROR(INDEX('Market Size'!$L$5:$L$34,MATCH($A201,'Market Size'!$A$5:$A$34,0)),"n/a")</f>
        <v>19999993</v>
      </c>
      <c r="G201" s="108" t="str">
        <f>IFERROR(INDEX('Market Size'!$B$38:$K$67,MATCH($A201,'Market Size'!$A$38:$A$67,0),MATCH(""&amp;($B201-1),'Market Size'!$B$36:$K$36,0)),"n/a")</f>
        <v>n/a</v>
      </c>
      <c r="H201" s="108">
        <f>IFERROR(INDEX(Arena!$B$38:$K$67,MATCH($A201,Arena!$A$38:$A$67,0),MATCH(""&amp;$B201,Arena!$B$36:$K$36,0)),"n/a")</f>
        <v>1968</v>
      </c>
      <c r="I201" s="136" t="str">
        <f>IFERROR(INDEX(Arena!$B$71:$K$100,MATCH($A201,Arena!$A$71:$A$100,0),MATCH(""&amp;$B201,Arena!$B$69:$K$69,0)),"n/a")</f>
        <v>Y</v>
      </c>
      <c r="J201" s="137">
        <f>IF(ISNUMBER($H201),($B201-1)-$H201,"n/a")</f>
        <v>54</v>
      </c>
      <c r="K201" s="108">
        <f>IF($B201=2017,IFERROR(INDEX('Team Performance'!$B$241:$B$270,MATCH($A201,'Team Performance'!$A$241:$A$270,0)),"n/a"),IFERROR(INDEX('Team Performance'!$B$6:$K$35,MATCH($A201,'Team Performance'!$A$6:$A$35,0),MATCH(($B201-2)&amp;"-"&amp;RIGHT($B201-1,2),'Team Performance'!$B$5:$K$5,0)),"n/a"))</f>
        <v>37</v>
      </c>
      <c r="L201" s="108">
        <f>IF($B201=2017,IFERROR(INDEX('Team Performance'!$C$241:$C$270,MATCH($A201,'Team Performance'!$A$241:$A$270,0)),"n/a"),IFERROR(INDEX('Team Performance'!$B$39:$K$68,MATCH($A201,'Team Performance'!$A$39:$A$68,0),MATCH(($B201-2)&amp;"-"&amp;RIGHT($B201-1,2),'Team Performance'!$B$38:$K$38,0)),"n/a"))</f>
        <v>45</v>
      </c>
      <c r="M201" s="109">
        <f t="shared" si="7"/>
        <v>0.45121951219512196</v>
      </c>
      <c r="N201" s="108">
        <f>IF($B201=2017,IFERROR(INDEX('Team Performance'!$E$241:$E$270,MATCH($A201,'Team Performance'!$A$241:$A$270,0)),"n/a"),IFERROR(INDEX('Team Performance'!$B$140:$K$169,MATCH($A201,'Team Performance'!$A$140:$A$169,0),MATCH(($B201-2)&amp;"-"&amp;RIGHT($B201-1,2),'Team Performance'!$B$139:$K$139,0)),"n/a"))</f>
        <v>0</v>
      </c>
      <c r="O201" s="110">
        <f>IF($B201=2017,IFERROR(INDEX('Salary Cap'!$B$143:$B$172,MATCH($A201,'Salary Cap'!$A$143:$A$172,0)),"n/a"),IFERROR(INDEX('Salary Cap'!$B$10:$K$39,MATCH($A201,'Salary Cap'!$A$10:$A$39,0),MATCH(""&amp;($B201-1),'Salary Cap'!$B$9:$K$9,0)),"n/a"))</f>
        <v>118396240</v>
      </c>
      <c r="P201" s="115">
        <f>IF($B201=2017,IFERROR(INDEX('Salary Cap'!$C$143:$C$172,MATCH($A201,'Salary Cap'!$A$143:$A$172,0)),"n/a"),IFERROR(INDEX('Salary Cap'!$B$109:$K$138,MATCH($A201,'Salary Cap'!$A$109:$A$138,0),MATCH(""&amp;($B201-1),'Salary Cap'!$B$108:$K$108,0)),"n/a"))</f>
        <v>0</v>
      </c>
      <c r="Q201" s="138">
        <f>IF(OR($B201=2021,$B201=2022),1,0)</f>
        <v>0</v>
      </c>
    </row>
    <row r="202" spans="1:17" x14ac:dyDescent="0.2">
      <c r="A202" s="113" t="str" cm="1">
        <f t="array" ref="A202">INDEX('NBA Valuations'!$A$5:$A$34,INT((ROW()-5)/10)+1)</f>
        <v>New York Knicks</v>
      </c>
      <c r="B202" s="105">
        <f t="shared" si="6"/>
        <v>2024</v>
      </c>
      <c r="C202" s="106">
        <f>IFERROR(INDEX('NBA Valuations'!$B$5:$K$34,MATCH($A202,'NBA Valuations'!$A$5:$A$34,0),MATCH(""&amp;$B202,'NBA Valuations'!$B$3:$K$3,0)),"n/a")</f>
        <v>6600</v>
      </c>
      <c r="D202" s="106">
        <f>IFERROR(INDEX(Revenue!$B$5:$K$34,MATCH($A202,Revenue!$A$5:$A$34,0),MATCH(""&amp;$B202,Revenue!$B$3:$K$3,0)),"n/a")</f>
        <v>504</v>
      </c>
      <c r="E202" s="106">
        <f>IFERROR(INDEX('Operating Income'!$B$5:$K$34,MATCH($A202,'Operating Income'!$A$5:$A$34,0),MATCH(""&amp;$B202,'Operating Income'!$B$3:$K$3,0)),"n/a")</f>
        <v>169</v>
      </c>
      <c r="F202" s="107">
        <f>IFERROR(INDEX('Market Size'!$L$5:$L$34,MATCH($A202,'Market Size'!$A$5:$A$34,0)),"n/a")</f>
        <v>19999993</v>
      </c>
      <c r="G202" s="108" t="str">
        <f>IFERROR(INDEX('Market Size'!$B$38:$K$67,MATCH($A202,'Market Size'!$A$38:$A$67,0),MATCH(""&amp;($B202-1),'Market Size'!$B$36:$K$36,0)),"n/a")</f>
        <v>n/a</v>
      </c>
      <c r="H202" s="108">
        <f>IFERROR(INDEX(Arena!$B$38:$K$67,MATCH($A202,Arena!$A$38:$A$67,0),MATCH(""&amp;$B202,Arena!$B$36:$K$36,0)),"n/a")</f>
        <v>1968</v>
      </c>
      <c r="I202" s="136" t="str">
        <f>IFERROR(INDEX(Arena!$B$71:$K$100,MATCH($A202,Arena!$A$71:$A$100,0),MATCH(""&amp;$B202,Arena!$B$69:$K$69,0)),"n/a")</f>
        <v>Y</v>
      </c>
      <c r="J202" s="137">
        <f>IF(ISNUMBER($H202),($B202-1)-$H202,"n/a")</f>
        <v>55</v>
      </c>
      <c r="K202" s="108">
        <f>IF($B202=2017,IFERROR(INDEX('Team Performance'!$B$241:$B$270,MATCH($A202,'Team Performance'!$A$241:$A$270,0)),"n/a"),IFERROR(INDEX('Team Performance'!$B$6:$K$35,MATCH($A202,'Team Performance'!$A$6:$A$35,0),MATCH(($B202-2)&amp;"-"&amp;RIGHT($B202-1,2),'Team Performance'!$B$5:$K$5,0)),"n/a"))</f>
        <v>47</v>
      </c>
      <c r="L202" s="108">
        <f>IF($B202=2017,IFERROR(INDEX('Team Performance'!$C$241:$C$270,MATCH($A202,'Team Performance'!$A$241:$A$270,0)),"n/a"),IFERROR(INDEX('Team Performance'!$B$39:$K$68,MATCH($A202,'Team Performance'!$A$39:$A$68,0),MATCH(($B202-2)&amp;"-"&amp;RIGHT($B202-1,2),'Team Performance'!$B$38:$K$38,0)),"n/a"))</f>
        <v>35</v>
      </c>
      <c r="M202" s="109">
        <f t="shared" si="7"/>
        <v>0.57317073170731703</v>
      </c>
      <c r="N202" s="108">
        <f>IF($B202=2017,IFERROR(INDEX('Team Performance'!$E$241:$E$270,MATCH($A202,'Team Performance'!$A$241:$A$270,0)),"n/a"),IFERROR(INDEX('Team Performance'!$B$140:$K$169,MATCH($A202,'Team Performance'!$A$140:$A$169,0),MATCH(($B202-2)&amp;"-"&amp;RIGHT($B202-1,2),'Team Performance'!$B$139:$K$139,0)),"n/a"))</f>
        <v>2</v>
      </c>
      <c r="O202" s="110">
        <f>IF($B202=2017,IFERROR(INDEX('Salary Cap'!$B$143:$B$172,MATCH($A202,'Salary Cap'!$A$143:$A$172,0)),"n/a"),IFERROR(INDEX('Salary Cap'!$B$10:$K$39,MATCH($A202,'Salary Cap'!$A$10:$A$39,0),MATCH(""&amp;($B202-1),'Salary Cap'!$B$9:$K$9,0)),"n/a"))</f>
        <v>150265447</v>
      </c>
      <c r="P202" s="115">
        <f>IF($B202=2017,IFERROR(INDEX('Salary Cap'!$C$143:$C$172,MATCH($A202,'Salary Cap'!$A$143:$A$172,0)),"n/a"),IFERROR(INDEX('Salary Cap'!$B$109:$K$138,MATCH($A202,'Salary Cap'!$A$109:$A$138,0),MATCH(""&amp;($B202-1),'Salary Cap'!$B$108:$K$108,0)),"n/a"))</f>
        <v>0</v>
      </c>
      <c r="Q202" s="138">
        <f>IF(OR($B202=2021,$B202=2022),1,0)</f>
        <v>0</v>
      </c>
    </row>
    <row r="203" spans="1:17" x14ac:dyDescent="0.2">
      <c r="A203" s="113" t="str" cm="1">
        <f t="array" ref="A203">INDEX('NBA Valuations'!$A$5:$A$34,INT((ROW()-5)/10)+1)</f>
        <v>New York Knicks</v>
      </c>
      <c r="B203" s="105">
        <f t="shared" si="6"/>
        <v>2025</v>
      </c>
      <c r="C203" s="106">
        <f>IFERROR(INDEX('NBA Valuations'!$B$5:$K$34,MATCH($A203,'NBA Valuations'!$A$5:$A$34,0),MATCH(""&amp;$B203,'NBA Valuations'!$B$3:$K$3,0)),"n/a")</f>
        <v>7500</v>
      </c>
      <c r="D203" s="106">
        <f>IFERROR(INDEX(Revenue!$B$5:$K$34,MATCH($A203,Revenue!$A$5:$A$34,0),MATCH(""&amp;$B203,Revenue!$B$3:$K$3,0)),"n/a")</f>
        <v>543</v>
      </c>
      <c r="E203" s="106">
        <f>IFERROR(INDEX('Operating Income'!$B$5:$K$34,MATCH($A203,'Operating Income'!$A$5:$A$34,0),MATCH(""&amp;$B203,'Operating Income'!$B$3:$K$3,0)),"n/a")</f>
        <v>182</v>
      </c>
      <c r="F203" s="107">
        <f>IFERROR(INDEX('Market Size'!$L$5:$L$34,MATCH($A203,'Market Size'!$A$5:$A$34,0)),"n/a")</f>
        <v>19999993</v>
      </c>
      <c r="G203" s="108">
        <f>IFERROR(INDEX('Market Size'!$B$38:$K$67,MATCH($A203,'Market Size'!$A$38:$A$67,0),MATCH(""&amp;($B203-1),'Market Size'!$B$36:$K$36,0)),"n/a")</f>
        <v>1</v>
      </c>
      <c r="H203" s="108">
        <f>IFERROR(INDEX(Arena!$B$38:$K$67,MATCH($A203,Arena!$A$38:$A$67,0),MATCH(""&amp;$B203,Arena!$B$36:$K$36,0)),"n/a")</f>
        <v>1968</v>
      </c>
      <c r="I203" s="136" t="str">
        <f>IFERROR(INDEX(Arena!$B$71:$K$100,MATCH($A203,Arena!$A$71:$A$100,0),MATCH(""&amp;$B203,Arena!$B$69:$K$69,0)),"n/a")</f>
        <v>Y</v>
      </c>
      <c r="J203" s="137">
        <f>IF(ISNUMBER($H203),($B203-1)-$H203,"n/a")</f>
        <v>56</v>
      </c>
      <c r="K203" s="108">
        <f>IF($B203=2017,IFERROR(INDEX('Team Performance'!$B$241:$B$270,MATCH($A203,'Team Performance'!$A$241:$A$270,0)),"n/a"),IFERROR(INDEX('Team Performance'!$B$6:$K$35,MATCH($A203,'Team Performance'!$A$6:$A$35,0),MATCH(($B203-2)&amp;"-"&amp;RIGHT($B203-1,2),'Team Performance'!$B$5:$K$5,0)),"n/a"))</f>
        <v>50</v>
      </c>
      <c r="L203" s="108">
        <f>IF($B203=2017,IFERROR(INDEX('Team Performance'!$C$241:$C$270,MATCH($A203,'Team Performance'!$A$241:$A$270,0)),"n/a"),IFERROR(INDEX('Team Performance'!$B$39:$K$68,MATCH($A203,'Team Performance'!$A$39:$A$68,0),MATCH(($B203-2)&amp;"-"&amp;RIGHT($B203-1,2),'Team Performance'!$B$38:$K$38,0)),"n/a"))</f>
        <v>32</v>
      </c>
      <c r="M203" s="109">
        <f t="shared" si="7"/>
        <v>0.6097560975609756</v>
      </c>
      <c r="N203" s="108">
        <f>IF($B203=2017,IFERROR(INDEX('Team Performance'!$E$241:$E$270,MATCH($A203,'Team Performance'!$A$241:$A$270,0)),"n/a"),IFERROR(INDEX('Team Performance'!$B$140:$K$169,MATCH($A203,'Team Performance'!$A$140:$A$169,0),MATCH(($B203-2)&amp;"-"&amp;RIGHT($B203-1,2),'Team Performance'!$B$139:$K$139,0)),"n/a"))</f>
        <v>2</v>
      </c>
      <c r="O203" s="110">
        <f>IF($B203=2017,IFERROR(INDEX('Salary Cap'!$B$143:$B$172,MATCH($A203,'Salary Cap'!$A$143:$A$172,0)),"n/a"),IFERROR(INDEX('Salary Cap'!$B$10:$K$39,MATCH($A203,'Salary Cap'!$A$10:$A$39,0),MATCH(""&amp;($B203-1),'Salary Cap'!$B$9:$K$9,0)),"n/a"))</f>
        <v>163008066</v>
      </c>
      <c r="P203" s="115">
        <f>IF($B203=2017,IFERROR(INDEX('Salary Cap'!$C$143:$C$172,MATCH($A203,'Salary Cap'!$A$143:$A$172,0)),"n/a"),IFERROR(INDEX('Salary Cap'!$B$109:$K$138,MATCH($A203,'Salary Cap'!$A$109:$A$138,0),MATCH(""&amp;($B203-1),'Salary Cap'!$B$108:$K$108,0)),"n/a"))</f>
        <v>0</v>
      </c>
      <c r="Q203" s="138">
        <f>IF(OR($B203=2021,$B203=2022),1,0)</f>
        <v>0</v>
      </c>
    </row>
    <row r="204" spans="1:17" x14ac:dyDescent="0.2">
      <c r="A204" s="113" t="str" cm="1">
        <f t="array" ref="A204">INDEX('NBA Valuations'!$A$5:$A$34,INT((ROW()-5)/10)+1)</f>
        <v>New York Knicks</v>
      </c>
      <c r="B204" s="105">
        <f t="shared" si="6"/>
        <v>2026</v>
      </c>
      <c r="C204" s="106">
        <f>IFERROR(INDEX('NBA Valuations'!$B$5:$K$34,MATCH($A204,'NBA Valuations'!$A$5:$A$34,0),MATCH(""&amp;$B204,'NBA Valuations'!$B$3:$K$3,0)),"n/a")</f>
        <v>9750</v>
      </c>
      <c r="D204" s="106">
        <f>IFERROR(INDEX(Revenue!$B$5:$K$34,MATCH($A204,Revenue!$A$5:$A$34,0),MATCH(""&amp;$B204,Revenue!$B$3:$K$3,0)),"n/a")</f>
        <v>532</v>
      </c>
      <c r="E204" s="106">
        <f>IFERROR(INDEX('Operating Income'!$B$5:$K$34,MATCH($A204,'Operating Income'!$A$5:$A$34,0),MATCH(""&amp;$B204,'Operating Income'!$B$3:$K$3,0)),"n/a")</f>
        <v>98</v>
      </c>
      <c r="F204" s="107">
        <f>IFERROR(INDEX('Market Size'!$L$5:$L$34,MATCH($A204,'Market Size'!$A$5:$A$34,0)),"n/a")</f>
        <v>19999993</v>
      </c>
      <c r="G204" s="108">
        <f>IFERROR(INDEX('Market Size'!$B$38:$K$67,MATCH($A204,'Market Size'!$A$38:$A$67,0),MATCH(""&amp;($B204-1),'Market Size'!$B$36:$K$36,0)),"n/a")</f>
        <v>1</v>
      </c>
      <c r="H204" s="108">
        <f>IFERROR(INDEX(Arena!$B$38:$K$67,MATCH($A204,Arena!$A$38:$A$67,0),MATCH(""&amp;$B204,Arena!$B$36:$K$36,0)),"n/a")</f>
        <v>1968</v>
      </c>
      <c r="I204" s="136" t="str">
        <f>IFERROR(INDEX(Arena!$B$71:$K$100,MATCH($A204,Arena!$A$71:$A$100,0),MATCH(""&amp;$B204,Arena!$B$69:$K$69,0)),"n/a")</f>
        <v>Y</v>
      </c>
      <c r="J204" s="137">
        <f>IF(ISNUMBER($H204),($B204-1)-$H204,"n/a")</f>
        <v>57</v>
      </c>
      <c r="K204" s="108">
        <f>IF($B204=2017,IFERROR(INDEX('Team Performance'!$B$241:$B$270,MATCH($A204,'Team Performance'!$A$241:$A$270,0)),"n/a"),IFERROR(INDEX('Team Performance'!$B$6:$K$35,MATCH($A204,'Team Performance'!$A$6:$A$35,0),MATCH(($B204-2)&amp;"-"&amp;RIGHT($B204-1,2),'Team Performance'!$B$5:$K$5,0)),"n/a"))</f>
        <v>51</v>
      </c>
      <c r="L204" s="108">
        <f>IF($B204=2017,IFERROR(INDEX('Team Performance'!$C$241:$C$270,MATCH($A204,'Team Performance'!$A$241:$A$270,0)),"n/a"),IFERROR(INDEX('Team Performance'!$B$39:$K$68,MATCH($A204,'Team Performance'!$A$39:$A$68,0),MATCH(($B204-2)&amp;"-"&amp;RIGHT($B204-1,2),'Team Performance'!$B$38:$K$38,0)),"n/a"))</f>
        <v>31</v>
      </c>
      <c r="M204" s="109">
        <f t="shared" si="7"/>
        <v>0.62195121951219512</v>
      </c>
      <c r="N204" s="108">
        <f>IF($B204=2017,IFERROR(INDEX('Team Performance'!$E$241:$E$270,MATCH($A204,'Team Performance'!$A$241:$A$270,0)),"n/a"),IFERROR(INDEX('Team Performance'!$B$140:$K$169,MATCH($A204,'Team Performance'!$A$140:$A$169,0),MATCH(($B204-2)&amp;"-"&amp;RIGHT($B204-1,2),'Team Performance'!$B$139:$K$139,0)),"n/a"))</f>
        <v>3</v>
      </c>
      <c r="O204" s="110">
        <f>IF($B204=2017,IFERROR(INDEX('Salary Cap'!$B$143:$B$172,MATCH($A204,'Salary Cap'!$A$143:$A$172,0)),"n/a"),IFERROR(INDEX('Salary Cap'!$B$10:$K$39,MATCH($A204,'Salary Cap'!$A$10:$A$39,0),MATCH(""&amp;($B204-1),'Salary Cap'!$B$9:$K$9,0)),"n/a"))</f>
        <v>188877650</v>
      </c>
      <c r="P204" s="115">
        <f>IF($B204=2017,IFERROR(INDEX('Salary Cap'!$C$143:$C$172,MATCH($A204,'Salary Cap'!$A$143:$A$172,0)),"n/a"),IFERROR(INDEX('Salary Cap'!$B$109:$K$138,MATCH($A204,'Salary Cap'!$A$109:$A$138,0),MATCH(""&amp;($B204-1),'Salary Cap'!$B$108:$K$108,0)),"n/a"))</f>
        <v>38034863</v>
      </c>
      <c r="Q204" s="138">
        <f>IF(OR($B204=2021,$B204=2022),1,0)</f>
        <v>0</v>
      </c>
    </row>
    <row r="205" spans="1:17" x14ac:dyDescent="0.2">
      <c r="A205" s="113" t="str" cm="1">
        <f t="array" ref="A205">INDEX('NBA Valuations'!$A$5:$A$34,INT((ROW()-5)/10)+1)</f>
        <v>Oklahoma City Thunder</v>
      </c>
      <c r="B205" s="105">
        <f t="shared" si="6"/>
        <v>2017</v>
      </c>
      <c r="C205" s="106">
        <f>IFERROR(INDEX('NBA Valuations'!$B$5:$K$34,MATCH($A205,'NBA Valuations'!$A$5:$A$34,0),MATCH(""&amp;$B205,'NBA Valuations'!$B$3:$K$3,0)),"n/a")</f>
        <v>1000</v>
      </c>
      <c r="D205" s="106">
        <f>IFERROR(INDEX(Revenue!$B$5:$K$34,MATCH($A205,Revenue!$A$5:$A$34,0),MATCH(""&amp;$B205,Revenue!$B$3:$K$3,0)),"n/a")</f>
        <v>187</v>
      </c>
      <c r="E205" s="106">
        <f>IFERROR(INDEX('Operating Income'!$B$5:$K$34,MATCH($A205,'Operating Income'!$A$5:$A$34,0),MATCH(""&amp;$B205,'Operating Income'!$B$3:$K$3,0)),"n/a")</f>
        <v>-8.4</v>
      </c>
      <c r="F205" s="107">
        <f>IFERROR(INDEX('Market Size'!$L$5:$L$34,MATCH($A205,'Market Size'!$A$5:$A$34,0)),"n/a")</f>
        <v>1430019</v>
      </c>
      <c r="G205" s="108" t="str">
        <f>IFERROR(INDEX('Market Size'!$B$38:$K$67,MATCH($A205,'Market Size'!$A$38:$A$67,0),MATCH(""&amp;($B205-1),'Market Size'!$B$36:$K$36,0)),"n/a")</f>
        <v>n/a</v>
      </c>
      <c r="H205" s="108">
        <f>IFERROR(INDEX(Arena!$B$38:$K$67,MATCH($A205,Arena!$A$38:$A$67,0),MATCH(""&amp;$B205,Arena!$B$36:$K$36,0)),"n/a")</f>
        <v>2002</v>
      </c>
      <c r="I205" s="136" t="str">
        <f>IFERROR(INDEX(Arena!$B$71:$K$100,MATCH($A205,Arena!$A$71:$A$100,0),MATCH(""&amp;$B205,Arena!$B$69:$K$69,0)),"n/a")</f>
        <v>N</v>
      </c>
      <c r="J205" s="137">
        <f>IF(ISNUMBER($H205),($B205-1)-$H205,"n/a")</f>
        <v>14</v>
      </c>
      <c r="K205" s="108">
        <f>IF($B205=2017,IFERROR(INDEX('Team Performance'!$B$241:$B$270,MATCH($A205,'Team Performance'!$A$241:$A$270,0)),"n/a"),IFERROR(INDEX('Team Performance'!$B$6:$K$35,MATCH($A205,'Team Performance'!$A$6:$A$35,0),MATCH(($B205-2)&amp;"-"&amp;RIGHT($B205-1,2),'Team Performance'!$B$5:$K$5,0)),"n/a"))</f>
        <v>55</v>
      </c>
      <c r="L205" s="108">
        <f>IF($B205=2017,IFERROR(INDEX('Team Performance'!$C$241:$C$270,MATCH($A205,'Team Performance'!$A$241:$A$270,0)),"n/a"),IFERROR(INDEX('Team Performance'!$B$39:$K$68,MATCH($A205,'Team Performance'!$A$39:$A$68,0),MATCH(($B205-2)&amp;"-"&amp;RIGHT($B205-1,2),'Team Performance'!$B$38:$K$38,0)),"n/a"))</f>
        <v>27</v>
      </c>
      <c r="M205" s="109">
        <f t="shared" si="7"/>
        <v>0.67073170731707321</v>
      </c>
      <c r="N205" s="108">
        <f>IF($B205=2017,IFERROR(INDEX('Team Performance'!$E$241:$E$270,MATCH($A205,'Team Performance'!$A$241:$A$270,0)),"n/a"),IFERROR(INDEX('Team Performance'!$B$140:$K$169,MATCH($A205,'Team Performance'!$A$140:$A$169,0),MATCH(($B205-2)&amp;"-"&amp;RIGHT($B205-1,2),'Team Performance'!$B$139:$K$139,0)),"n/a"))</f>
        <v>3</v>
      </c>
      <c r="O205" s="110">
        <f>IF($B205=2017,IFERROR(INDEX('Salary Cap'!$B$143:$B$172,MATCH($A205,'Salary Cap'!$A$143:$A$172,0)),"n/a"),IFERROR(INDEX('Salary Cap'!$B$10:$K$39,MATCH($A205,'Salary Cap'!$A$10:$A$39,0),MATCH(""&amp;($B205-1),'Salary Cap'!$B$9:$K$9,0)),"n/a"))</f>
        <v>93765298</v>
      </c>
      <c r="P205" s="115">
        <f>IF($B205=2017,IFERROR(INDEX('Salary Cap'!$C$143:$C$172,MATCH($A205,'Salary Cap'!$A$143:$A$172,0)),"n/a"),IFERROR(INDEX('Salary Cap'!$B$109:$K$138,MATCH($A205,'Salary Cap'!$A$109:$A$138,0),MATCH(""&amp;($B205-1),'Salary Cap'!$B$108:$K$108,0)),"n/a"))</f>
        <v>14544272</v>
      </c>
      <c r="Q205" s="138">
        <f>IF(OR($B205=2021,$B205=2022),1,0)</f>
        <v>0</v>
      </c>
    </row>
    <row r="206" spans="1:17" x14ac:dyDescent="0.2">
      <c r="A206" s="113" t="str" cm="1">
        <f t="array" ref="A206">INDEX('NBA Valuations'!$A$5:$A$34,INT((ROW()-5)/10)+1)</f>
        <v>Oklahoma City Thunder</v>
      </c>
      <c r="B206" s="105">
        <f t="shared" si="6"/>
        <v>2018</v>
      </c>
      <c r="C206" s="106">
        <f>IFERROR(INDEX('NBA Valuations'!$B$5:$K$34,MATCH($A206,'NBA Valuations'!$A$5:$A$34,0),MATCH(""&amp;$B206,'NBA Valuations'!$B$3:$K$3,0)),"n/a")</f>
        <v>1300</v>
      </c>
      <c r="D206" s="106">
        <f>IFERROR(INDEX(Revenue!$B$5:$K$34,MATCH($A206,Revenue!$A$5:$A$34,0),MATCH(""&amp;$B206,Revenue!$B$3:$K$3,0)),"n/a")</f>
        <v>222</v>
      </c>
      <c r="E206" s="106">
        <f>IFERROR(INDEX('Operating Income'!$B$5:$K$34,MATCH($A206,'Operating Income'!$A$5:$A$34,0),MATCH(""&amp;$B206,'Operating Income'!$B$3:$K$3,0)),"n/a")</f>
        <v>64</v>
      </c>
      <c r="F206" s="107">
        <f>IFERROR(INDEX('Market Size'!$L$5:$L$34,MATCH($A206,'Market Size'!$A$5:$A$34,0)),"n/a")</f>
        <v>1430019</v>
      </c>
      <c r="G206" s="108" t="str">
        <f>IFERROR(INDEX('Market Size'!$B$38:$K$67,MATCH($A206,'Market Size'!$A$38:$A$67,0),MATCH(""&amp;($B206-1),'Market Size'!$B$36:$K$36,0)),"n/a")</f>
        <v>n/a</v>
      </c>
      <c r="H206" s="108">
        <f>IFERROR(INDEX(Arena!$B$38:$K$67,MATCH($A206,Arena!$A$38:$A$67,0),MATCH(""&amp;$B206,Arena!$B$36:$K$36,0)),"n/a")</f>
        <v>2002</v>
      </c>
      <c r="I206" s="136" t="str">
        <f>IFERROR(INDEX(Arena!$B$71:$K$100,MATCH($A206,Arena!$A$71:$A$100,0),MATCH(""&amp;$B206,Arena!$B$69:$K$69,0)),"n/a")</f>
        <v>N</v>
      </c>
      <c r="J206" s="137">
        <f>IF(ISNUMBER($H206),($B206-1)-$H206,"n/a")</f>
        <v>15</v>
      </c>
      <c r="K206" s="108">
        <f>IF($B206=2017,IFERROR(INDEX('Team Performance'!$B$241:$B$270,MATCH($A206,'Team Performance'!$A$241:$A$270,0)),"n/a"),IFERROR(INDEX('Team Performance'!$B$6:$K$35,MATCH($A206,'Team Performance'!$A$6:$A$35,0),MATCH(($B206-2)&amp;"-"&amp;RIGHT($B206-1,2),'Team Performance'!$B$5:$K$5,0)),"n/a"))</f>
        <v>47</v>
      </c>
      <c r="L206" s="108">
        <f>IF($B206=2017,IFERROR(INDEX('Team Performance'!$C$241:$C$270,MATCH($A206,'Team Performance'!$A$241:$A$270,0)),"n/a"),IFERROR(INDEX('Team Performance'!$B$39:$K$68,MATCH($A206,'Team Performance'!$A$39:$A$68,0),MATCH(($B206-2)&amp;"-"&amp;RIGHT($B206-1,2),'Team Performance'!$B$38:$K$38,0)),"n/a"))</f>
        <v>35</v>
      </c>
      <c r="M206" s="109">
        <f t="shared" si="7"/>
        <v>0.57317073170731703</v>
      </c>
      <c r="N206" s="108">
        <f>IF($B206=2017,IFERROR(INDEX('Team Performance'!$E$241:$E$270,MATCH($A206,'Team Performance'!$A$241:$A$270,0)),"n/a"),IFERROR(INDEX('Team Performance'!$B$140:$K$169,MATCH($A206,'Team Performance'!$A$140:$A$169,0),MATCH(($B206-2)&amp;"-"&amp;RIGHT($B206-1,2),'Team Performance'!$B$139:$K$139,0)),"n/a"))</f>
        <v>1</v>
      </c>
      <c r="O206" s="110">
        <f>IF($B206=2017,IFERROR(INDEX('Salary Cap'!$B$143:$B$172,MATCH($A206,'Salary Cap'!$A$143:$A$172,0)),"n/a"),IFERROR(INDEX('Salary Cap'!$B$10:$K$39,MATCH($A206,'Salary Cap'!$A$10:$A$39,0),MATCH(""&amp;($B206-1),'Salary Cap'!$B$9:$K$9,0)),"n/a"))</f>
        <v>91776909</v>
      </c>
      <c r="P206" s="115">
        <f>IF($B206=2017,IFERROR(INDEX('Salary Cap'!$C$143:$C$172,MATCH($A206,'Salary Cap'!$A$143:$A$172,0)),"n/a"),IFERROR(INDEX('Salary Cap'!$B$109:$K$138,MATCH($A206,'Salary Cap'!$A$109:$A$138,0),MATCH(""&amp;($B206-1),'Salary Cap'!$B$108:$K$108,0)),"n/a"))</f>
        <v>0</v>
      </c>
      <c r="Q206" s="138">
        <f>IF(OR($B206=2021,$B206=2022),1,0)</f>
        <v>0</v>
      </c>
    </row>
    <row r="207" spans="1:17" x14ac:dyDescent="0.2">
      <c r="A207" s="113" t="str" cm="1">
        <f t="array" ref="A207">INDEX('NBA Valuations'!$A$5:$A$34,INT((ROW()-5)/10)+1)</f>
        <v>Oklahoma City Thunder</v>
      </c>
      <c r="B207" s="105">
        <f t="shared" si="6"/>
        <v>2019</v>
      </c>
      <c r="C207" s="106">
        <f>IFERROR(INDEX('NBA Valuations'!$B$5:$K$34,MATCH($A207,'NBA Valuations'!$A$5:$A$34,0),MATCH(""&amp;$B207,'NBA Valuations'!$B$3:$K$3,0)),"n/a")</f>
        <v>1500</v>
      </c>
      <c r="D207" s="106">
        <f>IFERROR(INDEX(Revenue!$B$5:$K$34,MATCH($A207,Revenue!$A$5:$A$34,0),MATCH(""&amp;$B207,Revenue!$B$3:$K$3,0)),"n/a")</f>
        <v>241</v>
      </c>
      <c r="E207" s="106">
        <f>IFERROR(INDEX('Operating Income'!$B$5:$K$34,MATCH($A207,'Operating Income'!$A$5:$A$34,0),MATCH(""&amp;$B207,'Operating Income'!$B$3:$K$3,0)),"n/a")</f>
        <v>10</v>
      </c>
      <c r="F207" s="107">
        <f>IFERROR(INDEX('Market Size'!$L$5:$L$34,MATCH($A207,'Market Size'!$A$5:$A$34,0)),"n/a")</f>
        <v>1430019</v>
      </c>
      <c r="G207" s="108" t="str">
        <f>IFERROR(INDEX('Market Size'!$B$38:$K$67,MATCH($A207,'Market Size'!$A$38:$A$67,0),MATCH(""&amp;($B207-1),'Market Size'!$B$36:$K$36,0)),"n/a")</f>
        <v>n/a</v>
      </c>
      <c r="H207" s="108">
        <f>IFERROR(INDEX(Arena!$B$38:$K$67,MATCH($A207,Arena!$A$38:$A$67,0),MATCH(""&amp;$B207,Arena!$B$36:$K$36,0)),"n/a")</f>
        <v>2002</v>
      </c>
      <c r="I207" s="136" t="str">
        <f>IFERROR(INDEX(Arena!$B$71:$K$100,MATCH($A207,Arena!$A$71:$A$100,0),MATCH(""&amp;$B207,Arena!$B$69:$K$69,0)),"n/a")</f>
        <v>N</v>
      </c>
      <c r="J207" s="137">
        <f>IF(ISNUMBER($H207),($B207-1)-$H207,"n/a")</f>
        <v>16</v>
      </c>
      <c r="K207" s="108">
        <f>IF($B207=2017,IFERROR(INDEX('Team Performance'!$B$241:$B$270,MATCH($A207,'Team Performance'!$A$241:$A$270,0)),"n/a"),IFERROR(INDEX('Team Performance'!$B$6:$K$35,MATCH($A207,'Team Performance'!$A$6:$A$35,0),MATCH(($B207-2)&amp;"-"&amp;RIGHT($B207-1,2),'Team Performance'!$B$5:$K$5,0)),"n/a"))</f>
        <v>48</v>
      </c>
      <c r="L207" s="108">
        <f>IF($B207=2017,IFERROR(INDEX('Team Performance'!$C$241:$C$270,MATCH($A207,'Team Performance'!$A$241:$A$270,0)),"n/a"),IFERROR(INDEX('Team Performance'!$B$39:$K$68,MATCH($A207,'Team Performance'!$A$39:$A$68,0),MATCH(($B207-2)&amp;"-"&amp;RIGHT($B207-1,2),'Team Performance'!$B$38:$K$38,0)),"n/a"))</f>
        <v>34</v>
      </c>
      <c r="M207" s="109">
        <f t="shared" si="7"/>
        <v>0.58536585365853655</v>
      </c>
      <c r="N207" s="108">
        <f>IF($B207=2017,IFERROR(INDEX('Team Performance'!$E$241:$E$270,MATCH($A207,'Team Performance'!$A$241:$A$270,0)),"n/a"),IFERROR(INDEX('Team Performance'!$B$140:$K$169,MATCH($A207,'Team Performance'!$A$140:$A$169,0),MATCH(($B207-2)&amp;"-"&amp;RIGHT($B207-1,2),'Team Performance'!$B$139:$K$139,0)),"n/a"))</f>
        <v>1</v>
      </c>
      <c r="O207" s="110">
        <f>IF($B207=2017,IFERROR(INDEX('Salary Cap'!$B$143:$B$172,MATCH($A207,'Salary Cap'!$A$143:$A$172,0)),"n/a"),IFERROR(INDEX('Salary Cap'!$B$10:$K$39,MATCH($A207,'Salary Cap'!$A$10:$A$39,0),MATCH(""&amp;($B207-1),'Salary Cap'!$B$9:$K$9,0)),"n/a"))</f>
        <v>132920346</v>
      </c>
      <c r="P207" s="115">
        <f>IF($B207=2017,IFERROR(INDEX('Salary Cap'!$C$143:$C$172,MATCH($A207,'Salary Cap'!$A$143:$A$172,0)),"n/a"),IFERROR(INDEX('Salary Cap'!$B$109:$K$138,MATCH($A207,'Salary Cap'!$A$109:$A$138,0),MATCH(""&amp;($B207-1),'Salary Cap'!$B$108:$K$108,0)),"n/a"))</f>
        <v>25400000</v>
      </c>
      <c r="Q207" s="138">
        <f>IF(OR($B207=2021,$B207=2022),1,0)</f>
        <v>0</v>
      </c>
    </row>
    <row r="208" spans="1:17" x14ac:dyDescent="0.2">
      <c r="A208" s="113" t="str" cm="1">
        <f t="array" ref="A208">INDEX('NBA Valuations'!$A$5:$A$34,INT((ROW()-5)/10)+1)</f>
        <v>Oklahoma City Thunder</v>
      </c>
      <c r="B208" s="105">
        <f t="shared" si="6"/>
        <v>2020</v>
      </c>
      <c r="C208" s="106">
        <f>IFERROR(INDEX('NBA Valuations'!$B$5:$K$34,MATCH($A208,'NBA Valuations'!$A$5:$A$34,0),MATCH(""&amp;$B208,'NBA Valuations'!$B$3:$K$3,0)),"n/a")</f>
        <v>1600</v>
      </c>
      <c r="D208" s="106">
        <f>IFERROR(INDEX(Revenue!$B$5:$K$34,MATCH($A208,Revenue!$A$5:$A$34,0),MATCH(""&amp;$B208,Revenue!$B$3:$K$3,0)),"n/a")</f>
        <v>258</v>
      </c>
      <c r="E208" s="106">
        <f>IFERROR(INDEX('Operating Income'!$B$5:$K$34,MATCH($A208,'Operating Income'!$A$5:$A$34,0),MATCH(""&amp;$B208,'Operating Income'!$B$3:$K$3,0)),"n/a")</f>
        <v>-23</v>
      </c>
      <c r="F208" s="107">
        <f>IFERROR(INDEX('Market Size'!$L$5:$L$34,MATCH($A208,'Market Size'!$A$5:$A$34,0)),"n/a")</f>
        <v>1430019</v>
      </c>
      <c r="G208" s="108" t="str">
        <f>IFERROR(INDEX('Market Size'!$B$38:$K$67,MATCH($A208,'Market Size'!$A$38:$A$67,0),MATCH(""&amp;($B208-1),'Market Size'!$B$36:$K$36,0)),"n/a")</f>
        <v>n/a</v>
      </c>
      <c r="H208" s="108">
        <f>IFERROR(INDEX(Arena!$B$38:$K$67,MATCH($A208,Arena!$A$38:$A$67,0),MATCH(""&amp;$B208,Arena!$B$36:$K$36,0)),"n/a")</f>
        <v>2002</v>
      </c>
      <c r="I208" s="136" t="str">
        <f>IFERROR(INDEX(Arena!$B$71:$K$100,MATCH($A208,Arena!$A$71:$A$100,0),MATCH(""&amp;$B208,Arena!$B$69:$K$69,0)),"n/a")</f>
        <v>N</v>
      </c>
      <c r="J208" s="137">
        <f>IF(ISNUMBER($H208),($B208-1)-$H208,"n/a")</f>
        <v>17</v>
      </c>
      <c r="K208" s="108">
        <f>IF($B208=2017,IFERROR(INDEX('Team Performance'!$B$241:$B$270,MATCH($A208,'Team Performance'!$A$241:$A$270,0)),"n/a"),IFERROR(INDEX('Team Performance'!$B$6:$K$35,MATCH($A208,'Team Performance'!$A$6:$A$35,0),MATCH(($B208-2)&amp;"-"&amp;RIGHT($B208-1,2),'Team Performance'!$B$5:$K$5,0)),"n/a"))</f>
        <v>49</v>
      </c>
      <c r="L208" s="108">
        <f>IF($B208=2017,IFERROR(INDEX('Team Performance'!$C$241:$C$270,MATCH($A208,'Team Performance'!$A$241:$A$270,0)),"n/a"),IFERROR(INDEX('Team Performance'!$B$39:$K$68,MATCH($A208,'Team Performance'!$A$39:$A$68,0),MATCH(($B208-2)&amp;"-"&amp;RIGHT($B208-1,2),'Team Performance'!$B$38:$K$38,0)),"n/a"))</f>
        <v>33</v>
      </c>
      <c r="M208" s="109">
        <f t="shared" si="7"/>
        <v>0.59756097560975607</v>
      </c>
      <c r="N208" s="108">
        <f>IF($B208=2017,IFERROR(INDEX('Team Performance'!$E$241:$E$270,MATCH($A208,'Team Performance'!$A$241:$A$270,0)),"n/a"),IFERROR(INDEX('Team Performance'!$B$140:$K$169,MATCH($A208,'Team Performance'!$A$140:$A$169,0),MATCH(($B208-2)&amp;"-"&amp;RIGHT($B208-1,2),'Team Performance'!$B$139:$K$139,0)),"n/a"))</f>
        <v>1</v>
      </c>
      <c r="O208" s="110">
        <f>IF($B208=2017,IFERROR(INDEX('Salary Cap'!$B$143:$B$172,MATCH($A208,'Salary Cap'!$A$143:$A$172,0)),"n/a"),IFERROR(INDEX('Salary Cap'!$B$10:$K$39,MATCH($A208,'Salary Cap'!$A$10:$A$39,0),MATCH(""&amp;($B208-1),'Salary Cap'!$B$9:$K$9,0)),"n/a"))</f>
        <v>142857060</v>
      </c>
      <c r="P208" s="115">
        <f>IF($B208=2017,IFERROR(INDEX('Salary Cap'!$C$143:$C$172,MATCH($A208,'Salary Cap'!$A$143:$A$172,0)),"n/a"),IFERROR(INDEX('Salary Cap'!$B$109:$K$138,MATCH($A208,'Salary Cap'!$A$109:$A$138,0),MATCH(""&amp;($B208-1),'Salary Cap'!$B$108:$K$108,0)),"n/a"))</f>
        <v>61617183</v>
      </c>
      <c r="Q208" s="138">
        <f>IF(OR($B208=2021,$B208=2022),1,0)</f>
        <v>0</v>
      </c>
    </row>
    <row r="209" spans="1:17" x14ac:dyDescent="0.2">
      <c r="A209" s="113" t="str" cm="1">
        <f t="array" ref="A209">INDEX('NBA Valuations'!$A$5:$A$34,INT((ROW()-5)/10)+1)</f>
        <v>Oklahoma City Thunder</v>
      </c>
      <c r="B209" s="105">
        <f t="shared" si="6"/>
        <v>2021</v>
      </c>
      <c r="C209" s="106">
        <f>IFERROR(INDEX('NBA Valuations'!$B$5:$K$34,MATCH($A209,'NBA Valuations'!$A$5:$A$34,0),MATCH(""&amp;$B209,'NBA Valuations'!$B$3:$K$3,0)),"n/a")</f>
        <v>1575</v>
      </c>
      <c r="D209" s="106">
        <f>IFERROR(INDEX(Revenue!$B$5:$K$34,MATCH($A209,Revenue!$A$5:$A$34,0),MATCH(""&amp;$B209,Revenue!$B$3:$K$3,0)),"n/a")</f>
        <v>236</v>
      </c>
      <c r="E209" s="106">
        <f>IFERROR(INDEX('Operating Income'!$B$5:$K$34,MATCH($A209,'Operating Income'!$A$5:$A$34,0),MATCH(""&amp;$B209,'Operating Income'!$B$3:$K$3,0)),"n/a")</f>
        <v>51</v>
      </c>
      <c r="F209" s="107">
        <f>IFERROR(INDEX('Market Size'!$L$5:$L$34,MATCH($A209,'Market Size'!$A$5:$A$34,0)),"n/a")</f>
        <v>1430019</v>
      </c>
      <c r="G209" s="108" t="str">
        <f>IFERROR(INDEX('Market Size'!$B$38:$K$67,MATCH($A209,'Market Size'!$A$38:$A$67,0),MATCH(""&amp;($B209-1),'Market Size'!$B$36:$K$36,0)),"n/a")</f>
        <v>n/a</v>
      </c>
      <c r="H209" s="108">
        <f>IFERROR(INDEX(Arena!$B$38:$K$67,MATCH($A209,Arena!$A$38:$A$67,0),MATCH(""&amp;$B209,Arena!$B$36:$K$36,0)),"n/a")</f>
        <v>2002</v>
      </c>
      <c r="I209" s="136" t="str">
        <f>IFERROR(INDEX(Arena!$B$71:$K$100,MATCH($A209,Arena!$A$71:$A$100,0),MATCH(""&amp;$B209,Arena!$B$69:$K$69,0)),"n/a")</f>
        <v>N</v>
      </c>
      <c r="J209" s="137">
        <f>IF(ISNUMBER($H209),($B209-1)-$H209,"n/a")</f>
        <v>18</v>
      </c>
      <c r="K209" s="108">
        <f>IF($B209=2017,IFERROR(INDEX('Team Performance'!$B$241:$B$270,MATCH($A209,'Team Performance'!$A$241:$A$270,0)),"n/a"),IFERROR(INDEX('Team Performance'!$B$6:$K$35,MATCH($A209,'Team Performance'!$A$6:$A$35,0),MATCH(($B209-2)&amp;"-"&amp;RIGHT($B209-1,2),'Team Performance'!$B$5:$K$5,0)),"n/a"))</f>
        <v>44</v>
      </c>
      <c r="L209" s="108">
        <f>IF($B209=2017,IFERROR(INDEX('Team Performance'!$C$241:$C$270,MATCH($A209,'Team Performance'!$A$241:$A$270,0)),"n/a"),IFERROR(INDEX('Team Performance'!$B$39:$K$68,MATCH($A209,'Team Performance'!$A$39:$A$68,0),MATCH(($B209-2)&amp;"-"&amp;RIGHT($B209-1,2),'Team Performance'!$B$38:$K$38,0)),"n/a"))</f>
        <v>28</v>
      </c>
      <c r="M209" s="109">
        <f t="shared" si="7"/>
        <v>0.61111111111111116</v>
      </c>
      <c r="N209" s="108">
        <f>IF($B209=2017,IFERROR(INDEX('Team Performance'!$E$241:$E$270,MATCH($A209,'Team Performance'!$A$241:$A$270,0)),"n/a"),IFERROR(INDEX('Team Performance'!$B$140:$K$169,MATCH($A209,'Team Performance'!$A$140:$A$169,0),MATCH(($B209-2)&amp;"-"&amp;RIGHT($B209-1,2),'Team Performance'!$B$139:$K$139,0)),"n/a"))</f>
        <v>1</v>
      </c>
      <c r="O209" s="110">
        <f>IF($B209=2017,IFERROR(INDEX('Salary Cap'!$B$143:$B$172,MATCH($A209,'Salary Cap'!$A$143:$A$172,0)),"n/a"),IFERROR(INDEX('Salary Cap'!$B$10:$K$39,MATCH($A209,'Salary Cap'!$A$10:$A$39,0),MATCH(""&amp;($B209-1),'Salary Cap'!$B$9:$K$9,0)),"n/a"))</f>
        <v>133583713</v>
      </c>
      <c r="P209" s="115">
        <f>IF($B209=2017,IFERROR(INDEX('Salary Cap'!$C$143:$C$172,MATCH($A209,'Salary Cap'!$A$143:$A$172,0)),"n/a"),IFERROR(INDEX('Salary Cap'!$B$109:$K$138,MATCH($A209,'Salary Cap'!$A$109:$A$138,0),MATCH(""&amp;($B209-1),'Salary Cap'!$B$108:$K$108,0)),"n/a"))</f>
        <v>2102278</v>
      </c>
      <c r="Q209" s="138">
        <f>IF(OR($B209=2021,$B209=2022),1,0)</f>
        <v>1</v>
      </c>
    </row>
    <row r="210" spans="1:17" x14ac:dyDescent="0.2">
      <c r="A210" s="113" t="str" cm="1">
        <f t="array" ref="A210">INDEX('NBA Valuations'!$A$5:$A$34,INT((ROW()-5)/10)+1)</f>
        <v>Oklahoma City Thunder</v>
      </c>
      <c r="B210" s="105">
        <f t="shared" si="6"/>
        <v>2022</v>
      </c>
      <c r="C210" s="106">
        <f>IFERROR(INDEX('NBA Valuations'!$B$5:$K$34,MATCH($A210,'NBA Valuations'!$A$5:$A$34,0),MATCH(""&amp;$B210,'NBA Valuations'!$B$3:$K$3,0)),"n/a")</f>
        <v>1630</v>
      </c>
      <c r="D210" s="106">
        <f>IFERROR(INDEX(Revenue!$B$5:$K$34,MATCH($A210,Revenue!$A$5:$A$34,0),MATCH(""&amp;$B210,Revenue!$B$3:$K$3,0)),"n/a")</f>
        <v>183</v>
      </c>
      <c r="E210" s="106">
        <f>IFERROR(INDEX('Operating Income'!$B$5:$K$34,MATCH($A210,'Operating Income'!$A$5:$A$34,0),MATCH(""&amp;$B210,'Operating Income'!$B$3:$K$3,0)),"n/a")</f>
        <v>48</v>
      </c>
      <c r="F210" s="107">
        <f>IFERROR(INDEX('Market Size'!$L$5:$L$34,MATCH($A210,'Market Size'!$A$5:$A$34,0)),"n/a")</f>
        <v>1430019</v>
      </c>
      <c r="G210" s="108" t="str">
        <f>IFERROR(INDEX('Market Size'!$B$38:$K$67,MATCH($A210,'Market Size'!$A$38:$A$67,0),MATCH(""&amp;($B210-1),'Market Size'!$B$36:$K$36,0)),"n/a")</f>
        <v>n/a</v>
      </c>
      <c r="H210" s="108">
        <f>IFERROR(INDEX(Arena!$B$38:$K$67,MATCH($A210,Arena!$A$38:$A$67,0),MATCH(""&amp;$B210,Arena!$B$36:$K$36,0)),"n/a")</f>
        <v>2002</v>
      </c>
      <c r="I210" s="136" t="str">
        <f>IFERROR(INDEX(Arena!$B$71:$K$100,MATCH($A210,Arena!$A$71:$A$100,0),MATCH(""&amp;$B210,Arena!$B$69:$K$69,0)),"n/a")</f>
        <v>N</v>
      </c>
      <c r="J210" s="137">
        <f>IF(ISNUMBER($H210),($B210-1)-$H210,"n/a")</f>
        <v>19</v>
      </c>
      <c r="K210" s="108">
        <f>IF($B210=2017,IFERROR(INDEX('Team Performance'!$B$241:$B$270,MATCH($A210,'Team Performance'!$A$241:$A$270,0)),"n/a"),IFERROR(INDEX('Team Performance'!$B$6:$K$35,MATCH($A210,'Team Performance'!$A$6:$A$35,0),MATCH(($B210-2)&amp;"-"&amp;RIGHT($B210-1,2),'Team Performance'!$B$5:$K$5,0)),"n/a"))</f>
        <v>22</v>
      </c>
      <c r="L210" s="108">
        <f>IF($B210=2017,IFERROR(INDEX('Team Performance'!$C$241:$C$270,MATCH($A210,'Team Performance'!$A$241:$A$270,0)),"n/a"),IFERROR(INDEX('Team Performance'!$B$39:$K$68,MATCH($A210,'Team Performance'!$A$39:$A$68,0),MATCH(($B210-2)&amp;"-"&amp;RIGHT($B210-1,2),'Team Performance'!$B$38:$K$38,0)),"n/a"))</f>
        <v>50</v>
      </c>
      <c r="M210" s="109">
        <f t="shared" si="7"/>
        <v>0.30555555555555558</v>
      </c>
      <c r="N210" s="108">
        <f>IF($B210=2017,IFERROR(INDEX('Team Performance'!$E$241:$E$270,MATCH($A210,'Team Performance'!$A$241:$A$270,0)),"n/a"),IFERROR(INDEX('Team Performance'!$B$140:$K$169,MATCH($A210,'Team Performance'!$A$140:$A$169,0),MATCH(($B210-2)&amp;"-"&amp;RIGHT($B210-1,2),'Team Performance'!$B$139:$K$139,0)),"n/a"))</f>
        <v>0</v>
      </c>
      <c r="O210" s="110">
        <f>IF($B210=2017,IFERROR(INDEX('Salary Cap'!$B$143:$B$172,MATCH($A210,'Salary Cap'!$A$143:$A$172,0)),"n/a"),IFERROR(INDEX('Salary Cap'!$B$10:$K$39,MATCH($A210,'Salary Cap'!$A$10:$A$39,0),MATCH(""&amp;($B210-1),'Salary Cap'!$B$9:$K$9,0)),"n/a"))</f>
        <v>95614047</v>
      </c>
      <c r="P210" s="115">
        <f>IF($B210=2017,IFERROR(INDEX('Salary Cap'!$C$143:$C$172,MATCH($A210,'Salary Cap'!$A$143:$A$172,0)),"n/a"),IFERROR(INDEX('Salary Cap'!$B$109:$K$138,MATCH($A210,'Salary Cap'!$A$109:$A$138,0),MATCH(""&amp;($B210-1),'Salary Cap'!$B$108:$K$108,0)),"n/a"))</f>
        <v>0</v>
      </c>
      <c r="Q210" s="138">
        <f>IF(OR($B210=2021,$B210=2022),1,0)</f>
        <v>1</v>
      </c>
    </row>
    <row r="211" spans="1:17" x14ac:dyDescent="0.2">
      <c r="A211" s="113" t="str" cm="1">
        <f t="array" ref="A211">INDEX('NBA Valuations'!$A$5:$A$34,INT((ROW()-5)/10)+1)</f>
        <v>Oklahoma City Thunder</v>
      </c>
      <c r="B211" s="105">
        <f t="shared" si="6"/>
        <v>2023</v>
      </c>
      <c r="C211" s="106">
        <f>IFERROR(INDEX('NBA Valuations'!$B$5:$K$34,MATCH($A211,'NBA Valuations'!$A$5:$A$34,0),MATCH(""&amp;$B211,'NBA Valuations'!$B$3:$K$3,0)),"n/a")</f>
        <v>1875</v>
      </c>
      <c r="D211" s="106">
        <f>IFERROR(INDEX(Revenue!$B$5:$K$34,MATCH($A211,Revenue!$A$5:$A$34,0),MATCH(""&amp;$B211,Revenue!$B$3:$K$3,0)),"n/a")</f>
        <v>274</v>
      </c>
      <c r="E211" s="106">
        <f>IFERROR(INDEX('Operating Income'!$B$5:$K$34,MATCH($A211,'Operating Income'!$A$5:$A$34,0),MATCH(""&amp;$B211,'Operating Income'!$B$3:$K$3,0)),"n/a")</f>
        <v>129</v>
      </c>
      <c r="F211" s="107">
        <f>IFERROR(INDEX('Market Size'!$L$5:$L$34,MATCH($A211,'Market Size'!$A$5:$A$34,0)),"n/a")</f>
        <v>1430019</v>
      </c>
      <c r="G211" s="108" t="str">
        <f>IFERROR(INDEX('Market Size'!$B$38:$K$67,MATCH($A211,'Market Size'!$A$38:$A$67,0),MATCH(""&amp;($B211-1),'Market Size'!$B$36:$K$36,0)),"n/a")</f>
        <v>n/a</v>
      </c>
      <c r="H211" s="108">
        <f>IFERROR(INDEX(Arena!$B$38:$K$67,MATCH($A211,Arena!$A$38:$A$67,0),MATCH(""&amp;$B211,Arena!$B$36:$K$36,0)),"n/a")</f>
        <v>2002</v>
      </c>
      <c r="I211" s="136" t="str">
        <f>IFERROR(INDEX(Arena!$B$71:$K$100,MATCH($A211,Arena!$A$71:$A$100,0),MATCH(""&amp;$B211,Arena!$B$69:$K$69,0)),"n/a")</f>
        <v>N</v>
      </c>
      <c r="J211" s="137">
        <f>IF(ISNUMBER($H211),($B211-1)-$H211,"n/a")</f>
        <v>20</v>
      </c>
      <c r="K211" s="108">
        <f>IF($B211=2017,IFERROR(INDEX('Team Performance'!$B$241:$B$270,MATCH($A211,'Team Performance'!$A$241:$A$270,0)),"n/a"),IFERROR(INDEX('Team Performance'!$B$6:$K$35,MATCH($A211,'Team Performance'!$A$6:$A$35,0),MATCH(($B211-2)&amp;"-"&amp;RIGHT($B211-1,2),'Team Performance'!$B$5:$K$5,0)),"n/a"))</f>
        <v>24</v>
      </c>
      <c r="L211" s="108">
        <f>IF($B211=2017,IFERROR(INDEX('Team Performance'!$C$241:$C$270,MATCH($A211,'Team Performance'!$A$241:$A$270,0)),"n/a"),IFERROR(INDEX('Team Performance'!$B$39:$K$68,MATCH($A211,'Team Performance'!$A$39:$A$68,0),MATCH(($B211-2)&amp;"-"&amp;RIGHT($B211-1,2),'Team Performance'!$B$38:$K$38,0)),"n/a"))</f>
        <v>58</v>
      </c>
      <c r="M211" s="109">
        <f t="shared" si="7"/>
        <v>0.29268292682926828</v>
      </c>
      <c r="N211" s="108">
        <f>IF($B211=2017,IFERROR(INDEX('Team Performance'!$E$241:$E$270,MATCH($A211,'Team Performance'!$A$241:$A$270,0)),"n/a"),IFERROR(INDEX('Team Performance'!$B$140:$K$169,MATCH($A211,'Team Performance'!$A$140:$A$169,0),MATCH(($B211-2)&amp;"-"&amp;RIGHT($B211-1,2),'Team Performance'!$B$139:$K$139,0)),"n/a"))</f>
        <v>0</v>
      </c>
      <c r="O211" s="110">
        <f>IF($B211=2017,IFERROR(INDEX('Salary Cap'!$B$143:$B$172,MATCH($A211,'Salary Cap'!$A$143:$A$172,0)),"n/a"),IFERROR(INDEX('Salary Cap'!$B$10:$K$39,MATCH($A211,'Salary Cap'!$A$10:$A$39,0),MATCH(""&amp;($B211-1),'Salary Cap'!$B$9:$K$9,0)),"n/a"))</f>
        <v>80938951</v>
      </c>
      <c r="P211" s="115">
        <f>IF($B211=2017,IFERROR(INDEX('Salary Cap'!$C$143:$C$172,MATCH($A211,'Salary Cap'!$A$143:$A$172,0)),"n/a"),IFERROR(INDEX('Salary Cap'!$B$109:$K$138,MATCH($A211,'Salary Cap'!$A$109:$A$138,0),MATCH(""&amp;($B211-1),'Salary Cap'!$B$108:$K$108,0)),"n/a"))</f>
        <v>0</v>
      </c>
      <c r="Q211" s="138">
        <f>IF(OR($B211=2021,$B211=2022),1,0)</f>
        <v>0</v>
      </c>
    </row>
    <row r="212" spans="1:17" x14ac:dyDescent="0.2">
      <c r="A212" s="113" t="str" cm="1">
        <f t="array" ref="A212">INDEX('NBA Valuations'!$A$5:$A$34,INT((ROW()-5)/10)+1)</f>
        <v>Oklahoma City Thunder</v>
      </c>
      <c r="B212" s="105">
        <f t="shared" si="6"/>
        <v>2024</v>
      </c>
      <c r="C212" s="106">
        <f>IFERROR(INDEX('NBA Valuations'!$B$5:$K$34,MATCH($A212,'NBA Valuations'!$A$5:$A$34,0),MATCH(""&amp;$B212,'NBA Valuations'!$B$3:$K$3,0)),"n/a")</f>
        <v>3050</v>
      </c>
      <c r="D212" s="106">
        <f>IFERROR(INDEX(Revenue!$B$5:$K$34,MATCH($A212,Revenue!$A$5:$A$34,0),MATCH(""&amp;$B212,Revenue!$B$3:$K$3,0)),"n/a")</f>
        <v>267</v>
      </c>
      <c r="E212" s="106">
        <f>IFERROR(INDEX('Operating Income'!$B$5:$K$34,MATCH($A212,'Operating Income'!$A$5:$A$34,0),MATCH(""&amp;$B212,'Operating Income'!$B$3:$K$3,0)),"n/a")</f>
        <v>49</v>
      </c>
      <c r="F212" s="107">
        <f>IFERROR(INDEX('Market Size'!$L$5:$L$34,MATCH($A212,'Market Size'!$A$5:$A$34,0)),"n/a")</f>
        <v>1430019</v>
      </c>
      <c r="G212" s="108" t="str">
        <f>IFERROR(INDEX('Market Size'!$B$38:$K$67,MATCH($A212,'Market Size'!$A$38:$A$67,0),MATCH(""&amp;($B212-1),'Market Size'!$B$36:$K$36,0)),"n/a")</f>
        <v>n/a</v>
      </c>
      <c r="H212" s="108">
        <f>IFERROR(INDEX(Arena!$B$38:$K$67,MATCH($A212,Arena!$A$38:$A$67,0),MATCH(""&amp;$B212,Arena!$B$36:$K$36,0)),"n/a")</f>
        <v>2002</v>
      </c>
      <c r="I212" s="136" t="str">
        <f>IFERROR(INDEX(Arena!$B$71:$K$100,MATCH($A212,Arena!$A$71:$A$100,0),MATCH(""&amp;$B212,Arena!$B$69:$K$69,0)),"n/a")</f>
        <v>N</v>
      </c>
      <c r="J212" s="137">
        <f>IF(ISNUMBER($H212),($B212-1)-$H212,"n/a")</f>
        <v>21</v>
      </c>
      <c r="K212" s="108">
        <f>IF($B212=2017,IFERROR(INDEX('Team Performance'!$B$241:$B$270,MATCH($A212,'Team Performance'!$A$241:$A$270,0)),"n/a"),IFERROR(INDEX('Team Performance'!$B$6:$K$35,MATCH($A212,'Team Performance'!$A$6:$A$35,0),MATCH(($B212-2)&amp;"-"&amp;RIGHT($B212-1,2),'Team Performance'!$B$5:$K$5,0)),"n/a"))</f>
        <v>40</v>
      </c>
      <c r="L212" s="108">
        <f>IF($B212=2017,IFERROR(INDEX('Team Performance'!$C$241:$C$270,MATCH($A212,'Team Performance'!$A$241:$A$270,0)),"n/a"),IFERROR(INDEX('Team Performance'!$B$39:$K$68,MATCH($A212,'Team Performance'!$A$39:$A$68,0),MATCH(($B212-2)&amp;"-"&amp;RIGHT($B212-1,2),'Team Performance'!$B$38:$K$38,0)),"n/a"))</f>
        <v>42</v>
      </c>
      <c r="M212" s="109">
        <f t="shared" si="7"/>
        <v>0.48780487804878048</v>
      </c>
      <c r="N212" s="108">
        <f>IF($B212=2017,IFERROR(INDEX('Team Performance'!$E$241:$E$270,MATCH($A212,'Team Performance'!$A$241:$A$270,0)),"n/a"),IFERROR(INDEX('Team Performance'!$B$140:$K$169,MATCH($A212,'Team Performance'!$A$140:$A$169,0),MATCH(($B212-2)&amp;"-"&amp;RIGHT($B212-1,2),'Team Performance'!$B$139:$K$139,0)),"n/a"))</f>
        <v>0</v>
      </c>
      <c r="O212" s="110">
        <f>IF($B212=2017,IFERROR(INDEX('Salary Cap'!$B$143:$B$172,MATCH($A212,'Salary Cap'!$A$143:$A$172,0)),"n/a"),IFERROR(INDEX('Salary Cap'!$B$10:$K$39,MATCH($A212,'Salary Cap'!$A$10:$A$39,0),MATCH(""&amp;($B212-1),'Salary Cap'!$B$9:$K$9,0)),"n/a"))</f>
        <v>148256695</v>
      </c>
      <c r="P212" s="115">
        <f>IF($B212=2017,IFERROR(INDEX('Salary Cap'!$C$143:$C$172,MATCH($A212,'Salary Cap'!$A$143:$A$172,0)),"n/a"),IFERROR(INDEX('Salary Cap'!$B$109:$K$138,MATCH($A212,'Salary Cap'!$A$109:$A$138,0),MATCH(""&amp;($B212-1),'Salary Cap'!$B$108:$K$108,0)),"n/a"))</f>
        <v>0</v>
      </c>
      <c r="Q212" s="138">
        <f>IF(OR($B212=2021,$B212=2022),1,0)</f>
        <v>0</v>
      </c>
    </row>
    <row r="213" spans="1:17" x14ac:dyDescent="0.2">
      <c r="A213" s="113" t="str" cm="1">
        <f t="array" ref="A213">INDEX('NBA Valuations'!$A$5:$A$34,INT((ROW()-5)/10)+1)</f>
        <v>Oklahoma City Thunder</v>
      </c>
      <c r="B213" s="105">
        <f t="shared" si="6"/>
        <v>2025</v>
      </c>
      <c r="C213" s="106">
        <f>IFERROR(INDEX('NBA Valuations'!$B$5:$K$34,MATCH($A213,'NBA Valuations'!$A$5:$A$34,0),MATCH(""&amp;$B213,'NBA Valuations'!$B$3:$K$3,0)),"n/a")</f>
        <v>3650</v>
      </c>
      <c r="D213" s="106">
        <f>IFERROR(INDEX(Revenue!$B$5:$K$34,MATCH($A213,Revenue!$A$5:$A$34,0),MATCH(""&amp;$B213,Revenue!$B$3:$K$3,0)),"n/a")</f>
        <v>320</v>
      </c>
      <c r="E213" s="106">
        <f>IFERROR(INDEX('Operating Income'!$B$5:$K$34,MATCH($A213,'Operating Income'!$A$5:$A$34,0),MATCH(""&amp;$B213,'Operating Income'!$B$3:$K$3,0)),"n/a")</f>
        <v>90</v>
      </c>
      <c r="F213" s="107">
        <f>IFERROR(INDEX('Market Size'!$L$5:$L$34,MATCH($A213,'Market Size'!$A$5:$A$34,0)),"n/a")</f>
        <v>1430019</v>
      </c>
      <c r="G213" s="108">
        <f>IFERROR(INDEX('Market Size'!$B$38:$K$67,MATCH($A213,'Market Size'!$A$38:$A$67,0),MATCH(""&amp;($B213-1),'Market Size'!$B$36:$K$36,0)),"n/a")</f>
        <v>46</v>
      </c>
      <c r="H213" s="108">
        <f>IFERROR(INDEX(Arena!$B$38:$K$67,MATCH($A213,Arena!$A$38:$A$67,0),MATCH(""&amp;$B213,Arena!$B$36:$K$36,0)),"n/a")</f>
        <v>2002</v>
      </c>
      <c r="I213" s="136" t="str">
        <f>IFERROR(INDEX(Arena!$B$71:$K$100,MATCH($A213,Arena!$A$71:$A$100,0),MATCH(""&amp;$B213,Arena!$B$69:$K$69,0)),"n/a")</f>
        <v>N</v>
      </c>
      <c r="J213" s="137">
        <f>IF(ISNUMBER($H213),($B213-1)-$H213,"n/a")</f>
        <v>22</v>
      </c>
      <c r="K213" s="108">
        <f>IF($B213=2017,IFERROR(INDEX('Team Performance'!$B$241:$B$270,MATCH($A213,'Team Performance'!$A$241:$A$270,0)),"n/a"),IFERROR(INDEX('Team Performance'!$B$6:$K$35,MATCH($A213,'Team Performance'!$A$6:$A$35,0),MATCH(($B213-2)&amp;"-"&amp;RIGHT($B213-1,2),'Team Performance'!$B$5:$K$5,0)),"n/a"))</f>
        <v>57</v>
      </c>
      <c r="L213" s="108">
        <f>IF($B213=2017,IFERROR(INDEX('Team Performance'!$C$241:$C$270,MATCH($A213,'Team Performance'!$A$241:$A$270,0)),"n/a"),IFERROR(INDEX('Team Performance'!$B$39:$K$68,MATCH($A213,'Team Performance'!$A$39:$A$68,0),MATCH(($B213-2)&amp;"-"&amp;RIGHT($B213-1,2),'Team Performance'!$B$38:$K$38,0)),"n/a"))</f>
        <v>25</v>
      </c>
      <c r="M213" s="109">
        <f t="shared" si="7"/>
        <v>0.69512195121951215</v>
      </c>
      <c r="N213" s="108">
        <f>IF($B213=2017,IFERROR(INDEX('Team Performance'!$E$241:$E$270,MATCH($A213,'Team Performance'!$A$241:$A$270,0)),"n/a"),IFERROR(INDEX('Team Performance'!$B$140:$K$169,MATCH($A213,'Team Performance'!$A$140:$A$169,0),MATCH(($B213-2)&amp;"-"&amp;RIGHT($B213-1,2),'Team Performance'!$B$139:$K$139,0)),"n/a"))</f>
        <v>2</v>
      </c>
      <c r="O213" s="110">
        <f>IF($B213=2017,IFERROR(INDEX('Salary Cap'!$B$143:$B$172,MATCH($A213,'Salary Cap'!$A$143:$A$172,0)),"n/a"),IFERROR(INDEX('Salary Cap'!$B$10:$K$39,MATCH($A213,'Salary Cap'!$A$10:$A$39,0),MATCH(""&amp;($B213-1),'Salary Cap'!$B$9:$K$9,0)),"n/a"))</f>
        <v>160525279</v>
      </c>
      <c r="P213" s="115">
        <f>IF($B213=2017,IFERROR(INDEX('Salary Cap'!$C$143:$C$172,MATCH($A213,'Salary Cap'!$A$143:$A$172,0)),"n/a"),IFERROR(INDEX('Salary Cap'!$B$109:$K$138,MATCH($A213,'Salary Cap'!$A$109:$A$138,0),MATCH(""&amp;($B213-1),'Salary Cap'!$B$108:$K$108,0)),"n/a"))</f>
        <v>0</v>
      </c>
      <c r="Q213" s="138">
        <f>IF(OR($B213=2021,$B213=2022),1,0)</f>
        <v>0</v>
      </c>
    </row>
    <row r="214" spans="1:17" x14ac:dyDescent="0.2">
      <c r="A214" s="113" t="str" cm="1">
        <f t="array" ref="A214">INDEX('NBA Valuations'!$A$5:$A$34,INT((ROW()-5)/10)+1)</f>
        <v>Oklahoma City Thunder</v>
      </c>
      <c r="B214" s="105">
        <f t="shared" si="6"/>
        <v>2026</v>
      </c>
      <c r="C214" s="106">
        <f>IFERROR(INDEX('NBA Valuations'!$B$5:$K$34,MATCH($A214,'NBA Valuations'!$A$5:$A$34,0),MATCH(""&amp;$B214,'NBA Valuations'!$B$3:$K$3,0)),"n/a")</f>
        <v>4350</v>
      </c>
      <c r="D214" s="106">
        <f>IFERROR(INDEX(Revenue!$B$5:$K$34,MATCH($A214,Revenue!$A$5:$A$34,0),MATCH(""&amp;$B214,Revenue!$B$3:$K$3,0)),"n/a")</f>
        <v>357</v>
      </c>
      <c r="E214" s="106">
        <f>IFERROR(INDEX('Operating Income'!$B$5:$K$34,MATCH($A214,'Operating Income'!$A$5:$A$34,0),MATCH(""&amp;$B214,'Operating Income'!$B$3:$K$3,0)),"n/a")</f>
        <v>114</v>
      </c>
      <c r="F214" s="107">
        <f>IFERROR(INDEX('Market Size'!$L$5:$L$34,MATCH($A214,'Market Size'!$A$5:$A$34,0)),"n/a")</f>
        <v>1430019</v>
      </c>
      <c r="G214" s="108">
        <f>IFERROR(INDEX('Market Size'!$B$38:$K$67,MATCH($A214,'Market Size'!$A$38:$A$67,0),MATCH(""&amp;($B214-1),'Market Size'!$B$36:$K$36,0)),"n/a")</f>
        <v>47</v>
      </c>
      <c r="H214" s="108">
        <f>IFERROR(INDEX(Arena!$B$38:$K$67,MATCH($A214,Arena!$A$38:$A$67,0),MATCH(""&amp;$B214,Arena!$B$36:$K$36,0)),"n/a")</f>
        <v>2002</v>
      </c>
      <c r="I214" s="136" t="str">
        <f>IFERROR(INDEX(Arena!$B$71:$K$100,MATCH($A214,Arena!$A$71:$A$100,0),MATCH(""&amp;$B214,Arena!$B$69:$K$69,0)),"n/a")</f>
        <v>N</v>
      </c>
      <c r="J214" s="137">
        <f>IF(ISNUMBER($H214),($B214-1)-$H214,"n/a")</f>
        <v>23</v>
      </c>
      <c r="K214" s="108">
        <f>IF($B214=2017,IFERROR(INDEX('Team Performance'!$B$241:$B$270,MATCH($A214,'Team Performance'!$A$241:$A$270,0)),"n/a"),IFERROR(INDEX('Team Performance'!$B$6:$K$35,MATCH($A214,'Team Performance'!$A$6:$A$35,0),MATCH(($B214-2)&amp;"-"&amp;RIGHT($B214-1,2),'Team Performance'!$B$5:$K$5,0)),"n/a"))</f>
        <v>68</v>
      </c>
      <c r="L214" s="108">
        <f>IF($B214=2017,IFERROR(INDEX('Team Performance'!$C$241:$C$270,MATCH($A214,'Team Performance'!$A$241:$A$270,0)),"n/a"),IFERROR(INDEX('Team Performance'!$B$39:$K$68,MATCH($A214,'Team Performance'!$A$39:$A$68,0),MATCH(($B214-2)&amp;"-"&amp;RIGHT($B214-1,2),'Team Performance'!$B$38:$K$38,0)),"n/a"))</f>
        <v>14</v>
      </c>
      <c r="M214" s="109">
        <f t="shared" si="7"/>
        <v>0.82926829268292679</v>
      </c>
      <c r="N214" s="108">
        <f>IF($B214=2017,IFERROR(INDEX('Team Performance'!$E$241:$E$270,MATCH($A214,'Team Performance'!$A$241:$A$270,0)),"n/a"),IFERROR(INDEX('Team Performance'!$B$140:$K$169,MATCH($A214,'Team Performance'!$A$140:$A$169,0),MATCH(($B214-2)&amp;"-"&amp;RIGHT($B214-1,2),'Team Performance'!$B$139:$K$139,0)),"n/a"))</f>
        <v>5</v>
      </c>
      <c r="O214" s="110">
        <f>IF($B214=2017,IFERROR(INDEX('Salary Cap'!$B$143:$B$172,MATCH($A214,'Salary Cap'!$A$143:$A$172,0)),"n/a"),IFERROR(INDEX('Salary Cap'!$B$10:$K$39,MATCH($A214,'Salary Cap'!$A$10:$A$39,0),MATCH(""&amp;($B214-1),'Salary Cap'!$B$9:$K$9,0)),"n/a"))</f>
        <v>166568467</v>
      </c>
      <c r="P214" s="115">
        <f>IF($B214=2017,IFERROR(INDEX('Salary Cap'!$C$143:$C$172,MATCH($A214,'Salary Cap'!$A$143:$A$172,0)),"n/a"),IFERROR(INDEX('Salary Cap'!$B$109:$K$138,MATCH($A214,'Salary Cap'!$A$109:$A$138,0),MATCH(""&amp;($B214-1),'Salary Cap'!$B$108:$K$108,0)),"n/a"))</f>
        <v>0</v>
      </c>
      <c r="Q214" s="138">
        <f>IF(OR($B214=2021,$B214=2022),1,0)</f>
        <v>0</v>
      </c>
    </row>
    <row r="215" spans="1:17" x14ac:dyDescent="0.2">
      <c r="A215" s="113" t="str" cm="1">
        <f t="array" ref="A215">INDEX('NBA Valuations'!$A$5:$A$34,INT((ROW()-5)/10)+1)</f>
        <v>Orlando Magic</v>
      </c>
      <c r="B215" s="105">
        <f t="shared" si="6"/>
        <v>2017</v>
      </c>
      <c r="C215" s="106">
        <f>IFERROR(INDEX('NBA Valuations'!$B$5:$K$34,MATCH($A215,'NBA Valuations'!$A$5:$A$34,0),MATCH(""&amp;$B215,'NBA Valuations'!$B$3:$K$3,0)),"n/a")</f>
        <v>920</v>
      </c>
      <c r="D215" s="106">
        <f>IFERROR(INDEX(Revenue!$B$5:$K$34,MATCH($A215,Revenue!$A$5:$A$34,0),MATCH(""&amp;$B215,Revenue!$B$3:$K$3,0)),"n/a")</f>
        <v>166</v>
      </c>
      <c r="E215" s="106">
        <f>IFERROR(INDEX('Operating Income'!$B$5:$K$34,MATCH($A215,'Operating Income'!$A$5:$A$34,0),MATCH(""&amp;$B215,'Operating Income'!$B$3:$K$3,0)),"n/a")</f>
        <v>44.7</v>
      </c>
      <c r="F215" s="107">
        <f>IFERROR(INDEX('Market Size'!$L$5:$L$34,MATCH($A215,'Market Size'!$A$5:$A$34,0)),"n/a")</f>
        <v>2680430</v>
      </c>
      <c r="G215" s="108" t="str">
        <f>IFERROR(INDEX('Market Size'!$B$38:$K$67,MATCH($A215,'Market Size'!$A$38:$A$67,0),MATCH(""&amp;($B215-1),'Market Size'!$B$36:$K$36,0)),"n/a")</f>
        <v>n/a</v>
      </c>
      <c r="H215" s="108">
        <f>IFERROR(INDEX(Arena!$B$38:$K$67,MATCH($A215,Arena!$A$38:$A$67,0),MATCH(""&amp;$B215,Arena!$B$36:$K$36,0)),"n/a")</f>
        <v>2010</v>
      </c>
      <c r="I215" s="136" t="str">
        <f>IFERROR(INDEX(Arena!$B$71:$K$100,MATCH($A215,Arena!$A$71:$A$100,0),MATCH(""&amp;$B215,Arena!$B$69:$K$69,0)),"n/a")</f>
        <v>N</v>
      </c>
      <c r="J215" s="137">
        <f>IF(ISNUMBER($H215),($B215-1)-$H215,"n/a")</f>
        <v>6</v>
      </c>
      <c r="K215" s="108">
        <f>IF($B215=2017,IFERROR(INDEX('Team Performance'!$B$241:$B$270,MATCH($A215,'Team Performance'!$A$241:$A$270,0)),"n/a"),IFERROR(INDEX('Team Performance'!$B$6:$K$35,MATCH($A215,'Team Performance'!$A$6:$A$35,0),MATCH(($B215-2)&amp;"-"&amp;RIGHT($B215-1,2),'Team Performance'!$B$5:$K$5,0)),"n/a"))</f>
        <v>35</v>
      </c>
      <c r="L215" s="108">
        <f>IF($B215=2017,IFERROR(INDEX('Team Performance'!$C$241:$C$270,MATCH($A215,'Team Performance'!$A$241:$A$270,0)),"n/a"),IFERROR(INDEX('Team Performance'!$B$39:$K$68,MATCH($A215,'Team Performance'!$A$39:$A$68,0),MATCH(($B215-2)&amp;"-"&amp;RIGHT($B215-1,2),'Team Performance'!$B$38:$K$38,0)),"n/a"))</f>
        <v>47</v>
      </c>
      <c r="M215" s="109">
        <f t="shared" si="7"/>
        <v>0.42682926829268292</v>
      </c>
      <c r="N215" s="108">
        <f>IF($B215=2017,IFERROR(INDEX('Team Performance'!$E$241:$E$270,MATCH($A215,'Team Performance'!$A$241:$A$270,0)),"n/a"),IFERROR(INDEX('Team Performance'!$B$140:$K$169,MATCH($A215,'Team Performance'!$A$140:$A$169,0),MATCH(($B215-2)&amp;"-"&amp;RIGHT($B215-1,2),'Team Performance'!$B$139:$K$139,0)),"n/a"))</f>
        <v>0</v>
      </c>
      <c r="O215" s="110">
        <f>IF($B215=2017,IFERROR(INDEX('Salary Cap'!$B$143:$B$172,MATCH($A215,'Salary Cap'!$A$143:$A$172,0)),"n/a"),IFERROR(INDEX('Salary Cap'!$B$10:$K$39,MATCH($A215,'Salary Cap'!$A$10:$A$39,0),MATCH(""&amp;($B215-1),'Salary Cap'!$B$9:$K$9,0)),"n/a"))</f>
        <v>64462856</v>
      </c>
      <c r="P215" s="115">
        <f>IF($B215=2017,IFERROR(INDEX('Salary Cap'!$C$143:$C$172,MATCH($A215,'Salary Cap'!$A$143:$A$172,0)),"n/a"),IFERROR(INDEX('Salary Cap'!$B$109:$K$138,MATCH($A215,'Salary Cap'!$A$109:$A$138,0),MATCH(""&amp;($B215-1),'Salary Cap'!$B$108:$K$108,0)),"n/a"))</f>
        <v>0</v>
      </c>
      <c r="Q215" s="138">
        <f>IF(OR($B215=2021,$B215=2022),1,0)</f>
        <v>0</v>
      </c>
    </row>
    <row r="216" spans="1:17" x14ac:dyDescent="0.2">
      <c r="A216" s="113" t="str" cm="1">
        <f t="array" ref="A216">INDEX('NBA Valuations'!$A$5:$A$34,INT((ROW()-5)/10)+1)</f>
        <v>Orlando Magic</v>
      </c>
      <c r="B216" s="105">
        <f t="shared" si="6"/>
        <v>2018</v>
      </c>
      <c r="C216" s="106">
        <f>IFERROR(INDEX('NBA Valuations'!$B$5:$K$34,MATCH($A216,'NBA Valuations'!$A$5:$A$34,0),MATCH(""&amp;$B216,'NBA Valuations'!$B$3:$K$3,0)),"n/a")</f>
        <v>1200</v>
      </c>
      <c r="D216" s="106">
        <f>IFERROR(INDEX(Revenue!$B$5:$K$34,MATCH($A216,Revenue!$A$5:$A$34,0),MATCH(""&amp;$B216,Revenue!$B$3:$K$3,0)),"n/a")</f>
        <v>211</v>
      </c>
      <c r="E216" s="106">
        <f>IFERROR(INDEX('Operating Income'!$B$5:$K$34,MATCH($A216,'Operating Income'!$A$5:$A$34,0),MATCH(""&amp;$B216,'Operating Income'!$B$3:$K$3,0)),"n/a")</f>
        <v>39</v>
      </c>
      <c r="F216" s="107">
        <f>IFERROR(INDEX('Market Size'!$L$5:$L$34,MATCH($A216,'Market Size'!$A$5:$A$34,0)),"n/a")</f>
        <v>2680430</v>
      </c>
      <c r="G216" s="108" t="str">
        <f>IFERROR(INDEX('Market Size'!$B$38:$K$67,MATCH($A216,'Market Size'!$A$38:$A$67,0),MATCH(""&amp;($B216-1),'Market Size'!$B$36:$K$36,0)),"n/a")</f>
        <v>n/a</v>
      </c>
      <c r="H216" s="108">
        <f>IFERROR(INDEX(Arena!$B$38:$K$67,MATCH($A216,Arena!$A$38:$A$67,0),MATCH(""&amp;$B216,Arena!$B$36:$K$36,0)),"n/a")</f>
        <v>2010</v>
      </c>
      <c r="I216" s="136" t="str">
        <f>IFERROR(INDEX(Arena!$B$71:$K$100,MATCH($A216,Arena!$A$71:$A$100,0),MATCH(""&amp;$B216,Arena!$B$69:$K$69,0)),"n/a")</f>
        <v>N</v>
      </c>
      <c r="J216" s="137">
        <f>IF(ISNUMBER($H216),($B216-1)-$H216,"n/a")</f>
        <v>7</v>
      </c>
      <c r="K216" s="108">
        <f>IF($B216=2017,IFERROR(INDEX('Team Performance'!$B$241:$B$270,MATCH($A216,'Team Performance'!$A$241:$A$270,0)),"n/a"),IFERROR(INDEX('Team Performance'!$B$6:$K$35,MATCH($A216,'Team Performance'!$A$6:$A$35,0),MATCH(($B216-2)&amp;"-"&amp;RIGHT($B216-1,2),'Team Performance'!$B$5:$K$5,0)),"n/a"))</f>
        <v>29</v>
      </c>
      <c r="L216" s="108">
        <f>IF($B216=2017,IFERROR(INDEX('Team Performance'!$C$241:$C$270,MATCH($A216,'Team Performance'!$A$241:$A$270,0)),"n/a"),IFERROR(INDEX('Team Performance'!$B$39:$K$68,MATCH($A216,'Team Performance'!$A$39:$A$68,0),MATCH(($B216-2)&amp;"-"&amp;RIGHT($B216-1,2),'Team Performance'!$B$38:$K$38,0)),"n/a"))</f>
        <v>53</v>
      </c>
      <c r="M216" s="109">
        <f t="shared" si="7"/>
        <v>0.35365853658536583</v>
      </c>
      <c r="N216" s="108">
        <f>IF($B216=2017,IFERROR(INDEX('Team Performance'!$E$241:$E$270,MATCH($A216,'Team Performance'!$A$241:$A$270,0)),"n/a"),IFERROR(INDEX('Team Performance'!$B$140:$K$169,MATCH($A216,'Team Performance'!$A$140:$A$169,0),MATCH(($B216-2)&amp;"-"&amp;RIGHT($B216-1,2),'Team Performance'!$B$139:$K$139,0)),"n/a"))</f>
        <v>0</v>
      </c>
      <c r="O216" s="110">
        <f>IF($B216=2017,IFERROR(INDEX('Salary Cap'!$B$143:$B$172,MATCH($A216,'Salary Cap'!$A$143:$A$172,0)),"n/a"),IFERROR(INDEX('Salary Cap'!$B$10:$K$39,MATCH($A216,'Salary Cap'!$A$10:$A$39,0),MATCH(""&amp;($B216-1),'Salary Cap'!$B$9:$K$9,0)),"n/a"))</f>
        <v>104208445</v>
      </c>
      <c r="P216" s="115">
        <f>IF($B216=2017,IFERROR(INDEX('Salary Cap'!$C$143:$C$172,MATCH($A216,'Salary Cap'!$A$143:$A$172,0)),"n/a"),IFERROR(INDEX('Salary Cap'!$B$109:$K$138,MATCH($A216,'Salary Cap'!$A$109:$A$138,0),MATCH(""&amp;($B216-1),'Salary Cap'!$B$108:$K$108,0)),"n/a"))</f>
        <v>0</v>
      </c>
      <c r="Q216" s="138">
        <f>IF(OR($B216=2021,$B216=2022),1,0)</f>
        <v>0</v>
      </c>
    </row>
    <row r="217" spans="1:17" x14ac:dyDescent="0.2">
      <c r="A217" s="113" t="str" cm="1">
        <f t="array" ref="A217">INDEX('NBA Valuations'!$A$5:$A$34,INT((ROW()-5)/10)+1)</f>
        <v>Orlando Magic</v>
      </c>
      <c r="B217" s="105">
        <f t="shared" si="6"/>
        <v>2019</v>
      </c>
      <c r="C217" s="106">
        <f>IFERROR(INDEX('NBA Valuations'!$B$5:$K$34,MATCH($A217,'NBA Valuations'!$A$5:$A$34,0),MATCH(""&amp;$B217,'NBA Valuations'!$B$3:$K$3,0)),"n/a")</f>
        <v>1300</v>
      </c>
      <c r="D217" s="106">
        <f>IFERROR(INDEX(Revenue!$B$5:$K$34,MATCH($A217,Revenue!$A$5:$A$34,0),MATCH(""&amp;$B217,Revenue!$B$3:$K$3,0)),"n/a")</f>
        <v>223</v>
      </c>
      <c r="E217" s="106">
        <f>IFERROR(INDEX('Operating Income'!$B$5:$K$34,MATCH($A217,'Operating Income'!$A$5:$A$34,0),MATCH(""&amp;$B217,'Operating Income'!$B$3:$K$3,0)),"n/a")</f>
        <v>64</v>
      </c>
      <c r="F217" s="107">
        <f>IFERROR(INDEX('Market Size'!$L$5:$L$34,MATCH($A217,'Market Size'!$A$5:$A$34,0)),"n/a")</f>
        <v>2680430</v>
      </c>
      <c r="G217" s="108" t="str">
        <f>IFERROR(INDEX('Market Size'!$B$38:$K$67,MATCH($A217,'Market Size'!$A$38:$A$67,0),MATCH(""&amp;($B217-1),'Market Size'!$B$36:$K$36,0)),"n/a")</f>
        <v>n/a</v>
      </c>
      <c r="H217" s="108">
        <f>IFERROR(INDEX(Arena!$B$38:$K$67,MATCH($A217,Arena!$A$38:$A$67,0),MATCH(""&amp;$B217,Arena!$B$36:$K$36,0)),"n/a")</f>
        <v>2010</v>
      </c>
      <c r="I217" s="136" t="str">
        <f>IFERROR(INDEX(Arena!$B$71:$K$100,MATCH($A217,Arena!$A$71:$A$100,0),MATCH(""&amp;$B217,Arena!$B$69:$K$69,0)),"n/a")</f>
        <v>N</v>
      </c>
      <c r="J217" s="137">
        <f>IF(ISNUMBER($H217),($B217-1)-$H217,"n/a")</f>
        <v>8</v>
      </c>
      <c r="K217" s="108">
        <f>IF($B217=2017,IFERROR(INDEX('Team Performance'!$B$241:$B$270,MATCH($A217,'Team Performance'!$A$241:$A$270,0)),"n/a"),IFERROR(INDEX('Team Performance'!$B$6:$K$35,MATCH($A217,'Team Performance'!$A$6:$A$35,0),MATCH(($B217-2)&amp;"-"&amp;RIGHT($B217-1,2),'Team Performance'!$B$5:$K$5,0)),"n/a"))</f>
        <v>25</v>
      </c>
      <c r="L217" s="108">
        <f>IF($B217=2017,IFERROR(INDEX('Team Performance'!$C$241:$C$270,MATCH($A217,'Team Performance'!$A$241:$A$270,0)),"n/a"),IFERROR(INDEX('Team Performance'!$B$39:$K$68,MATCH($A217,'Team Performance'!$A$39:$A$68,0),MATCH(($B217-2)&amp;"-"&amp;RIGHT($B217-1,2),'Team Performance'!$B$38:$K$38,0)),"n/a"))</f>
        <v>57</v>
      </c>
      <c r="M217" s="109">
        <f t="shared" si="7"/>
        <v>0.3048780487804878</v>
      </c>
      <c r="N217" s="108">
        <f>IF($B217=2017,IFERROR(INDEX('Team Performance'!$E$241:$E$270,MATCH($A217,'Team Performance'!$A$241:$A$270,0)),"n/a"),IFERROR(INDEX('Team Performance'!$B$140:$K$169,MATCH($A217,'Team Performance'!$A$140:$A$169,0),MATCH(($B217-2)&amp;"-"&amp;RIGHT($B217-1,2),'Team Performance'!$B$139:$K$139,0)),"n/a"))</f>
        <v>0</v>
      </c>
      <c r="O217" s="110">
        <f>IF($B217=2017,IFERROR(INDEX('Salary Cap'!$B$143:$B$172,MATCH($A217,'Salary Cap'!$A$143:$A$172,0)),"n/a"),IFERROR(INDEX('Salary Cap'!$B$10:$K$39,MATCH($A217,'Salary Cap'!$A$10:$A$39,0),MATCH(""&amp;($B217-1),'Salary Cap'!$B$9:$K$9,0)),"n/a"))</f>
        <v>95538311</v>
      </c>
      <c r="P217" s="115">
        <f>IF($B217=2017,IFERROR(INDEX('Salary Cap'!$C$143:$C$172,MATCH($A217,'Salary Cap'!$A$143:$A$172,0)),"n/a"),IFERROR(INDEX('Salary Cap'!$B$109:$K$138,MATCH($A217,'Salary Cap'!$A$109:$A$138,0),MATCH(""&amp;($B217-1),'Salary Cap'!$B$108:$K$108,0)),"n/a"))</f>
        <v>0</v>
      </c>
      <c r="Q217" s="138">
        <f>IF(OR($B217=2021,$B217=2022),1,0)</f>
        <v>0</v>
      </c>
    </row>
    <row r="218" spans="1:17" x14ac:dyDescent="0.2">
      <c r="A218" s="113" t="str" cm="1">
        <f t="array" ref="A218">INDEX('NBA Valuations'!$A$5:$A$34,INT((ROW()-5)/10)+1)</f>
        <v>Orlando Magic</v>
      </c>
      <c r="B218" s="105">
        <f t="shared" si="6"/>
        <v>2020</v>
      </c>
      <c r="C218" s="106">
        <f>IFERROR(INDEX('NBA Valuations'!$B$5:$K$34,MATCH($A218,'NBA Valuations'!$A$5:$A$34,0),MATCH(""&amp;$B218,'NBA Valuations'!$B$3:$K$3,0)),"n/a")</f>
        <v>1400</v>
      </c>
      <c r="D218" s="106">
        <f>IFERROR(INDEX(Revenue!$B$5:$K$34,MATCH($A218,Revenue!$A$5:$A$34,0),MATCH(""&amp;$B218,Revenue!$B$3:$K$3,0)),"n/a")</f>
        <v>244</v>
      </c>
      <c r="E218" s="106">
        <f>IFERROR(INDEX('Operating Income'!$B$5:$K$34,MATCH($A218,'Operating Income'!$A$5:$A$34,0),MATCH(""&amp;$B218,'Operating Income'!$B$3:$K$3,0)),"n/a")</f>
        <v>70</v>
      </c>
      <c r="F218" s="107">
        <f>IFERROR(INDEX('Market Size'!$L$5:$L$34,MATCH($A218,'Market Size'!$A$5:$A$34,0)),"n/a")</f>
        <v>2680430</v>
      </c>
      <c r="G218" s="108" t="str">
        <f>IFERROR(INDEX('Market Size'!$B$38:$K$67,MATCH($A218,'Market Size'!$A$38:$A$67,0),MATCH(""&amp;($B218-1),'Market Size'!$B$36:$K$36,0)),"n/a")</f>
        <v>n/a</v>
      </c>
      <c r="H218" s="108">
        <f>IFERROR(INDEX(Arena!$B$38:$K$67,MATCH($A218,Arena!$A$38:$A$67,0),MATCH(""&amp;$B218,Arena!$B$36:$K$36,0)),"n/a")</f>
        <v>2010</v>
      </c>
      <c r="I218" s="136" t="str">
        <f>IFERROR(INDEX(Arena!$B$71:$K$100,MATCH($A218,Arena!$A$71:$A$100,0),MATCH(""&amp;$B218,Arena!$B$69:$K$69,0)),"n/a")</f>
        <v>N</v>
      </c>
      <c r="J218" s="137">
        <f>IF(ISNUMBER($H218),($B218-1)-$H218,"n/a")</f>
        <v>9</v>
      </c>
      <c r="K218" s="108">
        <f>IF($B218=2017,IFERROR(INDEX('Team Performance'!$B$241:$B$270,MATCH($A218,'Team Performance'!$A$241:$A$270,0)),"n/a"),IFERROR(INDEX('Team Performance'!$B$6:$K$35,MATCH($A218,'Team Performance'!$A$6:$A$35,0),MATCH(($B218-2)&amp;"-"&amp;RIGHT($B218-1,2),'Team Performance'!$B$5:$K$5,0)),"n/a"))</f>
        <v>42</v>
      </c>
      <c r="L218" s="108">
        <f>IF($B218=2017,IFERROR(INDEX('Team Performance'!$C$241:$C$270,MATCH($A218,'Team Performance'!$A$241:$A$270,0)),"n/a"),IFERROR(INDEX('Team Performance'!$B$39:$K$68,MATCH($A218,'Team Performance'!$A$39:$A$68,0),MATCH(($B218-2)&amp;"-"&amp;RIGHT($B218-1,2),'Team Performance'!$B$38:$K$38,0)),"n/a"))</f>
        <v>40</v>
      </c>
      <c r="M218" s="109">
        <f t="shared" si="7"/>
        <v>0.51219512195121952</v>
      </c>
      <c r="N218" s="108">
        <f>IF($B218=2017,IFERROR(INDEX('Team Performance'!$E$241:$E$270,MATCH($A218,'Team Performance'!$A$241:$A$270,0)),"n/a"),IFERROR(INDEX('Team Performance'!$B$140:$K$169,MATCH($A218,'Team Performance'!$A$140:$A$169,0),MATCH(($B218-2)&amp;"-"&amp;RIGHT($B218-1,2),'Team Performance'!$B$139:$K$139,0)),"n/a"))</f>
        <v>1</v>
      </c>
      <c r="O218" s="110">
        <f>IF($B218=2017,IFERROR(INDEX('Salary Cap'!$B$143:$B$172,MATCH($A218,'Salary Cap'!$A$143:$A$172,0)),"n/a"),IFERROR(INDEX('Salary Cap'!$B$10:$K$39,MATCH($A218,'Salary Cap'!$A$10:$A$39,0),MATCH(""&amp;($B218-1),'Salary Cap'!$B$9:$K$9,0)),"n/a"))</f>
        <v>114671036</v>
      </c>
      <c r="P218" s="115">
        <f>IF($B218=2017,IFERROR(INDEX('Salary Cap'!$C$143:$C$172,MATCH($A218,'Salary Cap'!$A$143:$A$172,0)),"n/a"),IFERROR(INDEX('Salary Cap'!$B$109:$K$138,MATCH($A218,'Salary Cap'!$A$109:$A$138,0),MATCH(""&amp;($B218-1),'Salary Cap'!$B$108:$K$108,0)),"n/a"))</f>
        <v>0</v>
      </c>
      <c r="Q218" s="138">
        <f>IF(OR($B218=2021,$B218=2022),1,0)</f>
        <v>0</v>
      </c>
    </row>
    <row r="219" spans="1:17" x14ac:dyDescent="0.2">
      <c r="A219" s="113" t="str" cm="1">
        <f t="array" ref="A219">INDEX('NBA Valuations'!$A$5:$A$34,INT((ROW()-5)/10)+1)</f>
        <v>Orlando Magic</v>
      </c>
      <c r="B219" s="105">
        <f t="shared" si="6"/>
        <v>2021</v>
      </c>
      <c r="C219" s="106">
        <f>IFERROR(INDEX('NBA Valuations'!$B$5:$K$34,MATCH($A219,'NBA Valuations'!$A$5:$A$34,0),MATCH(""&amp;$B219,'NBA Valuations'!$B$3:$K$3,0)),"n/a")</f>
        <v>1460</v>
      </c>
      <c r="D219" s="106">
        <f>IFERROR(INDEX(Revenue!$B$5:$K$34,MATCH($A219,Revenue!$A$5:$A$34,0),MATCH(""&amp;$B219,Revenue!$B$3:$K$3,0)),"n/a")</f>
        <v>218</v>
      </c>
      <c r="E219" s="106">
        <f>IFERROR(INDEX('Operating Income'!$B$5:$K$34,MATCH($A219,'Operating Income'!$A$5:$A$34,0),MATCH(""&amp;$B219,'Operating Income'!$B$3:$K$3,0)),"n/a")</f>
        <v>37</v>
      </c>
      <c r="F219" s="107">
        <f>IFERROR(INDEX('Market Size'!$L$5:$L$34,MATCH($A219,'Market Size'!$A$5:$A$34,0)),"n/a")</f>
        <v>2680430</v>
      </c>
      <c r="G219" s="108" t="str">
        <f>IFERROR(INDEX('Market Size'!$B$38:$K$67,MATCH($A219,'Market Size'!$A$38:$A$67,0),MATCH(""&amp;($B219-1),'Market Size'!$B$36:$K$36,0)),"n/a")</f>
        <v>n/a</v>
      </c>
      <c r="H219" s="108">
        <f>IFERROR(INDEX(Arena!$B$38:$K$67,MATCH($A219,Arena!$A$38:$A$67,0),MATCH(""&amp;$B219,Arena!$B$36:$K$36,0)),"n/a")</f>
        <v>2010</v>
      </c>
      <c r="I219" s="136" t="str">
        <f>IFERROR(INDEX(Arena!$B$71:$K$100,MATCH($A219,Arena!$A$71:$A$100,0),MATCH(""&amp;$B219,Arena!$B$69:$K$69,0)),"n/a")</f>
        <v>N</v>
      </c>
      <c r="J219" s="137">
        <f>IF(ISNUMBER($H219),($B219-1)-$H219,"n/a")</f>
        <v>10</v>
      </c>
      <c r="K219" s="108">
        <f>IF($B219=2017,IFERROR(INDEX('Team Performance'!$B$241:$B$270,MATCH($A219,'Team Performance'!$A$241:$A$270,0)),"n/a"),IFERROR(INDEX('Team Performance'!$B$6:$K$35,MATCH($A219,'Team Performance'!$A$6:$A$35,0),MATCH(($B219-2)&amp;"-"&amp;RIGHT($B219-1,2),'Team Performance'!$B$5:$K$5,0)),"n/a"))</f>
        <v>33</v>
      </c>
      <c r="L219" s="108">
        <f>IF($B219=2017,IFERROR(INDEX('Team Performance'!$C$241:$C$270,MATCH($A219,'Team Performance'!$A$241:$A$270,0)),"n/a"),IFERROR(INDEX('Team Performance'!$B$39:$K$68,MATCH($A219,'Team Performance'!$A$39:$A$68,0),MATCH(($B219-2)&amp;"-"&amp;RIGHT($B219-1,2),'Team Performance'!$B$38:$K$38,0)),"n/a"))</f>
        <v>40</v>
      </c>
      <c r="M219" s="109">
        <f t="shared" si="7"/>
        <v>0.45205479452054792</v>
      </c>
      <c r="N219" s="108">
        <f>IF($B219=2017,IFERROR(INDEX('Team Performance'!$E$241:$E$270,MATCH($A219,'Team Performance'!$A$241:$A$270,0)),"n/a"),IFERROR(INDEX('Team Performance'!$B$140:$K$169,MATCH($A219,'Team Performance'!$A$140:$A$169,0),MATCH(($B219-2)&amp;"-"&amp;RIGHT($B219-1,2),'Team Performance'!$B$139:$K$139,0)),"n/a"))</f>
        <v>1</v>
      </c>
      <c r="O219" s="110">
        <f>IF($B219=2017,IFERROR(INDEX('Salary Cap'!$B$143:$B$172,MATCH($A219,'Salary Cap'!$A$143:$A$172,0)),"n/a"),IFERROR(INDEX('Salary Cap'!$B$10:$K$39,MATCH($A219,'Salary Cap'!$A$10:$A$39,0),MATCH(""&amp;($B219-1),'Salary Cap'!$B$9:$K$9,0)),"n/a"))</f>
        <v>127492943</v>
      </c>
      <c r="P219" s="115">
        <f>IF($B219=2017,IFERROR(INDEX('Salary Cap'!$C$143:$C$172,MATCH($A219,'Salary Cap'!$A$143:$A$172,0)),"n/a"),IFERROR(INDEX('Salary Cap'!$B$109:$K$138,MATCH($A219,'Salary Cap'!$A$109:$A$138,0),MATCH(""&amp;($B219-1),'Salary Cap'!$B$108:$K$108,0)),"n/a"))</f>
        <v>0</v>
      </c>
      <c r="Q219" s="138">
        <f>IF(OR($B219=2021,$B219=2022),1,0)</f>
        <v>1</v>
      </c>
    </row>
    <row r="220" spans="1:17" x14ac:dyDescent="0.2">
      <c r="A220" s="113" t="str" cm="1">
        <f t="array" ref="A220">INDEX('NBA Valuations'!$A$5:$A$34,INT((ROW()-5)/10)+1)</f>
        <v>Orlando Magic</v>
      </c>
      <c r="B220" s="105">
        <f t="shared" si="6"/>
        <v>2022</v>
      </c>
      <c r="C220" s="106">
        <f>IFERROR(INDEX('NBA Valuations'!$B$5:$K$34,MATCH($A220,'NBA Valuations'!$A$5:$A$34,0),MATCH(""&amp;$B220,'NBA Valuations'!$B$3:$K$3,0)),"n/a")</f>
        <v>1640</v>
      </c>
      <c r="D220" s="106">
        <f>IFERROR(INDEX(Revenue!$B$5:$K$34,MATCH($A220,Revenue!$A$5:$A$34,0),MATCH(""&amp;$B220,Revenue!$B$3:$K$3,0)),"n/a")</f>
        <v>188</v>
      </c>
      <c r="E220" s="106">
        <f>IFERROR(INDEX('Operating Income'!$B$5:$K$34,MATCH($A220,'Operating Income'!$A$5:$A$34,0),MATCH(""&amp;$B220,'Operating Income'!$B$3:$K$3,0)),"n/a")</f>
        <v>29</v>
      </c>
      <c r="F220" s="107">
        <f>IFERROR(INDEX('Market Size'!$L$5:$L$34,MATCH($A220,'Market Size'!$A$5:$A$34,0)),"n/a")</f>
        <v>2680430</v>
      </c>
      <c r="G220" s="108" t="str">
        <f>IFERROR(INDEX('Market Size'!$B$38:$K$67,MATCH($A220,'Market Size'!$A$38:$A$67,0),MATCH(""&amp;($B220-1),'Market Size'!$B$36:$K$36,0)),"n/a")</f>
        <v>n/a</v>
      </c>
      <c r="H220" s="108">
        <f>IFERROR(INDEX(Arena!$B$38:$K$67,MATCH($A220,Arena!$A$38:$A$67,0),MATCH(""&amp;$B220,Arena!$B$36:$K$36,0)),"n/a")</f>
        <v>2010</v>
      </c>
      <c r="I220" s="136" t="str">
        <f>IFERROR(INDEX(Arena!$B$71:$K$100,MATCH($A220,Arena!$A$71:$A$100,0),MATCH(""&amp;$B220,Arena!$B$69:$K$69,0)),"n/a")</f>
        <v>N</v>
      </c>
      <c r="J220" s="137">
        <f>IF(ISNUMBER($H220),($B220-1)-$H220,"n/a")</f>
        <v>11</v>
      </c>
      <c r="K220" s="108">
        <f>IF($B220=2017,IFERROR(INDEX('Team Performance'!$B$241:$B$270,MATCH($A220,'Team Performance'!$A$241:$A$270,0)),"n/a"),IFERROR(INDEX('Team Performance'!$B$6:$K$35,MATCH($A220,'Team Performance'!$A$6:$A$35,0),MATCH(($B220-2)&amp;"-"&amp;RIGHT($B220-1,2),'Team Performance'!$B$5:$K$5,0)),"n/a"))</f>
        <v>21</v>
      </c>
      <c r="L220" s="108">
        <f>IF($B220=2017,IFERROR(INDEX('Team Performance'!$C$241:$C$270,MATCH($A220,'Team Performance'!$A$241:$A$270,0)),"n/a"),IFERROR(INDEX('Team Performance'!$B$39:$K$68,MATCH($A220,'Team Performance'!$A$39:$A$68,0),MATCH(($B220-2)&amp;"-"&amp;RIGHT($B220-1,2),'Team Performance'!$B$38:$K$38,0)),"n/a"))</f>
        <v>51</v>
      </c>
      <c r="M220" s="109">
        <f t="shared" si="7"/>
        <v>0.29166666666666669</v>
      </c>
      <c r="N220" s="108">
        <f>IF($B220=2017,IFERROR(INDEX('Team Performance'!$E$241:$E$270,MATCH($A220,'Team Performance'!$A$241:$A$270,0)),"n/a"),IFERROR(INDEX('Team Performance'!$B$140:$K$169,MATCH($A220,'Team Performance'!$A$140:$A$169,0),MATCH(($B220-2)&amp;"-"&amp;RIGHT($B220-1,2),'Team Performance'!$B$139:$K$139,0)),"n/a"))</f>
        <v>0</v>
      </c>
      <c r="O220" s="110">
        <f>IF($B220=2017,IFERROR(INDEX('Salary Cap'!$B$143:$B$172,MATCH($A220,'Salary Cap'!$A$143:$A$172,0)),"n/a"),IFERROR(INDEX('Salary Cap'!$B$10:$K$39,MATCH($A220,'Salary Cap'!$A$10:$A$39,0),MATCH(""&amp;($B220-1),'Salary Cap'!$B$9:$K$9,0)),"n/a"))</f>
        <v>114336509</v>
      </c>
      <c r="P220" s="115">
        <f>IF($B220=2017,IFERROR(INDEX('Salary Cap'!$C$143:$C$172,MATCH($A220,'Salary Cap'!$A$143:$A$172,0)),"n/a"),IFERROR(INDEX('Salary Cap'!$B$109:$K$138,MATCH($A220,'Salary Cap'!$A$109:$A$138,0),MATCH(""&amp;($B220-1),'Salary Cap'!$B$108:$K$108,0)),"n/a"))</f>
        <v>0</v>
      </c>
      <c r="Q220" s="138">
        <f>IF(OR($B220=2021,$B220=2022),1,0)</f>
        <v>1</v>
      </c>
    </row>
    <row r="221" spans="1:17" x14ac:dyDescent="0.2">
      <c r="A221" s="113" t="str" cm="1">
        <f t="array" ref="A221">INDEX('NBA Valuations'!$A$5:$A$34,INT((ROW()-5)/10)+1)</f>
        <v>Orlando Magic</v>
      </c>
      <c r="B221" s="105">
        <f t="shared" si="6"/>
        <v>2023</v>
      </c>
      <c r="C221" s="106">
        <f>IFERROR(INDEX('NBA Valuations'!$B$5:$K$34,MATCH($A221,'NBA Valuations'!$A$5:$A$34,0),MATCH(""&amp;$B221,'NBA Valuations'!$B$3:$K$3,0)),"n/a")</f>
        <v>1850</v>
      </c>
      <c r="D221" s="106">
        <f>IFERROR(INDEX(Revenue!$B$5:$K$34,MATCH($A221,Revenue!$A$5:$A$34,0),MATCH(""&amp;$B221,Revenue!$B$3:$K$3,0)),"n/a")</f>
        <v>272</v>
      </c>
      <c r="E221" s="106">
        <f>IFERROR(INDEX('Operating Income'!$B$5:$K$34,MATCH($A221,'Operating Income'!$A$5:$A$34,0),MATCH(""&amp;$B221,'Operating Income'!$B$3:$K$3,0)),"n/a")</f>
        <v>98</v>
      </c>
      <c r="F221" s="107">
        <f>IFERROR(INDEX('Market Size'!$L$5:$L$34,MATCH($A221,'Market Size'!$A$5:$A$34,0)),"n/a")</f>
        <v>2680430</v>
      </c>
      <c r="G221" s="108" t="str">
        <f>IFERROR(INDEX('Market Size'!$B$38:$K$67,MATCH($A221,'Market Size'!$A$38:$A$67,0),MATCH(""&amp;($B221-1),'Market Size'!$B$36:$K$36,0)),"n/a")</f>
        <v>n/a</v>
      </c>
      <c r="H221" s="108">
        <f>IFERROR(INDEX(Arena!$B$38:$K$67,MATCH($A221,Arena!$A$38:$A$67,0),MATCH(""&amp;$B221,Arena!$B$36:$K$36,0)),"n/a")</f>
        <v>2010</v>
      </c>
      <c r="I221" s="136" t="str">
        <f>IFERROR(INDEX(Arena!$B$71:$K$100,MATCH($A221,Arena!$A$71:$A$100,0),MATCH(""&amp;$B221,Arena!$B$69:$K$69,0)),"n/a")</f>
        <v>N</v>
      </c>
      <c r="J221" s="137">
        <f>IF(ISNUMBER($H221),($B221-1)-$H221,"n/a")</f>
        <v>12</v>
      </c>
      <c r="K221" s="108">
        <f>IF($B221=2017,IFERROR(INDEX('Team Performance'!$B$241:$B$270,MATCH($A221,'Team Performance'!$A$241:$A$270,0)),"n/a"),IFERROR(INDEX('Team Performance'!$B$6:$K$35,MATCH($A221,'Team Performance'!$A$6:$A$35,0),MATCH(($B221-2)&amp;"-"&amp;RIGHT($B221-1,2),'Team Performance'!$B$5:$K$5,0)),"n/a"))</f>
        <v>22</v>
      </c>
      <c r="L221" s="108">
        <f>IF($B221=2017,IFERROR(INDEX('Team Performance'!$C$241:$C$270,MATCH($A221,'Team Performance'!$A$241:$A$270,0)),"n/a"),IFERROR(INDEX('Team Performance'!$B$39:$K$68,MATCH($A221,'Team Performance'!$A$39:$A$68,0),MATCH(($B221-2)&amp;"-"&amp;RIGHT($B221-1,2),'Team Performance'!$B$38:$K$38,0)),"n/a"))</f>
        <v>60</v>
      </c>
      <c r="M221" s="109">
        <f t="shared" si="7"/>
        <v>0.26829268292682928</v>
      </c>
      <c r="N221" s="108">
        <f>IF($B221=2017,IFERROR(INDEX('Team Performance'!$E$241:$E$270,MATCH($A221,'Team Performance'!$A$241:$A$270,0)),"n/a"),IFERROR(INDEX('Team Performance'!$B$140:$K$169,MATCH($A221,'Team Performance'!$A$140:$A$169,0),MATCH(($B221-2)&amp;"-"&amp;RIGHT($B221-1,2),'Team Performance'!$B$139:$K$139,0)),"n/a"))</f>
        <v>0</v>
      </c>
      <c r="O221" s="110">
        <f>IF($B221=2017,IFERROR(INDEX('Salary Cap'!$B$143:$B$172,MATCH($A221,'Salary Cap'!$A$143:$A$172,0)),"n/a"),IFERROR(INDEX('Salary Cap'!$B$10:$K$39,MATCH($A221,'Salary Cap'!$A$10:$A$39,0),MATCH(""&amp;($B221-1),'Salary Cap'!$B$9:$K$9,0)),"n/a"))</f>
        <v>118063460</v>
      </c>
      <c r="P221" s="115">
        <f>IF($B221=2017,IFERROR(INDEX('Salary Cap'!$C$143:$C$172,MATCH($A221,'Salary Cap'!$A$143:$A$172,0)),"n/a"),IFERROR(INDEX('Salary Cap'!$B$109:$K$138,MATCH($A221,'Salary Cap'!$A$109:$A$138,0),MATCH(""&amp;($B221-1),'Salary Cap'!$B$108:$K$108,0)),"n/a"))</f>
        <v>0</v>
      </c>
      <c r="Q221" s="138">
        <f>IF(OR($B221=2021,$B221=2022),1,0)</f>
        <v>0</v>
      </c>
    </row>
    <row r="222" spans="1:17" x14ac:dyDescent="0.2">
      <c r="A222" s="113" t="str" cm="1">
        <f t="array" ref="A222">INDEX('NBA Valuations'!$A$5:$A$34,INT((ROW()-5)/10)+1)</f>
        <v>Orlando Magic</v>
      </c>
      <c r="B222" s="105">
        <f t="shared" si="6"/>
        <v>2024</v>
      </c>
      <c r="C222" s="106">
        <f>IFERROR(INDEX('NBA Valuations'!$B$5:$K$34,MATCH($A222,'NBA Valuations'!$A$5:$A$34,0),MATCH(""&amp;$B222,'NBA Valuations'!$B$3:$K$3,0)),"n/a")</f>
        <v>2950</v>
      </c>
      <c r="D222" s="106">
        <f>IFERROR(INDEX(Revenue!$B$5:$K$34,MATCH($A222,Revenue!$A$5:$A$34,0),MATCH(""&amp;$B222,Revenue!$B$3:$K$3,0)),"n/a")</f>
        <v>261</v>
      </c>
      <c r="E222" s="106">
        <f>IFERROR(INDEX('Operating Income'!$B$5:$K$34,MATCH($A222,'Operating Income'!$A$5:$A$34,0),MATCH(""&amp;$B222,'Operating Income'!$B$3:$K$3,0)),"n/a")</f>
        <v>66</v>
      </c>
      <c r="F222" s="107">
        <f>IFERROR(INDEX('Market Size'!$L$5:$L$34,MATCH($A222,'Market Size'!$A$5:$A$34,0)),"n/a")</f>
        <v>2680430</v>
      </c>
      <c r="G222" s="108" t="str">
        <f>IFERROR(INDEX('Market Size'!$B$38:$K$67,MATCH($A222,'Market Size'!$A$38:$A$67,0),MATCH(""&amp;($B222-1),'Market Size'!$B$36:$K$36,0)),"n/a")</f>
        <v>n/a</v>
      </c>
      <c r="H222" s="108">
        <f>IFERROR(INDEX(Arena!$B$38:$K$67,MATCH($A222,Arena!$A$38:$A$67,0),MATCH(""&amp;$B222,Arena!$B$36:$K$36,0)),"n/a")</f>
        <v>2010</v>
      </c>
      <c r="I222" s="136" t="str">
        <f>IFERROR(INDEX(Arena!$B$71:$K$100,MATCH($A222,Arena!$A$71:$A$100,0),MATCH(""&amp;$B222,Arena!$B$69:$K$69,0)),"n/a")</f>
        <v>N</v>
      </c>
      <c r="J222" s="137">
        <f>IF(ISNUMBER($H222),($B222-1)-$H222,"n/a")</f>
        <v>13</v>
      </c>
      <c r="K222" s="108">
        <f>IF($B222=2017,IFERROR(INDEX('Team Performance'!$B$241:$B$270,MATCH($A222,'Team Performance'!$A$241:$A$270,0)),"n/a"),IFERROR(INDEX('Team Performance'!$B$6:$K$35,MATCH($A222,'Team Performance'!$A$6:$A$35,0),MATCH(($B222-2)&amp;"-"&amp;RIGHT($B222-1,2),'Team Performance'!$B$5:$K$5,0)),"n/a"))</f>
        <v>34</v>
      </c>
      <c r="L222" s="108">
        <f>IF($B222=2017,IFERROR(INDEX('Team Performance'!$C$241:$C$270,MATCH($A222,'Team Performance'!$A$241:$A$270,0)),"n/a"),IFERROR(INDEX('Team Performance'!$B$39:$K$68,MATCH($A222,'Team Performance'!$A$39:$A$68,0),MATCH(($B222-2)&amp;"-"&amp;RIGHT($B222-1,2),'Team Performance'!$B$38:$K$38,0)),"n/a"))</f>
        <v>48</v>
      </c>
      <c r="M222" s="109">
        <f t="shared" si="7"/>
        <v>0.41463414634146339</v>
      </c>
      <c r="N222" s="108">
        <f>IF($B222=2017,IFERROR(INDEX('Team Performance'!$E$241:$E$270,MATCH($A222,'Team Performance'!$A$241:$A$270,0)),"n/a"),IFERROR(INDEX('Team Performance'!$B$140:$K$169,MATCH($A222,'Team Performance'!$A$140:$A$169,0),MATCH(($B222-2)&amp;"-"&amp;RIGHT($B222-1,2),'Team Performance'!$B$139:$K$139,0)),"n/a"))</f>
        <v>0</v>
      </c>
      <c r="O222" s="110">
        <f>IF($B222=2017,IFERROR(INDEX('Salary Cap'!$B$143:$B$172,MATCH($A222,'Salary Cap'!$A$143:$A$172,0)),"n/a"),IFERROR(INDEX('Salary Cap'!$B$10:$K$39,MATCH($A222,'Salary Cap'!$A$10:$A$39,0),MATCH(""&amp;($B222-1),'Salary Cap'!$B$9:$K$9,0)),"n/a"))</f>
        <v>124873438</v>
      </c>
      <c r="P222" s="115">
        <f>IF($B222=2017,IFERROR(INDEX('Salary Cap'!$C$143:$C$172,MATCH($A222,'Salary Cap'!$A$143:$A$172,0)),"n/a"),IFERROR(INDEX('Salary Cap'!$B$109:$K$138,MATCH($A222,'Salary Cap'!$A$109:$A$138,0),MATCH(""&amp;($B222-1),'Salary Cap'!$B$108:$K$108,0)),"n/a"))</f>
        <v>0</v>
      </c>
      <c r="Q222" s="138">
        <f>IF(OR($B222=2021,$B222=2022),1,0)</f>
        <v>0</v>
      </c>
    </row>
    <row r="223" spans="1:17" x14ac:dyDescent="0.2">
      <c r="A223" s="113" t="str" cm="1">
        <f t="array" ref="A223">INDEX('NBA Valuations'!$A$5:$A$34,INT((ROW()-5)/10)+1)</f>
        <v>Orlando Magic</v>
      </c>
      <c r="B223" s="105">
        <f t="shared" si="6"/>
        <v>2025</v>
      </c>
      <c r="C223" s="106">
        <f>IFERROR(INDEX('NBA Valuations'!$B$5:$K$34,MATCH($A223,'NBA Valuations'!$A$5:$A$34,0),MATCH(""&amp;$B223,'NBA Valuations'!$B$3:$K$3,0)),"n/a")</f>
        <v>3200</v>
      </c>
      <c r="D223" s="106">
        <f>IFERROR(INDEX(Revenue!$B$5:$K$34,MATCH($A223,Revenue!$A$5:$A$34,0),MATCH(""&amp;$B223,Revenue!$B$3:$K$3,0)),"n/a")</f>
        <v>285</v>
      </c>
      <c r="E223" s="106">
        <f>IFERROR(INDEX('Operating Income'!$B$5:$K$34,MATCH($A223,'Operating Income'!$A$5:$A$34,0),MATCH(""&amp;$B223,'Operating Income'!$B$3:$K$3,0)),"n/a")</f>
        <v>82</v>
      </c>
      <c r="F223" s="107">
        <f>IFERROR(INDEX('Market Size'!$L$5:$L$34,MATCH($A223,'Market Size'!$A$5:$A$34,0)),"n/a")</f>
        <v>2680430</v>
      </c>
      <c r="G223" s="108">
        <f>IFERROR(INDEX('Market Size'!$B$38:$K$67,MATCH($A223,'Market Size'!$A$38:$A$67,0),MATCH(""&amp;($B223-1),'Market Size'!$B$36:$K$36,0)),"n/a")</f>
        <v>17</v>
      </c>
      <c r="H223" s="108">
        <f>IFERROR(INDEX(Arena!$B$38:$K$67,MATCH($A223,Arena!$A$38:$A$67,0),MATCH(""&amp;$B223,Arena!$B$36:$K$36,0)),"n/a")</f>
        <v>2010</v>
      </c>
      <c r="I223" s="136" t="str">
        <f>IFERROR(INDEX(Arena!$B$71:$K$100,MATCH($A223,Arena!$A$71:$A$100,0),MATCH(""&amp;$B223,Arena!$B$69:$K$69,0)),"n/a")</f>
        <v>N</v>
      </c>
      <c r="J223" s="137">
        <f>IF(ISNUMBER($H223),($B223-1)-$H223,"n/a")</f>
        <v>14</v>
      </c>
      <c r="K223" s="108">
        <f>IF($B223=2017,IFERROR(INDEX('Team Performance'!$B$241:$B$270,MATCH($A223,'Team Performance'!$A$241:$A$270,0)),"n/a"),IFERROR(INDEX('Team Performance'!$B$6:$K$35,MATCH($A223,'Team Performance'!$A$6:$A$35,0),MATCH(($B223-2)&amp;"-"&amp;RIGHT($B223-1,2),'Team Performance'!$B$5:$K$5,0)),"n/a"))</f>
        <v>47</v>
      </c>
      <c r="L223" s="108">
        <f>IF($B223=2017,IFERROR(INDEX('Team Performance'!$C$241:$C$270,MATCH($A223,'Team Performance'!$A$241:$A$270,0)),"n/a"),IFERROR(INDEX('Team Performance'!$B$39:$K$68,MATCH($A223,'Team Performance'!$A$39:$A$68,0),MATCH(($B223-2)&amp;"-"&amp;RIGHT($B223-1,2),'Team Performance'!$B$38:$K$38,0)),"n/a"))</f>
        <v>35</v>
      </c>
      <c r="M223" s="109">
        <f t="shared" si="7"/>
        <v>0.57317073170731703</v>
      </c>
      <c r="N223" s="108">
        <f>IF($B223=2017,IFERROR(INDEX('Team Performance'!$E$241:$E$270,MATCH($A223,'Team Performance'!$A$241:$A$270,0)),"n/a"),IFERROR(INDEX('Team Performance'!$B$140:$K$169,MATCH($A223,'Team Performance'!$A$140:$A$169,0),MATCH(($B223-2)&amp;"-"&amp;RIGHT($B223-1,2),'Team Performance'!$B$139:$K$139,0)),"n/a"))</f>
        <v>1</v>
      </c>
      <c r="O223" s="110">
        <f>IF($B223=2017,IFERROR(INDEX('Salary Cap'!$B$143:$B$172,MATCH($A223,'Salary Cap'!$A$143:$A$172,0)),"n/a"),IFERROR(INDEX('Salary Cap'!$B$10:$K$39,MATCH($A223,'Salary Cap'!$A$10:$A$39,0),MATCH(""&amp;($B223-1),'Salary Cap'!$B$9:$K$9,0)),"n/a"))</f>
        <v>130964229</v>
      </c>
      <c r="P223" s="115">
        <f>IF($B223=2017,IFERROR(INDEX('Salary Cap'!$C$143:$C$172,MATCH($A223,'Salary Cap'!$A$143:$A$172,0)),"n/a"),IFERROR(INDEX('Salary Cap'!$B$109:$K$138,MATCH($A223,'Salary Cap'!$A$109:$A$138,0),MATCH(""&amp;($B223-1),'Salary Cap'!$B$108:$K$108,0)),"n/a"))</f>
        <v>0</v>
      </c>
      <c r="Q223" s="138">
        <f>IF(OR($B223=2021,$B223=2022),1,0)</f>
        <v>0</v>
      </c>
    </row>
    <row r="224" spans="1:17" x14ac:dyDescent="0.2">
      <c r="A224" s="113" t="str" cm="1">
        <f t="array" ref="A224">INDEX('NBA Valuations'!$A$5:$A$34,INT((ROW()-5)/10)+1)</f>
        <v>Orlando Magic</v>
      </c>
      <c r="B224" s="105">
        <f t="shared" si="6"/>
        <v>2026</v>
      </c>
      <c r="C224" s="106">
        <f>IFERROR(INDEX('NBA Valuations'!$B$5:$K$34,MATCH($A224,'NBA Valuations'!$A$5:$A$34,0),MATCH(""&amp;$B224,'NBA Valuations'!$B$3:$K$3,0)),"n/a")</f>
        <v>3900</v>
      </c>
      <c r="D224" s="106">
        <f>IFERROR(INDEX(Revenue!$B$5:$K$34,MATCH($A224,Revenue!$A$5:$A$34,0),MATCH(""&amp;$B224,Revenue!$B$3:$K$3,0)),"n/a")</f>
        <v>318</v>
      </c>
      <c r="E224" s="106">
        <f>IFERROR(INDEX('Operating Income'!$B$5:$K$34,MATCH($A224,'Operating Income'!$A$5:$A$34,0),MATCH(""&amp;$B224,'Operating Income'!$B$3:$K$3,0)),"n/a")</f>
        <v>94</v>
      </c>
      <c r="F224" s="107">
        <f>IFERROR(INDEX('Market Size'!$L$5:$L$34,MATCH($A224,'Market Size'!$A$5:$A$34,0)),"n/a")</f>
        <v>2680430</v>
      </c>
      <c r="G224" s="108">
        <f>IFERROR(INDEX('Market Size'!$B$38:$K$67,MATCH($A224,'Market Size'!$A$38:$A$67,0),MATCH(""&amp;($B224-1),'Market Size'!$B$36:$K$36,0)),"n/a")</f>
        <v>15</v>
      </c>
      <c r="H224" s="108">
        <f>IFERROR(INDEX(Arena!$B$38:$K$67,MATCH($A224,Arena!$A$38:$A$67,0),MATCH(""&amp;$B224,Arena!$B$36:$K$36,0)),"n/a")</f>
        <v>2010</v>
      </c>
      <c r="I224" s="136" t="str">
        <f>IFERROR(INDEX(Arena!$B$71:$K$100,MATCH($A224,Arena!$A$71:$A$100,0),MATCH(""&amp;$B224,Arena!$B$69:$K$69,0)),"n/a")</f>
        <v>N</v>
      </c>
      <c r="J224" s="137">
        <f>IF(ISNUMBER($H224),($B224-1)-$H224,"n/a")</f>
        <v>15</v>
      </c>
      <c r="K224" s="108">
        <f>IF($B224=2017,IFERROR(INDEX('Team Performance'!$B$241:$B$270,MATCH($A224,'Team Performance'!$A$241:$A$270,0)),"n/a"),IFERROR(INDEX('Team Performance'!$B$6:$K$35,MATCH($A224,'Team Performance'!$A$6:$A$35,0),MATCH(($B224-2)&amp;"-"&amp;RIGHT($B224-1,2),'Team Performance'!$B$5:$K$5,0)),"n/a"))</f>
        <v>41</v>
      </c>
      <c r="L224" s="108">
        <f>IF($B224=2017,IFERROR(INDEX('Team Performance'!$C$241:$C$270,MATCH($A224,'Team Performance'!$A$241:$A$270,0)),"n/a"),IFERROR(INDEX('Team Performance'!$B$39:$K$68,MATCH($A224,'Team Performance'!$A$39:$A$68,0),MATCH(($B224-2)&amp;"-"&amp;RIGHT($B224-1,2),'Team Performance'!$B$38:$K$38,0)),"n/a"))</f>
        <v>41</v>
      </c>
      <c r="M224" s="109">
        <f t="shared" si="7"/>
        <v>0.5</v>
      </c>
      <c r="N224" s="108">
        <f>IF($B224=2017,IFERROR(INDEX('Team Performance'!$E$241:$E$270,MATCH($A224,'Team Performance'!$A$241:$A$270,0)),"n/a"),IFERROR(INDEX('Team Performance'!$B$140:$K$169,MATCH($A224,'Team Performance'!$A$140:$A$169,0),MATCH(($B224-2)&amp;"-"&amp;RIGHT($B224-1,2),'Team Performance'!$B$139:$K$139,0)),"n/a"))</f>
        <v>1</v>
      </c>
      <c r="O224" s="110">
        <f>IF($B224=2017,IFERROR(INDEX('Salary Cap'!$B$143:$B$172,MATCH($A224,'Salary Cap'!$A$143:$A$172,0)),"n/a"),IFERROR(INDEX('Salary Cap'!$B$10:$K$39,MATCH($A224,'Salary Cap'!$A$10:$A$39,0),MATCH(""&amp;($B224-1),'Salary Cap'!$B$9:$K$9,0)),"n/a"))</f>
        <v>152959238</v>
      </c>
      <c r="P224" s="115">
        <f>IF($B224=2017,IFERROR(INDEX('Salary Cap'!$C$143:$C$172,MATCH($A224,'Salary Cap'!$A$143:$A$172,0)),"n/a"),IFERROR(INDEX('Salary Cap'!$B$109:$K$138,MATCH($A224,'Salary Cap'!$A$109:$A$138,0),MATCH(""&amp;($B224-1),'Salary Cap'!$B$108:$K$108,0)),"n/a"))</f>
        <v>0</v>
      </c>
      <c r="Q224" s="138">
        <f>IF(OR($B224=2021,$B224=2022),1,0)</f>
        <v>0</v>
      </c>
    </row>
    <row r="225" spans="1:17" x14ac:dyDescent="0.2">
      <c r="A225" s="113" t="str" cm="1">
        <f t="array" ref="A225">INDEX('NBA Valuations'!$A$5:$A$34,INT((ROW()-5)/10)+1)</f>
        <v>Philadelphia 76ers</v>
      </c>
      <c r="B225" s="105">
        <f t="shared" si="6"/>
        <v>2017</v>
      </c>
      <c r="C225" s="106">
        <f>IFERROR(INDEX('NBA Valuations'!$B$5:$K$34,MATCH($A225,'NBA Valuations'!$A$5:$A$34,0),MATCH(""&amp;$B225,'NBA Valuations'!$B$3:$K$3,0)),"n/a")</f>
        <v>800</v>
      </c>
      <c r="D225" s="106">
        <f>IFERROR(INDEX(Revenue!$B$5:$K$34,MATCH($A225,Revenue!$A$5:$A$34,0),MATCH(""&amp;$B225,Revenue!$B$3:$K$3,0)),"n/a")</f>
        <v>140</v>
      </c>
      <c r="E225" s="106">
        <f>IFERROR(INDEX('Operating Income'!$B$5:$K$34,MATCH($A225,'Operating Income'!$A$5:$A$34,0),MATCH(""&amp;$B225,'Operating Income'!$B$3:$K$3,0)),"n/a")</f>
        <v>18.2</v>
      </c>
      <c r="F225" s="107">
        <f>IFERROR(INDEX('Market Size'!$L$5:$L$34,MATCH($A225,'Market Size'!$A$5:$A$34,0)),"n/a")</f>
        <v>6242164</v>
      </c>
      <c r="G225" s="108" t="str">
        <f>IFERROR(INDEX('Market Size'!$B$38:$K$67,MATCH($A225,'Market Size'!$A$38:$A$67,0),MATCH(""&amp;($B225-1),'Market Size'!$B$36:$K$36,0)),"n/a")</f>
        <v>n/a</v>
      </c>
      <c r="H225" s="108">
        <f>IFERROR(INDEX(Arena!$B$38:$K$67,MATCH($A225,Arena!$A$38:$A$67,0),MATCH(""&amp;$B225,Arena!$B$36:$K$36,0)),"n/a")</f>
        <v>1996</v>
      </c>
      <c r="I225" s="136" t="str">
        <f>IFERROR(INDEX(Arena!$B$71:$K$100,MATCH($A225,Arena!$A$71:$A$100,0),MATCH(""&amp;$B225,Arena!$B$69:$K$69,0)),"n/a")</f>
        <v>N</v>
      </c>
      <c r="J225" s="137">
        <f>IF(ISNUMBER($H225),($B225-1)-$H225,"n/a")</f>
        <v>20</v>
      </c>
      <c r="K225" s="108">
        <f>IF($B225=2017,IFERROR(INDEX('Team Performance'!$B$241:$B$270,MATCH($A225,'Team Performance'!$A$241:$A$270,0)),"n/a"),IFERROR(INDEX('Team Performance'!$B$6:$K$35,MATCH($A225,'Team Performance'!$A$6:$A$35,0),MATCH(($B225-2)&amp;"-"&amp;RIGHT($B225-1,2),'Team Performance'!$B$5:$K$5,0)),"n/a"))</f>
        <v>10</v>
      </c>
      <c r="L225" s="108">
        <f>IF($B225=2017,IFERROR(INDEX('Team Performance'!$C$241:$C$270,MATCH($A225,'Team Performance'!$A$241:$A$270,0)),"n/a"),IFERROR(INDEX('Team Performance'!$B$39:$K$68,MATCH($A225,'Team Performance'!$A$39:$A$68,0),MATCH(($B225-2)&amp;"-"&amp;RIGHT($B225-1,2),'Team Performance'!$B$38:$K$38,0)),"n/a"))</f>
        <v>72</v>
      </c>
      <c r="M225" s="109">
        <f t="shared" si="7"/>
        <v>0.12195121951219512</v>
      </c>
      <c r="N225" s="108">
        <f>IF($B225=2017,IFERROR(INDEX('Team Performance'!$E$241:$E$270,MATCH($A225,'Team Performance'!$A$241:$A$270,0)),"n/a"),IFERROR(INDEX('Team Performance'!$B$140:$K$169,MATCH($A225,'Team Performance'!$A$140:$A$169,0),MATCH(($B225-2)&amp;"-"&amp;RIGHT($B225-1,2),'Team Performance'!$B$139:$K$139,0)),"n/a"))</f>
        <v>0</v>
      </c>
      <c r="O225" s="110">
        <f>IF($B225=2017,IFERROR(INDEX('Salary Cap'!$B$143:$B$172,MATCH($A225,'Salary Cap'!$A$143:$A$172,0)),"n/a"),IFERROR(INDEX('Salary Cap'!$B$10:$K$39,MATCH($A225,'Salary Cap'!$A$10:$A$39,0),MATCH(""&amp;($B225-1),'Salary Cap'!$B$9:$K$9,0)),"n/a"))</f>
        <v>62424777</v>
      </c>
      <c r="P225" s="115">
        <f>IF($B225=2017,IFERROR(INDEX('Salary Cap'!$C$143:$C$172,MATCH($A225,'Salary Cap'!$A$143:$A$172,0)),"n/a"),IFERROR(INDEX('Salary Cap'!$B$109:$K$138,MATCH($A225,'Salary Cap'!$A$109:$A$138,0),MATCH(""&amp;($B225-1),'Salary Cap'!$B$108:$K$108,0)),"n/a"))</f>
        <v>0</v>
      </c>
      <c r="Q225" s="138">
        <f>IF(OR($B225=2021,$B225=2022),1,0)</f>
        <v>0</v>
      </c>
    </row>
    <row r="226" spans="1:17" x14ac:dyDescent="0.2">
      <c r="A226" s="113" t="str" cm="1">
        <f t="array" ref="A226">INDEX('NBA Valuations'!$A$5:$A$34,INT((ROW()-5)/10)+1)</f>
        <v>Philadelphia 76ers</v>
      </c>
      <c r="B226" s="105">
        <f t="shared" si="6"/>
        <v>2018</v>
      </c>
      <c r="C226" s="106">
        <f>IFERROR(INDEX('NBA Valuations'!$B$5:$K$34,MATCH($A226,'NBA Valuations'!$A$5:$A$34,0),MATCH(""&amp;$B226,'NBA Valuations'!$B$3:$K$3,0)),"n/a")</f>
        <v>1200</v>
      </c>
      <c r="D226" s="106">
        <f>IFERROR(INDEX(Revenue!$B$5:$K$34,MATCH($A226,Revenue!$A$5:$A$34,0),MATCH(""&amp;$B226,Revenue!$B$3:$K$3,0)),"n/a")</f>
        <v>184</v>
      </c>
      <c r="E226" s="106">
        <f>IFERROR(INDEX('Operating Income'!$B$5:$K$34,MATCH($A226,'Operating Income'!$A$5:$A$34,0),MATCH(""&amp;$B226,'Operating Income'!$B$3:$K$3,0)),"n/a")</f>
        <v>40</v>
      </c>
      <c r="F226" s="107">
        <f>IFERROR(INDEX('Market Size'!$L$5:$L$34,MATCH($A226,'Market Size'!$A$5:$A$34,0)),"n/a")</f>
        <v>6242164</v>
      </c>
      <c r="G226" s="108" t="str">
        <f>IFERROR(INDEX('Market Size'!$B$38:$K$67,MATCH($A226,'Market Size'!$A$38:$A$67,0),MATCH(""&amp;($B226-1),'Market Size'!$B$36:$K$36,0)),"n/a")</f>
        <v>n/a</v>
      </c>
      <c r="H226" s="108">
        <f>IFERROR(INDEX(Arena!$B$38:$K$67,MATCH($A226,Arena!$A$38:$A$67,0),MATCH(""&amp;$B226,Arena!$B$36:$K$36,0)),"n/a")</f>
        <v>1996</v>
      </c>
      <c r="I226" s="136" t="str">
        <f>IFERROR(INDEX(Arena!$B$71:$K$100,MATCH($A226,Arena!$A$71:$A$100,0),MATCH(""&amp;$B226,Arena!$B$69:$K$69,0)),"n/a")</f>
        <v>N</v>
      </c>
      <c r="J226" s="137">
        <f>IF(ISNUMBER($H226),($B226-1)-$H226,"n/a")</f>
        <v>21</v>
      </c>
      <c r="K226" s="108">
        <f>IF($B226=2017,IFERROR(INDEX('Team Performance'!$B$241:$B$270,MATCH($A226,'Team Performance'!$A$241:$A$270,0)),"n/a"),IFERROR(INDEX('Team Performance'!$B$6:$K$35,MATCH($A226,'Team Performance'!$A$6:$A$35,0),MATCH(($B226-2)&amp;"-"&amp;RIGHT($B226-1,2),'Team Performance'!$B$5:$K$5,0)),"n/a"))</f>
        <v>28</v>
      </c>
      <c r="L226" s="108">
        <f>IF($B226=2017,IFERROR(INDEX('Team Performance'!$C$241:$C$270,MATCH($A226,'Team Performance'!$A$241:$A$270,0)),"n/a"),IFERROR(INDEX('Team Performance'!$B$39:$K$68,MATCH($A226,'Team Performance'!$A$39:$A$68,0),MATCH(($B226-2)&amp;"-"&amp;RIGHT($B226-1,2),'Team Performance'!$B$38:$K$38,0)),"n/a"))</f>
        <v>54</v>
      </c>
      <c r="M226" s="109">
        <f t="shared" si="7"/>
        <v>0.34146341463414637</v>
      </c>
      <c r="N226" s="108">
        <f>IF($B226=2017,IFERROR(INDEX('Team Performance'!$E$241:$E$270,MATCH($A226,'Team Performance'!$A$241:$A$270,0)),"n/a"),IFERROR(INDEX('Team Performance'!$B$140:$K$169,MATCH($A226,'Team Performance'!$A$140:$A$169,0),MATCH(($B226-2)&amp;"-"&amp;RIGHT($B226-1,2),'Team Performance'!$B$139:$K$139,0)),"n/a"))</f>
        <v>0</v>
      </c>
      <c r="O226" s="110">
        <f>IF($B226=2017,IFERROR(INDEX('Salary Cap'!$B$143:$B$172,MATCH($A226,'Salary Cap'!$A$143:$A$172,0)),"n/a"),IFERROR(INDEX('Salary Cap'!$B$10:$K$39,MATCH($A226,'Salary Cap'!$A$10:$A$39,0),MATCH(""&amp;($B226-1),'Salary Cap'!$B$9:$K$9,0)),"n/a"))</f>
        <v>85945765</v>
      </c>
      <c r="P226" s="115">
        <f>IF($B226=2017,IFERROR(INDEX('Salary Cap'!$C$143:$C$172,MATCH($A226,'Salary Cap'!$A$143:$A$172,0)),"n/a"),IFERROR(INDEX('Salary Cap'!$B$109:$K$138,MATCH($A226,'Salary Cap'!$A$109:$A$138,0),MATCH(""&amp;($B226-1),'Salary Cap'!$B$108:$K$108,0)),"n/a"))</f>
        <v>0</v>
      </c>
      <c r="Q226" s="138">
        <f>IF(OR($B226=2021,$B226=2022),1,0)</f>
        <v>0</v>
      </c>
    </row>
    <row r="227" spans="1:17" x14ac:dyDescent="0.2">
      <c r="A227" s="113" t="str" cm="1">
        <f t="array" ref="A227">INDEX('NBA Valuations'!$A$5:$A$34,INT((ROW()-5)/10)+1)</f>
        <v>Philadelphia 76ers</v>
      </c>
      <c r="B227" s="105">
        <f t="shared" si="6"/>
        <v>2019</v>
      </c>
      <c r="C227" s="106">
        <f>IFERROR(INDEX('NBA Valuations'!$B$5:$K$34,MATCH($A227,'NBA Valuations'!$A$5:$A$34,0),MATCH(""&amp;$B227,'NBA Valuations'!$B$3:$K$3,0)),"n/a")</f>
        <v>1700</v>
      </c>
      <c r="D227" s="106">
        <f>IFERROR(INDEX(Revenue!$B$5:$K$34,MATCH($A227,Revenue!$A$5:$A$34,0),MATCH(""&amp;$B227,Revenue!$B$3:$K$3,0)),"n/a")</f>
        <v>268</v>
      </c>
      <c r="E227" s="106">
        <f>IFERROR(INDEX('Operating Income'!$B$5:$K$34,MATCH($A227,'Operating Income'!$A$5:$A$34,0),MATCH(""&amp;$B227,'Operating Income'!$B$3:$K$3,0)),"n/a")</f>
        <v>68</v>
      </c>
      <c r="F227" s="107">
        <f>IFERROR(INDEX('Market Size'!$L$5:$L$34,MATCH($A227,'Market Size'!$A$5:$A$34,0)),"n/a")</f>
        <v>6242164</v>
      </c>
      <c r="G227" s="108" t="str">
        <f>IFERROR(INDEX('Market Size'!$B$38:$K$67,MATCH($A227,'Market Size'!$A$38:$A$67,0),MATCH(""&amp;($B227-1),'Market Size'!$B$36:$K$36,0)),"n/a")</f>
        <v>n/a</v>
      </c>
      <c r="H227" s="108">
        <f>IFERROR(INDEX(Arena!$B$38:$K$67,MATCH($A227,Arena!$A$38:$A$67,0),MATCH(""&amp;$B227,Arena!$B$36:$K$36,0)),"n/a")</f>
        <v>1996</v>
      </c>
      <c r="I227" s="136" t="str">
        <f>IFERROR(INDEX(Arena!$B$71:$K$100,MATCH($A227,Arena!$A$71:$A$100,0),MATCH(""&amp;$B227,Arena!$B$69:$K$69,0)),"n/a")</f>
        <v>N</v>
      </c>
      <c r="J227" s="137">
        <f>IF(ISNUMBER($H227),($B227-1)-$H227,"n/a")</f>
        <v>22</v>
      </c>
      <c r="K227" s="108">
        <f>IF($B227=2017,IFERROR(INDEX('Team Performance'!$B$241:$B$270,MATCH($A227,'Team Performance'!$A$241:$A$270,0)),"n/a"),IFERROR(INDEX('Team Performance'!$B$6:$K$35,MATCH($A227,'Team Performance'!$A$6:$A$35,0),MATCH(($B227-2)&amp;"-"&amp;RIGHT($B227-1,2),'Team Performance'!$B$5:$K$5,0)),"n/a"))</f>
        <v>52</v>
      </c>
      <c r="L227" s="108">
        <f>IF($B227=2017,IFERROR(INDEX('Team Performance'!$C$241:$C$270,MATCH($A227,'Team Performance'!$A$241:$A$270,0)),"n/a"),IFERROR(INDEX('Team Performance'!$B$39:$K$68,MATCH($A227,'Team Performance'!$A$39:$A$68,0),MATCH(($B227-2)&amp;"-"&amp;RIGHT($B227-1,2),'Team Performance'!$B$38:$K$38,0)),"n/a"))</f>
        <v>30</v>
      </c>
      <c r="M227" s="109">
        <f t="shared" si="7"/>
        <v>0.63414634146341464</v>
      </c>
      <c r="N227" s="108">
        <f>IF($B227=2017,IFERROR(INDEX('Team Performance'!$E$241:$E$270,MATCH($A227,'Team Performance'!$A$241:$A$270,0)),"n/a"),IFERROR(INDEX('Team Performance'!$B$140:$K$169,MATCH($A227,'Team Performance'!$A$140:$A$169,0),MATCH(($B227-2)&amp;"-"&amp;RIGHT($B227-1,2),'Team Performance'!$B$139:$K$139,0)),"n/a"))</f>
        <v>2</v>
      </c>
      <c r="O227" s="110">
        <f>IF($B227=2017,IFERROR(INDEX('Salary Cap'!$B$143:$B$172,MATCH($A227,'Salary Cap'!$A$143:$A$172,0)),"n/a"),IFERROR(INDEX('Salary Cap'!$B$10:$K$39,MATCH($A227,'Salary Cap'!$A$10:$A$39,0),MATCH(""&amp;($B227-1),'Salary Cap'!$B$9:$K$9,0)),"n/a"))</f>
        <v>100020936</v>
      </c>
      <c r="P227" s="115">
        <f>IF($B227=2017,IFERROR(INDEX('Salary Cap'!$C$143:$C$172,MATCH($A227,'Salary Cap'!$A$143:$A$172,0)),"n/a"),IFERROR(INDEX('Salary Cap'!$B$109:$K$138,MATCH($A227,'Salary Cap'!$A$109:$A$138,0),MATCH(""&amp;($B227-1),'Salary Cap'!$B$108:$K$108,0)),"n/a"))</f>
        <v>0</v>
      </c>
      <c r="Q227" s="138">
        <f>IF(OR($B227=2021,$B227=2022),1,0)</f>
        <v>0</v>
      </c>
    </row>
    <row r="228" spans="1:17" x14ac:dyDescent="0.2">
      <c r="A228" s="113" t="str" cm="1">
        <f t="array" ref="A228">INDEX('NBA Valuations'!$A$5:$A$34,INT((ROW()-5)/10)+1)</f>
        <v>Philadelphia 76ers</v>
      </c>
      <c r="B228" s="105">
        <f t="shared" si="6"/>
        <v>2020</v>
      </c>
      <c r="C228" s="106">
        <f>IFERROR(INDEX('NBA Valuations'!$B$5:$K$34,MATCH($A228,'NBA Valuations'!$A$5:$A$34,0),MATCH(""&amp;$B228,'NBA Valuations'!$B$3:$K$3,0)),"n/a")</f>
        <v>2000</v>
      </c>
      <c r="D228" s="106">
        <f>IFERROR(INDEX(Revenue!$B$5:$K$34,MATCH($A228,Revenue!$A$5:$A$34,0),MATCH(""&amp;$B228,Revenue!$B$3:$K$3,0)),"n/a")</f>
        <v>300</v>
      </c>
      <c r="E228" s="106">
        <f>IFERROR(INDEX('Operating Income'!$B$5:$K$34,MATCH($A228,'Operating Income'!$A$5:$A$34,0),MATCH(""&amp;$B228,'Operating Income'!$B$3:$K$3,0)),"n/a")</f>
        <v>90</v>
      </c>
      <c r="F228" s="107">
        <f>IFERROR(INDEX('Market Size'!$L$5:$L$34,MATCH($A228,'Market Size'!$A$5:$A$34,0)),"n/a")</f>
        <v>6242164</v>
      </c>
      <c r="G228" s="108" t="str">
        <f>IFERROR(INDEX('Market Size'!$B$38:$K$67,MATCH($A228,'Market Size'!$A$38:$A$67,0),MATCH(""&amp;($B228-1),'Market Size'!$B$36:$K$36,0)),"n/a")</f>
        <v>n/a</v>
      </c>
      <c r="H228" s="108">
        <f>IFERROR(INDEX(Arena!$B$38:$K$67,MATCH($A228,Arena!$A$38:$A$67,0),MATCH(""&amp;$B228,Arena!$B$36:$K$36,0)),"n/a")</f>
        <v>1996</v>
      </c>
      <c r="I228" s="136" t="str">
        <f>IFERROR(INDEX(Arena!$B$71:$K$100,MATCH($A228,Arena!$A$71:$A$100,0),MATCH(""&amp;$B228,Arena!$B$69:$K$69,0)),"n/a")</f>
        <v>N</v>
      </c>
      <c r="J228" s="137">
        <f>IF(ISNUMBER($H228),($B228-1)-$H228,"n/a")</f>
        <v>23</v>
      </c>
      <c r="K228" s="108">
        <f>IF($B228=2017,IFERROR(INDEX('Team Performance'!$B$241:$B$270,MATCH($A228,'Team Performance'!$A$241:$A$270,0)),"n/a"),IFERROR(INDEX('Team Performance'!$B$6:$K$35,MATCH($A228,'Team Performance'!$A$6:$A$35,0),MATCH(($B228-2)&amp;"-"&amp;RIGHT($B228-1,2),'Team Performance'!$B$5:$K$5,0)),"n/a"))</f>
        <v>51</v>
      </c>
      <c r="L228" s="108">
        <f>IF($B228=2017,IFERROR(INDEX('Team Performance'!$C$241:$C$270,MATCH($A228,'Team Performance'!$A$241:$A$270,0)),"n/a"),IFERROR(INDEX('Team Performance'!$B$39:$K$68,MATCH($A228,'Team Performance'!$A$39:$A$68,0),MATCH(($B228-2)&amp;"-"&amp;RIGHT($B228-1,2),'Team Performance'!$B$38:$K$38,0)),"n/a"))</f>
        <v>31</v>
      </c>
      <c r="M228" s="109">
        <f t="shared" si="7"/>
        <v>0.62195121951219512</v>
      </c>
      <c r="N228" s="108">
        <f>IF($B228=2017,IFERROR(INDEX('Team Performance'!$E$241:$E$270,MATCH($A228,'Team Performance'!$A$241:$A$270,0)),"n/a"),IFERROR(INDEX('Team Performance'!$B$140:$K$169,MATCH($A228,'Team Performance'!$A$140:$A$169,0),MATCH(($B228-2)&amp;"-"&amp;RIGHT($B228-1,2),'Team Performance'!$B$139:$K$139,0)),"n/a"))</f>
        <v>2</v>
      </c>
      <c r="O228" s="110">
        <f>IF($B228=2017,IFERROR(INDEX('Salary Cap'!$B$143:$B$172,MATCH($A228,'Salary Cap'!$A$143:$A$172,0)),"n/a"),IFERROR(INDEX('Salary Cap'!$B$10:$K$39,MATCH($A228,'Salary Cap'!$A$10:$A$39,0),MATCH(""&amp;($B228-1),'Salary Cap'!$B$9:$K$9,0)),"n/a"))</f>
        <v>111962081</v>
      </c>
      <c r="P228" s="115">
        <f>IF($B228=2017,IFERROR(INDEX('Salary Cap'!$C$143:$C$172,MATCH($A228,'Salary Cap'!$A$143:$A$172,0)),"n/a"),IFERROR(INDEX('Salary Cap'!$B$109:$K$138,MATCH($A228,'Salary Cap'!$A$109:$A$138,0),MATCH(""&amp;($B228-1),'Salary Cap'!$B$108:$K$108,0)),"n/a"))</f>
        <v>0</v>
      </c>
      <c r="Q228" s="138">
        <f>IF(OR($B228=2021,$B228=2022),1,0)</f>
        <v>0</v>
      </c>
    </row>
    <row r="229" spans="1:17" x14ac:dyDescent="0.2">
      <c r="A229" s="113" t="str" cm="1">
        <f t="array" ref="A229">INDEX('NBA Valuations'!$A$5:$A$34,INT((ROW()-5)/10)+1)</f>
        <v>Philadelphia 76ers</v>
      </c>
      <c r="B229" s="105">
        <f t="shared" si="6"/>
        <v>2021</v>
      </c>
      <c r="C229" s="106">
        <f>IFERROR(INDEX('NBA Valuations'!$B$5:$K$34,MATCH($A229,'NBA Valuations'!$A$5:$A$34,0),MATCH(""&amp;$B229,'NBA Valuations'!$B$3:$K$3,0)),"n/a")</f>
        <v>2075</v>
      </c>
      <c r="D229" s="106">
        <f>IFERROR(INDEX(Revenue!$B$5:$K$34,MATCH($A229,Revenue!$A$5:$A$34,0),MATCH(""&amp;$B229,Revenue!$B$3:$K$3,0)),"n/a")</f>
        <v>259</v>
      </c>
      <c r="E229" s="106">
        <f>IFERROR(INDEX('Operating Income'!$B$5:$K$34,MATCH($A229,'Operating Income'!$A$5:$A$34,0),MATCH(""&amp;$B229,'Operating Income'!$B$3:$K$3,0)),"n/a")</f>
        <v>51</v>
      </c>
      <c r="F229" s="107">
        <f>IFERROR(INDEX('Market Size'!$L$5:$L$34,MATCH($A229,'Market Size'!$A$5:$A$34,0)),"n/a")</f>
        <v>6242164</v>
      </c>
      <c r="G229" s="108" t="str">
        <f>IFERROR(INDEX('Market Size'!$B$38:$K$67,MATCH($A229,'Market Size'!$A$38:$A$67,0),MATCH(""&amp;($B229-1),'Market Size'!$B$36:$K$36,0)),"n/a")</f>
        <v>n/a</v>
      </c>
      <c r="H229" s="108">
        <f>IFERROR(INDEX(Arena!$B$38:$K$67,MATCH($A229,Arena!$A$38:$A$67,0),MATCH(""&amp;$B229,Arena!$B$36:$K$36,0)),"n/a")</f>
        <v>1996</v>
      </c>
      <c r="I229" s="136" t="str">
        <f>IFERROR(INDEX(Arena!$B$71:$K$100,MATCH($A229,Arena!$A$71:$A$100,0),MATCH(""&amp;$B229,Arena!$B$69:$K$69,0)),"n/a")</f>
        <v>N</v>
      </c>
      <c r="J229" s="137">
        <f>IF(ISNUMBER($H229),($B229-1)-$H229,"n/a")</f>
        <v>24</v>
      </c>
      <c r="K229" s="108">
        <f>IF($B229=2017,IFERROR(INDEX('Team Performance'!$B$241:$B$270,MATCH($A229,'Team Performance'!$A$241:$A$270,0)),"n/a"),IFERROR(INDEX('Team Performance'!$B$6:$K$35,MATCH($A229,'Team Performance'!$A$6:$A$35,0),MATCH(($B229-2)&amp;"-"&amp;RIGHT($B229-1,2),'Team Performance'!$B$5:$K$5,0)),"n/a"))</f>
        <v>43</v>
      </c>
      <c r="L229" s="108">
        <f>IF($B229=2017,IFERROR(INDEX('Team Performance'!$C$241:$C$270,MATCH($A229,'Team Performance'!$A$241:$A$270,0)),"n/a"),IFERROR(INDEX('Team Performance'!$B$39:$K$68,MATCH($A229,'Team Performance'!$A$39:$A$68,0),MATCH(($B229-2)&amp;"-"&amp;RIGHT($B229-1,2),'Team Performance'!$B$38:$K$38,0)),"n/a"))</f>
        <v>30</v>
      </c>
      <c r="M229" s="109">
        <f t="shared" si="7"/>
        <v>0.58904109589041098</v>
      </c>
      <c r="N229" s="108">
        <f>IF($B229=2017,IFERROR(INDEX('Team Performance'!$E$241:$E$270,MATCH($A229,'Team Performance'!$A$241:$A$270,0)),"n/a"),IFERROR(INDEX('Team Performance'!$B$140:$K$169,MATCH($A229,'Team Performance'!$A$140:$A$169,0),MATCH(($B229-2)&amp;"-"&amp;RIGHT($B229-1,2),'Team Performance'!$B$139:$K$139,0)),"n/a"))</f>
        <v>1</v>
      </c>
      <c r="O229" s="110">
        <f>IF($B229=2017,IFERROR(INDEX('Salary Cap'!$B$143:$B$172,MATCH($A229,'Salary Cap'!$A$143:$A$172,0)),"n/a"),IFERROR(INDEX('Salary Cap'!$B$10:$K$39,MATCH($A229,'Salary Cap'!$A$10:$A$39,0),MATCH(""&amp;($B229-1),'Salary Cap'!$B$9:$K$9,0)),"n/a"))</f>
        <v>129913129</v>
      </c>
      <c r="P229" s="115">
        <f>IF($B229=2017,IFERROR(INDEX('Salary Cap'!$C$143:$C$172,MATCH($A229,'Salary Cap'!$A$143:$A$172,0)),"n/a"),IFERROR(INDEX('Salary Cap'!$B$109:$K$138,MATCH($A229,'Salary Cap'!$A$109:$A$138,0),MATCH(""&amp;($B229-1),'Salary Cap'!$B$108:$K$108,0)),"n/a"))</f>
        <v>0</v>
      </c>
      <c r="Q229" s="138">
        <f>IF(OR($B229=2021,$B229=2022),1,0)</f>
        <v>1</v>
      </c>
    </row>
    <row r="230" spans="1:17" x14ac:dyDescent="0.2">
      <c r="A230" s="113" t="str" cm="1">
        <f t="array" ref="A230">INDEX('NBA Valuations'!$A$5:$A$34,INT((ROW()-5)/10)+1)</f>
        <v>Philadelphia 76ers</v>
      </c>
      <c r="B230" s="105">
        <f t="shared" si="6"/>
        <v>2022</v>
      </c>
      <c r="C230" s="106">
        <f>IFERROR(INDEX('NBA Valuations'!$B$5:$K$34,MATCH($A230,'NBA Valuations'!$A$5:$A$34,0),MATCH(""&amp;$B230,'NBA Valuations'!$B$3:$K$3,0)),"n/a")</f>
        <v>2450</v>
      </c>
      <c r="D230" s="106">
        <f>IFERROR(INDEX(Revenue!$B$5:$K$34,MATCH($A230,Revenue!$A$5:$A$34,0),MATCH(""&amp;$B230,Revenue!$B$3:$K$3,0)),"n/a")</f>
        <v>236</v>
      </c>
      <c r="E230" s="106">
        <f>IFERROR(INDEX('Operating Income'!$B$5:$K$34,MATCH($A230,'Operating Income'!$A$5:$A$34,0),MATCH(""&amp;$B230,'Operating Income'!$B$3:$K$3,0)),"n/a")</f>
        <v>13</v>
      </c>
      <c r="F230" s="107">
        <f>IFERROR(INDEX('Market Size'!$L$5:$L$34,MATCH($A230,'Market Size'!$A$5:$A$34,0)),"n/a")</f>
        <v>6242164</v>
      </c>
      <c r="G230" s="108" t="str">
        <f>IFERROR(INDEX('Market Size'!$B$38:$K$67,MATCH($A230,'Market Size'!$A$38:$A$67,0),MATCH(""&amp;($B230-1),'Market Size'!$B$36:$K$36,0)),"n/a")</f>
        <v>n/a</v>
      </c>
      <c r="H230" s="108">
        <f>IFERROR(INDEX(Arena!$B$38:$K$67,MATCH($A230,Arena!$A$38:$A$67,0),MATCH(""&amp;$B230,Arena!$B$36:$K$36,0)),"n/a")</f>
        <v>1996</v>
      </c>
      <c r="I230" s="136" t="str">
        <f>IFERROR(INDEX(Arena!$B$71:$K$100,MATCH($A230,Arena!$A$71:$A$100,0),MATCH(""&amp;$B230,Arena!$B$69:$K$69,0)),"n/a")</f>
        <v>N</v>
      </c>
      <c r="J230" s="137">
        <f>IF(ISNUMBER($H230),($B230-1)-$H230,"n/a")</f>
        <v>25</v>
      </c>
      <c r="K230" s="108">
        <f>IF($B230=2017,IFERROR(INDEX('Team Performance'!$B$241:$B$270,MATCH($A230,'Team Performance'!$A$241:$A$270,0)),"n/a"),IFERROR(INDEX('Team Performance'!$B$6:$K$35,MATCH($A230,'Team Performance'!$A$6:$A$35,0),MATCH(($B230-2)&amp;"-"&amp;RIGHT($B230-1,2),'Team Performance'!$B$5:$K$5,0)),"n/a"))</f>
        <v>49</v>
      </c>
      <c r="L230" s="108">
        <f>IF($B230=2017,IFERROR(INDEX('Team Performance'!$C$241:$C$270,MATCH($A230,'Team Performance'!$A$241:$A$270,0)),"n/a"),IFERROR(INDEX('Team Performance'!$B$39:$K$68,MATCH($A230,'Team Performance'!$A$39:$A$68,0),MATCH(($B230-2)&amp;"-"&amp;RIGHT($B230-1,2),'Team Performance'!$B$38:$K$38,0)),"n/a"))</f>
        <v>23</v>
      </c>
      <c r="M230" s="109">
        <f t="shared" si="7"/>
        <v>0.68055555555555558</v>
      </c>
      <c r="N230" s="108">
        <f>IF($B230=2017,IFERROR(INDEX('Team Performance'!$E$241:$E$270,MATCH($A230,'Team Performance'!$A$241:$A$270,0)),"n/a"),IFERROR(INDEX('Team Performance'!$B$140:$K$169,MATCH($A230,'Team Performance'!$A$140:$A$169,0),MATCH(($B230-2)&amp;"-"&amp;RIGHT($B230-1,2),'Team Performance'!$B$139:$K$139,0)),"n/a"))</f>
        <v>2</v>
      </c>
      <c r="O230" s="110">
        <f>IF($B230=2017,IFERROR(INDEX('Salary Cap'!$B$143:$B$172,MATCH($A230,'Salary Cap'!$A$143:$A$172,0)),"n/a"),IFERROR(INDEX('Salary Cap'!$B$10:$K$39,MATCH($A230,'Salary Cap'!$A$10:$A$39,0),MATCH(""&amp;($B230-1),'Salary Cap'!$B$9:$K$9,0)),"n/a"))</f>
        <v>146158461</v>
      </c>
      <c r="P230" s="115">
        <f>IF($B230=2017,IFERROR(INDEX('Salary Cap'!$C$143:$C$172,MATCH($A230,'Salary Cap'!$A$143:$A$172,0)),"n/a"),IFERROR(INDEX('Salary Cap'!$B$109:$K$138,MATCH($A230,'Salary Cap'!$A$109:$A$138,0),MATCH(""&amp;($B230-1),'Salary Cap'!$B$108:$K$108,0)),"n/a"))</f>
        <v>15600000</v>
      </c>
      <c r="Q230" s="138">
        <f>IF(OR($B230=2021,$B230=2022),1,0)</f>
        <v>1</v>
      </c>
    </row>
    <row r="231" spans="1:17" x14ac:dyDescent="0.2">
      <c r="A231" s="113" t="str" cm="1">
        <f t="array" ref="A231">INDEX('NBA Valuations'!$A$5:$A$34,INT((ROW()-5)/10)+1)</f>
        <v>Philadelphia 76ers</v>
      </c>
      <c r="B231" s="105">
        <f t="shared" si="6"/>
        <v>2023</v>
      </c>
      <c r="C231" s="106">
        <f>IFERROR(INDEX('NBA Valuations'!$B$5:$K$34,MATCH($A231,'NBA Valuations'!$A$5:$A$34,0),MATCH(""&amp;$B231,'NBA Valuations'!$B$3:$K$3,0)),"n/a")</f>
        <v>3150</v>
      </c>
      <c r="D231" s="106">
        <f>IFERROR(INDEX(Revenue!$B$5:$K$34,MATCH($A231,Revenue!$A$5:$A$34,0),MATCH(""&amp;$B231,Revenue!$B$3:$K$3,0)),"n/a")</f>
        <v>345</v>
      </c>
      <c r="E231" s="106">
        <f>IFERROR(INDEX('Operating Income'!$B$5:$K$34,MATCH($A231,'Operating Income'!$A$5:$A$34,0),MATCH(""&amp;$B231,'Operating Income'!$B$3:$K$3,0)),"n/a")</f>
        <v>87</v>
      </c>
      <c r="F231" s="107">
        <f>IFERROR(INDEX('Market Size'!$L$5:$L$34,MATCH($A231,'Market Size'!$A$5:$A$34,0)),"n/a")</f>
        <v>6242164</v>
      </c>
      <c r="G231" s="108" t="str">
        <f>IFERROR(INDEX('Market Size'!$B$38:$K$67,MATCH($A231,'Market Size'!$A$38:$A$67,0),MATCH(""&amp;($B231-1),'Market Size'!$B$36:$K$36,0)),"n/a")</f>
        <v>n/a</v>
      </c>
      <c r="H231" s="108">
        <f>IFERROR(INDEX(Arena!$B$38:$K$67,MATCH($A231,Arena!$A$38:$A$67,0),MATCH(""&amp;$B231,Arena!$B$36:$K$36,0)),"n/a")</f>
        <v>1996</v>
      </c>
      <c r="I231" s="136" t="str">
        <f>IFERROR(INDEX(Arena!$B$71:$K$100,MATCH($A231,Arena!$A$71:$A$100,0),MATCH(""&amp;$B231,Arena!$B$69:$K$69,0)),"n/a")</f>
        <v>N</v>
      </c>
      <c r="J231" s="137">
        <f>IF(ISNUMBER($H231),($B231-1)-$H231,"n/a")</f>
        <v>26</v>
      </c>
      <c r="K231" s="108">
        <f>IF($B231=2017,IFERROR(INDEX('Team Performance'!$B$241:$B$270,MATCH($A231,'Team Performance'!$A$241:$A$270,0)),"n/a"),IFERROR(INDEX('Team Performance'!$B$6:$K$35,MATCH($A231,'Team Performance'!$A$6:$A$35,0),MATCH(($B231-2)&amp;"-"&amp;RIGHT($B231-1,2),'Team Performance'!$B$5:$K$5,0)),"n/a"))</f>
        <v>51</v>
      </c>
      <c r="L231" s="108">
        <f>IF($B231=2017,IFERROR(INDEX('Team Performance'!$C$241:$C$270,MATCH($A231,'Team Performance'!$A$241:$A$270,0)),"n/a"),IFERROR(INDEX('Team Performance'!$B$39:$K$68,MATCH($A231,'Team Performance'!$A$39:$A$68,0),MATCH(($B231-2)&amp;"-"&amp;RIGHT($B231-1,2),'Team Performance'!$B$38:$K$38,0)),"n/a"))</f>
        <v>31</v>
      </c>
      <c r="M231" s="109">
        <f t="shared" si="7"/>
        <v>0.62195121951219512</v>
      </c>
      <c r="N231" s="108">
        <f>IF($B231=2017,IFERROR(INDEX('Team Performance'!$E$241:$E$270,MATCH($A231,'Team Performance'!$A$241:$A$270,0)),"n/a"),IFERROR(INDEX('Team Performance'!$B$140:$K$169,MATCH($A231,'Team Performance'!$A$140:$A$169,0),MATCH(($B231-2)&amp;"-"&amp;RIGHT($B231-1,2),'Team Performance'!$B$139:$K$139,0)),"n/a"))</f>
        <v>2</v>
      </c>
      <c r="O231" s="110">
        <f>IF($B231=2017,IFERROR(INDEX('Salary Cap'!$B$143:$B$172,MATCH($A231,'Salary Cap'!$A$143:$A$172,0)),"n/a"),IFERROR(INDEX('Salary Cap'!$B$10:$K$39,MATCH($A231,'Salary Cap'!$A$10:$A$39,0),MATCH(""&amp;($B231-1),'Salary Cap'!$B$9:$K$9,0)),"n/a"))</f>
        <v>145249786</v>
      </c>
      <c r="P231" s="115">
        <f>IF($B231=2017,IFERROR(INDEX('Salary Cap'!$C$143:$C$172,MATCH($A231,'Salary Cap'!$A$143:$A$172,0)),"n/a"),IFERROR(INDEX('Salary Cap'!$B$109:$K$138,MATCH($A231,'Salary Cap'!$A$109:$A$138,0),MATCH(""&amp;($B231-1),'Salary Cap'!$B$108:$K$108,0)),"n/a"))</f>
        <v>13876624</v>
      </c>
      <c r="Q231" s="138">
        <f>IF(OR($B231=2021,$B231=2022),1,0)</f>
        <v>0</v>
      </c>
    </row>
    <row r="232" spans="1:17" x14ac:dyDescent="0.2">
      <c r="A232" s="113" t="str" cm="1">
        <f t="array" ref="A232">INDEX('NBA Valuations'!$A$5:$A$34,INT((ROW()-5)/10)+1)</f>
        <v>Philadelphia 76ers</v>
      </c>
      <c r="B232" s="105">
        <f t="shared" si="6"/>
        <v>2024</v>
      </c>
      <c r="C232" s="106">
        <f>IFERROR(INDEX('NBA Valuations'!$B$5:$K$34,MATCH($A232,'NBA Valuations'!$A$5:$A$34,0),MATCH(""&amp;$B232,'NBA Valuations'!$B$3:$K$3,0)),"n/a")</f>
        <v>4300</v>
      </c>
      <c r="D232" s="106">
        <f>IFERROR(INDEX(Revenue!$B$5:$K$34,MATCH($A232,Revenue!$A$5:$A$34,0),MATCH(""&amp;$B232,Revenue!$B$3:$K$3,0)),"n/a")</f>
        <v>371</v>
      </c>
      <c r="E232" s="106">
        <f>IFERROR(INDEX('Operating Income'!$B$5:$K$34,MATCH($A232,'Operating Income'!$A$5:$A$34,0),MATCH(""&amp;$B232,'Operating Income'!$B$3:$K$3,0)),"n/a")</f>
        <v>120</v>
      </c>
      <c r="F232" s="107">
        <f>IFERROR(INDEX('Market Size'!$L$5:$L$34,MATCH($A232,'Market Size'!$A$5:$A$34,0)),"n/a")</f>
        <v>6242164</v>
      </c>
      <c r="G232" s="108" t="str">
        <f>IFERROR(INDEX('Market Size'!$B$38:$K$67,MATCH($A232,'Market Size'!$A$38:$A$67,0),MATCH(""&amp;($B232-1),'Market Size'!$B$36:$K$36,0)),"n/a")</f>
        <v>n/a</v>
      </c>
      <c r="H232" s="108">
        <f>IFERROR(INDEX(Arena!$B$38:$K$67,MATCH($A232,Arena!$A$38:$A$67,0),MATCH(""&amp;$B232,Arena!$B$36:$K$36,0)),"n/a")</f>
        <v>1996</v>
      </c>
      <c r="I232" s="136" t="str">
        <f>IFERROR(INDEX(Arena!$B$71:$K$100,MATCH($A232,Arena!$A$71:$A$100,0),MATCH(""&amp;$B232,Arena!$B$69:$K$69,0)),"n/a")</f>
        <v>N</v>
      </c>
      <c r="J232" s="137">
        <f>IF(ISNUMBER($H232),($B232-1)-$H232,"n/a")</f>
        <v>27</v>
      </c>
      <c r="K232" s="108">
        <f>IF($B232=2017,IFERROR(INDEX('Team Performance'!$B$241:$B$270,MATCH($A232,'Team Performance'!$A$241:$A$270,0)),"n/a"),IFERROR(INDEX('Team Performance'!$B$6:$K$35,MATCH($A232,'Team Performance'!$A$6:$A$35,0),MATCH(($B232-2)&amp;"-"&amp;RIGHT($B232-1,2),'Team Performance'!$B$5:$K$5,0)),"n/a"))</f>
        <v>54</v>
      </c>
      <c r="L232" s="108">
        <f>IF($B232=2017,IFERROR(INDEX('Team Performance'!$C$241:$C$270,MATCH($A232,'Team Performance'!$A$241:$A$270,0)),"n/a"),IFERROR(INDEX('Team Performance'!$B$39:$K$68,MATCH($A232,'Team Performance'!$A$39:$A$68,0),MATCH(($B232-2)&amp;"-"&amp;RIGHT($B232-1,2),'Team Performance'!$B$38:$K$38,0)),"n/a"))</f>
        <v>28</v>
      </c>
      <c r="M232" s="109">
        <f t="shared" si="7"/>
        <v>0.65853658536585369</v>
      </c>
      <c r="N232" s="108">
        <f>IF($B232=2017,IFERROR(INDEX('Team Performance'!$E$241:$E$270,MATCH($A232,'Team Performance'!$A$241:$A$270,0)),"n/a"),IFERROR(INDEX('Team Performance'!$B$140:$K$169,MATCH($A232,'Team Performance'!$A$140:$A$169,0),MATCH(($B232-2)&amp;"-"&amp;RIGHT($B232-1,2),'Team Performance'!$B$139:$K$139,0)),"n/a"))</f>
        <v>2</v>
      </c>
      <c r="O232" s="110">
        <f>IF($B232=2017,IFERROR(INDEX('Salary Cap'!$B$143:$B$172,MATCH($A232,'Salary Cap'!$A$143:$A$172,0)),"n/a"),IFERROR(INDEX('Salary Cap'!$B$10:$K$39,MATCH($A232,'Salary Cap'!$A$10:$A$39,0),MATCH(""&amp;($B232-1),'Salary Cap'!$B$9:$K$9,0)),"n/a"))</f>
        <v>149571525</v>
      </c>
      <c r="P232" s="115">
        <f>IF($B232=2017,IFERROR(INDEX('Salary Cap'!$C$143:$C$172,MATCH($A232,'Salary Cap'!$A$143:$A$172,0)),"n/a"),IFERROR(INDEX('Salary Cap'!$B$109:$K$138,MATCH($A232,'Salary Cap'!$A$109:$A$138,0),MATCH(""&amp;($B232-1),'Salary Cap'!$B$108:$K$108,0)),"n/a"))</f>
        <v>0</v>
      </c>
      <c r="Q232" s="138">
        <f>IF(OR($B232=2021,$B232=2022),1,0)</f>
        <v>0</v>
      </c>
    </row>
    <row r="233" spans="1:17" x14ac:dyDescent="0.2">
      <c r="A233" s="113" t="str" cm="1">
        <f t="array" ref="A233">INDEX('NBA Valuations'!$A$5:$A$34,INT((ROW()-5)/10)+1)</f>
        <v>Philadelphia 76ers</v>
      </c>
      <c r="B233" s="105">
        <f t="shared" si="6"/>
        <v>2025</v>
      </c>
      <c r="C233" s="106">
        <f>IFERROR(INDEX('NBA Valuations'!$B$5:$K$34,MATCH($A233,'NBA Valuations'!$A$5:$A$34,0),MATCH(""&amp;$B233,'NBA Valuations'!$B$3:$K$3,0)),"n/a")</f>
        <v>4600</v>
      </c>
      <c r="D233" s="106">
        <f>IFERROR(INDEX(Revenue!$B$5:$K$34,MATCH($A233,Revenue!$A$5:$A$34,0),MATCH(""&amp;$B233,Revenue!$B$3:$K$3,0)),"n/a")</f>
        <v>396</v>
      </c>
      <c r="E233" s="106">
        <f>IFERROR(INDEX('Operating Income'!$B$5:$K$34,MATCH($A233,'Operating Income'!$A$5:$A$34,0),MATCH(""&amp;$B233,'Operating Income'!$B$3:$K$3,0)),"n/a")</f>
        <v>120</v>
      </c>
      <c r="F233" s="107">
        <f>IFERROR(INDEX('Market Size'!$L$5:$L$34,MATCH($A233,'Market Size'!$A$5:$A$34,0)),"n/a")</f>
        <v>6242164</v>
      </c>
      <c r="G233" s="108">
        <f>IFERROR(INDEX('Market Size'!$B$38:$K$67,MATCH($A233,'Market Size'!$A$38:$A$67,0),MATCH(""&amp;($B233-1),'Market Size'!$B$36:$K$36,0)),"n/a")</f>
        <v>4</v>
      </c>
      <c r="H233" s="108">
        <f>IFERROR(INDEX(Arena!$B$38:$K$67,MATCH($A233,Arena!$A$38:$A$67,0),MATCH(""&amp;$B233,Arena!$B$36:$K$36,0)),"n/a")</f>
        <v>1996</v>
      </c>
      <c r="I233" s="136" t="str">
        <f>IFERROR(INDEX(Arena!$B$71:$K$100,MATCH($A233,Arena!$A$71:$A$100,0),MATCH(""&amp;$B233,Arena!$B$69:$K$69,0)),"n/a")</f>
        <v>N</v>
      </c>
      <c r="J233" s="137">
        <f>IF(ISNUMBER($H233),($B233-1)-$H233,"n/a")</f>
        <v>28</v>
      </c>
      <c r="K233" s="108">
        <f>IF($B233=2017,IFERROR(INDEX('Team Performance'!$B$241:$B$270,MATCH($A233,'Team Performance'!$A$241:$A$270,0)),"n/a"),IFERROR(INDEX('Team Performance'!$B$6:$K$35,MATCH($A233,'Team Performance'!$A$6:$A$35,0),MATCH(($B233-2)&amp;"-"&amp;RIGHT($B233-1,2),'Team Performance'!$B$5:$K$5,0)),"n/a"))</f>
        <v>47</v>
      </c>
      <c r="L233" s="108">
        <f>IF($B233=2017,IFERROR(INDEX('Team Performance'!$C$241:$C$270,MATCH($A233,'Team Performance'!$A$241:$A$270,0)),"n/a"),IFERROR(INDEX('Team Performance'!$B$39:$K$68,MATCH($A233,'Team Performance'!$A$39:$A$68,0),MATCH(($B233-2)&amp;"-"&amp;RIGHT($B233-1,2),'Team Performance'!$B$38:$K$38,0)),"n/a"))</f>
        <v>35</v>
      </c>
      <c r="M233" s="109">
        <f t="shared" si="7"/>
        <v>0.57317073170731703</v>
      </c>
      <c r="N233" s="108">
        <f>IF($B233=2017,IFERROR(INDEX('Team Performance'!$E$241:$E$270,MATCH($A233,'Team Performance'!$A$241:$A$270,0)),"n/a"),IFERROR(INDEX('Team Performance'!$B$140:$K$169,MATCH($A233,'Team Performance'!$A$140:$A$169,0),MATCH(($B233-2)&amp;"-"&amp;RIGHT($B233-1,2),'Team Performance'!$B$139:$K$139,0)),"n/a"))</f>
        <v>1</v>
      </c>
      <c r="O233" s="110">
        <f>IF($B233=2017,IFERROR(INDEX('Salary Cap'!$B$143:$B$172,MATCH($A233,'Salary Cap'!$A$143:$A$172,0)),"n/a"),IFERROR(INDEX('Salary Cap'!$B$10:$K$39,MATCH($A233,'Salary Cap'!$A$10:$A$39,0),MATCH(""&amp;($B233-1),'Salary Cap'!$B$9:$K$9,0)),"n/a"))</f>
        <v>164017084</v>
      </c>
      <c r="P233" s="115">
        <f>IF($B233=2017,IFERROR(INDEX('Salary Cap'!$C$143:$C$172,MATCH($A233,'Salary Cap'!$A$143:$A$172,0)),"n/a"),IFERROR(INDEX('Salary Cap'!$B$109:$K$138,MATCH($A233,'Salary Cap'!$A$109:$A$138,0),MATCH(""&amp;($B233-1),'Salary Cap'!$B$108:$K$108,0)),"n/a"))</f>
        <v>0</v>
      </c>
      <c r="Q233" s="138">
        <f>IF(OR($B233=2021,$B233=2022),1,0)</f>
        <v>0</v>
      </c>
    </row>
    <row r="234" spans="1:17" x14ac:dyDescent="0.2">
      <c r="A234" s="113" t="str" cm="1">
        <f t="array" ref="A234">INDEX('NBA Valuations'!$A$5:$A$34,INT((ROW()-5)/10)+1)</f>
        <v>Philadelphia 76ers</v>
      </c>
      <c r="B234" s="105">
        <f t="shared" si="6"/>
        <v>2026</v>
      </c>
      <c r="C234" s="106">
        <f>IFERROR(INDEX('NBA Valuations'!$B$5:$K$34,MATCH($A234,'NBA Valuations'!$A$5:$A$34,0),MATCH(""&amp;$B234,'NBA Valuations'!$B$3:$K$3,0)),"n/a")</f>
        <v>5450</v>
      </c>
      <c r="D234" s="106">
        <f>IFERROR(INDEX(Revenue!$B$5:$K$34,MATCH($A234,Revenue!$A$5:$A$34,0),MATCH(""&amp;$B234,Revenue!$B$3:$K$3,0)),"n/a")</f>
        <v>472</v>
      </c>
      <c r="E234" s="106">
        <f>IFERROR(INDEX('Operating Income'!$B$5:$K$34,MATCH($A234,'Operating Income'!$A$5:$A$34,0),MATCH(""&amp;$B234,'Operating Income'!$B$3:$K$3,0)),"n/a")</f>
        <v>203</v>
      </c>
      <c r="F234" s="107">
        <f>IFERROR(INDEX('Market Size'!$L$5:$L$34,MATCH($A234,'Market Size'!$A$5:$A$34,0)),"n/a")</f>
        <v>6242164</v>
      </c>
      <c r="G234" s="108">
        <f>IFERROR(INDEX('Market Size'!$B$38:$K$67,MATCH($A234,'Market Size'!$A$38:$A$67,0),MATCH(""&amp;($B234-1),'Market Size'!$B$36:$K$36,0)),"n/a")</f>
        <v>5</v>
      </c>
      <c r="H234" s="108">
        <f>IFERROR(INDEX(Arena!$B$38:$K$67,MATCH($A234,Arena!$A$38:$A$67,0),MATCH(""&amp;$B234,Arena!$B$36:$K$36,0)),"n/a")</f>
        <v>1996</v>
      </c>
      <c r="I234" s="136" t="str">
        <f>IFERROR(INDEX(Arena!$B$71:$K$100,MATCH($A234,Arena!$A$71:$A$100,0),MATCH(""&amp;$B234,Arena!$B$69:$K$69,0)),"n/a")</f>
        <v>N</v>
      </c>
      <c r="J234" s="137">
        <f>IF(ISNUMBER($H234),($B234-1)-$H234,"n/a")</f>
        <v>29</v>
      </c>
      <c r="K234" s="108">
        <f>IF($B234=2017,IFERROR(INDEX('Team Performance'!$B$241:$B$270,MATCH($A234,'Team Performance'!$A$241:$A$270,0)),"n/a"),IFERROR(INDEX('Team Performance'!$B$6:$K$35,MATCH($A234,'Team Performance'!$A$6:$A$35,0),MATCH(($B234-2)&amp;"-"&amp;RIGHT($B234-1,2),'Team Performance'!$B$5:$K$5,0)),"n/a"))</f>
        <v>24</v>
      </c>
      <c r="L234" s="108">
        <f>IF($B234=2017,IFERROR(INDEX('Team Performance'!$C$241:$C$270,MATCH($A234,'Team Performance'!$A$241:$A$270,0)),"n/a"),IFERROR(INDEX('Team Performance'!$B$39:$K$68,MATCH($A234,'Team Performance'!$A$39:$A$68,0),MATCH(($B234-2)&amp;"-"&amp;RIGHT($B234-1,2),'Team Performance'!$B$38:$K$38,0)),"n/a"))</f>
        <v>58</v>
      </c>
      <c r="M234" s="109">
        <f t="shared" si="7"/>
        <v>0.29268292682926828</v>
      </c>
      <c r="N234" s="108">
        <f>IF($B234=2017,IFERROR(INDEX('Team Performance'!$E$241:$E$270,MATCH($A234,'Team Performance'!$A$241:$A$270,0)),"n/a"),IFERROR(INDEX('Team Performance'!$B$140:$K$169,MATCH($A234,'Team Performance'!$A$140:$A$169,0),MATCH(($B234-2)&amp;"-"&amp;RIGHT($B234-1,2),'Team Performance'!$B$139:$K$139,0)),"n/a"))</f>
        <v>0</v>
      </c>
      <c r="O234" s="110">
        <f>IF($B234=2017,IFERROR(INDEX('Salary Cap'!$B$143:$B$172,MATCH($A234,'Salary Cap'!$A$143:$A$172,0)),"n/a"),IFERROR(INDEX('Salary Cap'!$B$10:$K$39,MATCH($A234,'Salary Cap'!$A$10:$A$39,0),MATCH(""&amp;($B234-1),'Salary Cap'!$B$9:$K$9,0)),"n/a"))</f>
        <v>170547803</v>
      </c>
      <c r="P234" s="115">
        <f>IF($B234=2017,IFERROR(INDEX('Salary Cap'!$C$143:$C$172,MATCH($A234,'Salary Cap'!$A$143:$A$172,0)),"n/a"),IFERROR(INDEX('Salary Cap'!$B$109:$K$138,MATCH($A234,'Salary Cap'!$A$109:$A$138,0),MATCH(""&amp;($B234-1),'Salary Cap'!$B$108:$K$108,0)),"n/a"))</f>
        <v>0</v>
      </c>
      <c r="Q234" s="138">
        <f>IF(OR($B234=2021,$B234=2022),1,0)</f>
        <v>0</v>
      </c>
    </row>
    <row r="235" spans="1:17" x14ac:dyDescent="0.2">
      <c r="A235" s="113" t="str" cm="1">
        <f t="array" ref="A235">INDEX('NBA Valuations'!$A$5:$A$34,INT((ROW()-5)/10)+1)</f>
        <v>Phoenix Suns</v>
      </c>
      <c r="B235" s="105">
        <f t="shared" si="6"/>
        <v>2017</v>
      </c>
      <c r="C235" s="106">
        <f>IFERROR(INDEX('NBA Valuations'!$B$5:$K$34,MATCH($A235,'NBA Valuations'!$A$5:$A$34,0),MATCH(""&amp;$B235,'NBA Valuations'!$B$3:$K$3,0)),"n/a")</f>
        <v>1100</v>
      </c>
      <c r="D235" s="106">
        <f>IFERROR(INDEX(Revenue!$B$5:$K$34,MATCH($A235,Revenue!$A$5:$A$34,0),MATCH(""&amp;$B235,Revenue!$B$3:$K$3,0)),"n/a")</f>
        <v>173</v>
      </c>
      <c r="E235" s="106">
        <f>IFERROR(INDEX('Operating Income'!$B$5:$K$34,MATCH($A235,'Operating Income'!$A$5:$A$34,0),MATCH(""&amp;$B235,'Operating Income'!$B$3:$K$3,0)),"n/a")</f>
        <v>26.3</v>
      </c>
      <c r="F235" s="107">
        <f>IFERROR(INDEX('Market Size'!$L$5:$L$34,MATCH($A235,'Market Size'!$A$5:$A$34,0)),"n/a")</f>
        <v>4875256</v>
      </c>
      <c r="G235" s="108" t="str">
        <f>IFERROR(INDEX('Market Size'!$B$38:$K$67,MATCH($A235,'Market Size'!$A$38:$A$67,0),MATCH(""&amp;($B235-1),'Market Size'!$B$36:$K$36,0)),"n/a")</f>
        <v>n/a</v>
      </c>
      <c r="H235" s="108">
        <f>IFERROR(INDEX(Arena!$B$38:$K$67,MATCH($A235,Arena!$A$38:$A$67,0),MATCH(""&amp;$B235,Arena!$B$36:$K$36,0)),"n/a")</f>
        <v>1992</v>
      </c>
      <c r="I235" s="136" t="str">
        <f>IFERROR(INDEX(Arena!$B$71:$K$100,MATCH($A235,Arena!$A$71:$A$100,0),MATCH(""&amp;$B235,Arena!$B$69:$K$69,0)),"n/a")</f>
        <v>N</v>
      </c>
      <c r="J235" s="137">
        <f>IF(ISNUMBER($H235),($B235-1)-$H235,"n/a")</f>
        <v>24</v>
      </c>
      <c r="K235" s="108">
        <f>IF($B235=2017,IFERROR(INDEX('Team Performance'!$B$241:$B$270,MATCH($A235,'Team Performance'!$A$241:$A$270,0)),"n/a"),IFERROR(INDEX('Team Performance'!$B$6:$K$35,MATCH($A235,'Team Performance'!$A$6:$A$35,0),MATCH(($B235-2)&amp;"-"&amp;RIGHT($B235-1,2),'Team Performance'!$B$5:$K$5,0)),"n/a"))</f>
        <v>23</v>
      </c>
      <c r="L235" s="108">
        <f>IF($B235=2017,IFERROR(INDEX('Team Performance'!$C$241:$C$270,MATCH($A235,'Team Performance'!$A$241:$A$270,0)),"n/a"),IFERROR(INDEX('Team Performance'!$B$39:$K$68,MATCH($A235,'Team Performance'!$A$39:$A$68,0),MATCH(($B235-2)&amp;"-"&amp;RIGHT($B235-1,2),'Team Performance'!$B$38:$K$38,0)),"n/a"))</f>
        <v>59</v>
      </c>
      <c r="M235" s="109">
        <f t="shared" si="7"/>
        <v>0.28048780487804881</v>
      </c>
      <c r="N235" s="108">
        <f>IF($B235=2017,IFERROR(INDEX('Team Performance'!$E$241:$E$270,MATCH($A235,'Team Performance'!$A$241:$A$270,0)),"n/a"),IFERROR(INDEX('Team Performance'!$B$140:$K$169,MATCH($A235,'Team Performance'!$A$140:$A$169,0),MATCH(($B235-2)&amp;"-"&amp;RIGHT($B235-1,2),'Team Performance'!$B$139:$K$139,0)),"n/a"))</f>
        <v>0</v>
      </c>
      <c r="O235" s="110">
        <f>IF($B235=2017,IFERROR(INDEX('Salary Cap'!$B$143:$B$172,MATCH($A235,'Salary Cap'!$A$143:$A$172,0)),"n/a"),IFERROR(INDEX('Salary Cap'!$B$10:$K$39,MATCH($A235,'Salary Cap'!$A$10:$A$39,0),MATCH(""&amp;($B235-1),'Salary Cap'!$B$9:$K$9,0)),"n/a"))</f>
        <v>73443637</v>
      </c>
      <c r="P235" s="115">
        <f>IF($B235=2017,IFERROR(INDEX('Salary Cap'!$C$143:$C$172,MATCH($A235,'Salary Cap'!$A$143:$A$172,0)),"n/a"),IFERROR(INDEX('Salary Cap'!$B$109:$K$138,MATCH($A235,'Salary Cap'!$A$109:$A$138,0),MATCH(""&amp;($B235-1),'Salary Cap'!$B$108:$K$108,0)),"n/a"))</f>
        <v>0</v>
      </c>
      <c r="Q235" s="138">
        <f>IF(OR($B235=2021,$B235=2022),1,0)</f>
        <v>0</v>
      </c>
    </row>
    <row r="236" spans="1:17" x14ac:dyDescent="0.2">
      <c r="A236" s="113" t="str" cm="1">
        <f t="array" ref="A236">INDEX('NBA Valuations'!$A$5:$A$34,INT((ROW()-5)/10)+1)</f>
        <v>Phoenix Suns</v>
      </c>
      <c r="B236" s="105">
        <f t="shared" si="6"/>
        <v>2018</v>
      </c>
      <c r="C236" s="106">
        <f>IFERROR(INDEX('NBA Valuations'!$B$5:$K$34,MATCH($A236,'NBA Valuations'!$A$5:$A$34,0),MATCH(""&amp;$B236,'NBA Valuations'!$B$3:$K$3,0)),"n/a")</f>
        <v>1300</v>
      </c>
      <c r="D236" s="106">
        <f>IFERROR(INDEX(Revenue!$B$5:$K$34,MATCH($A236,Revenue!$A$5:$A$34,0),MATCH(""&amp;$B236,Revenue!$B$3:$K$3,0)),"n/a")</f>
        <v>218</v>
      </c>
      <c r="E236" s="106">
        <f>IFERROR(INDEX('Operating Income'!$B$5:$K$34,MATCH($A236,'Operating Income'!$A$5:$A$34,0),MATCH(""&amp;$B236,'Operating Income'!$B$3:$K$3,0)),"n/a")</f>
        <v>31</v>
      </c>
      <c r="F236" s="107">
        <f>IFERROR(INDEX('Market Size'!$L$5:$L$34,MATCH($A236,'Market Size'!$A$5:$A$34,0)),"n/a")</f>
        <v>4875256</v>
      </c>
      <c r="G236" s="108" t="str">
        <f>IFERROR(INDEX('Market Size'!$B$38:$K$67,MATCH($A236,'Market Size'!$A$38:$A$67,0),MATCH(""&amp;($B236-1),'Market Size'!$B$36:$K$36,0)),"n/a")</f>
        <v>n/a</v>
      </c>
      <c r="H236" s="108">
        <f>IFERROR(INDEX(Arena!$B$38:$K$67,MATCH($A236,Arena!$A$38:$A$67,0),MATCH(""&amp;$B236,Arena!$B$36:$K$36,0)),"n/a")</f>
        <v>1992</v>
      </c>
      <c r="I236" s="136" t="str">
        <f>IFERROR(INDEX(Arena!$B$71:$K$100,MATCH($A236,Arena!$A$71:$A$100,0),MATCH(""&amp;$B236,Arena!$B$69:$K$69,0)),"n/a")</f>
        <v>N</v>
      </c>
      <c r="J236" s="137">
        <f>IF(ISNUMBER($H236),($B236-1)-$H236,"n/a")</f>
        <v>25</v>
      </c>
      <c r="K236" s="108">
        <f>IF($B236=2017,IFERROR(INDEX('Team Performance'!$B$241:$B$270,MATCH($A236,'Team Performance'!$A$241:$A$270,0)),"n/a"),IFERROR(INDEX('Team Performance'!$B$6:$K$35,MATCH($A236,'Team Performance'!$A$6:$A$35,0),MATCH(($B236-2)&amp;"-"&amp;RIGHT($B236-1,2),'Team Performance'!$B$5:$K$5,0)),"n/a"))</f>
        <v>24</v>
      </c>
      <c r="L236" s="108">
        <f>IF($B236=2017,IFERROR(INDEX('Team Performance'!$C$241:$C$270,MATCH($A236,'Team Performance'!$A$241:$A$270,0)),"n/a"),IFERROR(INDEX('Team Performance'!$B$39:$K$68,MATCH($A236,'Team Performance'!$A$39:$A$68,0),MATCH(($B236-2)&amp;"-"&amp;RIGHT($B236-1,2),'Team Performance'!$B$38:$K$38,0)),"n/a"))</f>
        <v>58</v>
      </c>
      <c r="M236" s="109">
        <f t="shared" si="7"/>
        <v>0.29268292682926828</v>
      </c>
      <c r="N236" s="108">
        <f>IF($B236=2017,IFERROR(INDEX('Team Performance'!$E$241:$E$270,MATCH($A236,'Team Performance'!$A$241:$A$270,0)),"n/a"),IFERROR(INDEX('Team Performance'!$B$140:$K$169,MATCH($A236,'Team Performance'!$A$140:$A$169,0),MATCH(($B236-2)&amp;"-"&amp;RIGHT($B236-1,2),'Team Performance'!$B$139:$K$139,0)),"n/a"))</f>
        <v>0</v>
      </c>
      <c r="O236" s="110">
        <f>IF($B236=2017,IFERROR(INDEX('Salary Cap'!$B$143:$B$172,MATCH($A236,'Salary Cap'!$A$143:$A$172,0)),"n/a"),IFERROR(INDEX('Salary Cap'!$B$10:$K$39,MATCH($A236,'Salary Cap'!$A$10:$A$39,0),MATCH(""&amp;($B236-1),'Salary Cap'!$B$9:$K$9,0)),"n/a"))</f>
        <v>85055253</v>
      </c>
      <c r="P236" s="115">
        <f>IF($B236=2017,IFERROR(INDEX('Salary Cap'!$C$143:$C$172,MATCH($A236,'Salary Cap'!$A$143:$A$172,0)),"n/a"),IFERROR(INDEX('Salary Cap'!$B$109:$K$138,MATCH($A236,'Salary Cap'!$A$109:$A$138,0),MATCH(""&amp;($B236-1),'Salary Cap'!$B$108:$K$108,0)),"n/a"))</f>
        <v>0</v>
      </c>
      <c r="Q236" s="138">
        <f>IF(OR($B236=2021,$B236=2022),1,0)</f>
        <v>0</v>
      </c>
    </row>
    <row r="237" spans="1:17" x14ac:dyDescent="0.2">
      <c r="A237" s="113" t="str" cm="1">
        <f t="array" ref="A237">INDEX('NBA Valuations'!$A$5:$A$34,INT((ROW()-5)/10)+1)</f>
        <v>Phoenix Suns</v>
      </c>
      <c r="B237" s="105">
        <f t="shared" si="6"/>
        <v>2019</v>
      </c>
      <c r="C237" s="106">
        <f>IFERROR(INDEX('NBA Valuations'!$B$5:$K$34,MATCH($A237,'NBA Valuations'!$A$5:$A$34,0),MATCH(""&amp;$B237,'NBA Valuations'!$B$3:$K$3,0)),"n/a")</f>
        <v>1500</v>
      </c>
      <c r="D237" s="106">
        <f>IFERROR(INDEX(Revenue!$B$5:$K$34,MATCH($A237,Revenue!$A$5:$A$34,0),MATCH(""&amp;$B237,Revenue!$B$3:$K$3,0)),"n/a")</f>
        <v>235</v>
      </c>
      <c r="E237" s="106">
        <f>IFERROR(INDEX('Operating Income'!$B$5:$K$34,MATCH($A237,'Operating Income'!$A$5:$A$34,0),MATCH(""&amp;$B237,'Operating Income'!$B$3:$K$3,0)),"n/a")</f>
        <v>47</v>
      </c>
      <c r="F237" s="107">
        <f>IFERROR(INDEX('Market Size'!$L$5:$L$34,MATCH($A237,'Market Size'!$A$5:$A$34,0)),"n/a")</f>
        <v>4875256</v>
      </c>
      <c r="G237" s="108" t="str">
        <f>IFERROR(INDEX('Market Size'!$B$38:$K$67,MATCH($A237,'Market Size'!$A$38:$A$67,0),MATCH(""&amp;($B237-1),'Market Size'!$B$36:$K$36,0)),"n/a")</f>
        <v>n/a</v>
      </c>
      <c r="H237" s="108">
        <f>IFERROR(INDEX(Arena!$B$38:$K$67,MATCH($A237,Arena!$A$38:$A$67,0),MATCH(""&amp;$B237,Arena!$B$36:$K$36,0)),"n/a")</f>
        <v>1992</v>
      </c>
      <c r="I237" s="136" t="str">
        <f>IFERROR(INDEX(Arena!$B$71:$K$100,MATCH($A237,Arena!$A$71:$A$100,0),MATCH(""&amp;$B237,Arena!$B$69:$K$69,0)),"n/a")</f>
        <v>N</v>
      </c>
      <c r="J237" s="137">
        <f>IF(ISNUMBER($H237),($B237-1)-$H237,"n/a")</f>
        <v>26</v>
      </c>
      <c r="K237" s="108">
        <f>IF($B237=2017,IFERROR(INDEX('Team Performance'!$B$241:$B$270,MATCH($A237,'Team Performance'!$A$241:$A$270,0)),"n/a"),IFERROR(INDEX('Team Performance'!$B$6:$K$35,MATCH($A237,'Team Performance'!$A$6:$A$35,0),MATCH(($B237-2)&amp;"-"&amp;RIGHT($B237-1,2),'Team Performance'!$B$5:$K$5,0)),"n/a"))</f>
        <v>21</v>
      </c>
      <c r="L237" s="108">
        <f>IF($B237=2017,IFERROR(INDEX('Team Performance'!$C$241:$C$270,MATCH($A237,'Team Performance'!$A$241:$A$270,0)),"n/a"),IFERROR(INDEX('Team Performance'!$B$39:$K$68,MATCH($A237,'Team Performance'!$A$39:$A$68,0),MATCH(($B237-2)&amp;"-"&amp;RIGHT($B237-1,2),'Team Performance'!$B$38:$K$38,0)),"n/a"))</f>
        <v>61</v>
      </c>
      <c r="M237" s="109">
        <f t="shared" si="7"/>
        <v>0.25609756097560976</v>
      </c>
      <c r="N237" s="108">
        <f>IF($B237=2017,IFERROR(INDEX('Team Performance'!$E$241:$E$270,MATCH($A237,'Team Performance'!$A$241:$A$270,0)),"n/a"),IFERROR(INDEX('Team Performance'!$B$140:$K$169,MATCH($A237,'Team Performance'!$A$140:$A$169,0),MATCH(($B237-2)&amp;"-"&amp;RIGHT($B237-1,2),'Team Performance'!$B$139:$K$139,0)),"n/a"))</f>
        <v>0</v>
      </c>
      <c r="O237" s="110">
        <f>IF($B237=2017,IFERROR(INDEX('Salary Cap'!$B$143:$B$172,MATCH($A237,'Salary Cap'!$A$143:$A$172,0)),"n/a"),IFERROR(INDEX('Salary Cap'!$B$10:$K$39,MATCH($A237,'Salary Cap'!$A$10:$A$39,0),MATCH(""&amp;($B237-1),'Salary Cap'!$B$9:$K$9,0)),"n/a"))</f>
        <v>92677405</v>
      </c>
      <c r="P237" s="115">
        <f>IF($B237=2017,IFERROR(INDEX('Salary Cap'!$C$143:$C$172,MATCH($A237,'Salary Cap'!$A$143:$A$172,0)),"n/a"),IFERROR(INDEX('Salary Cap'!$B$109:$K$138,MATCH($A237,'Salary Cap'!$A$109:$A$138,0),MATCH(""&amp;($B237-1),'Salary Cap'!$B$108:$K$108,0)),"n/a"))</f>
        <v>0</v>
      </c>
      <c r="Q237" s="138">
        <f>IF(OR($B237=2021,$B237=2022),1,0)</f>
        <v>0</v>
      </c>
    </row>
    <row r="238" spans="1:17" x14ac:dyDescent="0.2">
      <c r="A238" s="113" t="str" cm="1">
        <f t="array" ref="A238">INDEX('NBA Valuations'!$A$5:$A$34,INT((ROW()-5)/10)+1)</f>
        <v>Phoenix Suns</v>
      </c>
      <c r="B238" s="105">
        <f t="shared" si="6"/>
        <v>2020</v>
      </c>
      <c r="C238" s="106">
        <f>IFERROR(INDEX('NBA Valuations'!$B$5:$K$34,MATCH($A238,'NBA Valuations'!$A$5:$A$34,0),MATCH(""&amp;$B238,'NBA Valuations'!$B$3:$K$3,0)),"n/a")</f>
        <v>1600</v>
      </c>
      <c r="D238" s="106">
        <f>IFERROR(INDEX(Revenue!$B$5:$K$34,MATCH($A238,Revenue!$A$5:$A$34,0),MATCH(""&amp;$B238,Revenue!$B$3:$K$3,0)),"n/a")</f>
        <v>246</v>
      </c>
      <c r="E238" s="106">
        <f>IFERROR(INDEX('Operating Income'!$B$5:$K$34,MATCH($A238,'Operating Income'!$A$5:$A$34,0),MATCH(""&amp;$B238,'Operating Income'!$B$3:$K$3,0)),"n/a")</f>
        <v>42</v>
      </c>
      <c r="F238" s="107">
        <f>IFERROR(INDEX('Market Size'!$L$5:$L$34,MATCH($A238,'Market Size'!$A$5:$A$34,0)),"n/a")</f>
        <v>4875256</v>
      </c>
      <c r="G238" s="108" t="str">
        <f>IFERROR(INDEX('Market Size'!$B$38:$K$67,MATCH($A238,'Market Size'!$A$38:$A$67,0),MATCH(""&amp;($B238-1),'Market Size'!$B$36:$K$36,0)),"n/a")</f>
        <v>n/a</v>
      </c>
      <c r="H238" s="108">
        <f>IFERROR(INDEX(Arena!$B$38:$K$67,MATCH($A238,Arena!$A$38:$A$67,0),MATCH(""&amp;$B238,Arena!$B$36:$K$36,0)),"n/a")</f>
        <v>1992</v>
      </c>
      <c r="I238" s="136" t="str">
        <f>IFERROR(INDEX(Arena!$B$71:$K$100,MATCH($A238,Arena!$A$71:$A$100,0),MATCH(""&amp;$B238,Arena!$B$69:$K$69,0)),"n/a")</f>
        <v>N</v>
      </c>
      <c r="J238" s="137">
        <f>IF(ISNUMBER($H238),($B238-1)-$H238,"n/a")</f>
        <v>27</v>
      </c>
      <c r="K238" s="108">
        <f>IF($B238=2017,IFERROR(INDEX('Team Performance'!$B$241:$B$270,MATCH($A238,'Team Performance'!$A$241:$A$270,0)),"n/a"),IFERROR(INDEX('Team Performance'!$B$6:$K$35,MATCH($A238,'Team Performance'!$A$6:$A$35,0),MATCH(($B238-2)&amp;"-"&amp;RIGHT($B238-1,2),'Team Performance'!$B$5:$K$5,0)),"n/a"))</f>
        <v>19</v>
      </c>
      <c r="L238" s="108">
        <f>IF($B238=2017,IFERROR(INDEX('Team Performance'!$C$241:$C$270,MATCH($A238,'Team Performance'!$A$241:$A$270,0)),"n/a"),IFERROR(INDEX('Team Performance'!$B$39:$K$68,MATCH($A238,'Team Performance'!$A$39:$A$68,0),MATCH(($B238-2)&amp;"-"&amp;RIGHT($B238-1,2),'Team Performance'!$B$38:$K$38,0)),"n/a"))</f>
        <v>63</v>
      </c>
      <c r="M238" s="109">
        <f t="shared" si="7"/>
        <v>0.23170731707317074</v>
      </c>
      <c r="N238" s="108">
        <f>IF($B238=2017,IFERROR(INDEX('Team Performance'!$E$241:$E$270,MATCH($A238,'Team Performance'!$A$241:$A$270,0)),"n/a"),IFERROR(INDEX('Team Performance'!$B$140:$K$169,MATCH($A238,'Team Performance'!$A$140:$A$169,0),MATCH(($B238-2)&amp;"-"&amp;RIGHT($B238-1,2),'Team Performance'!$B$139:$K$139,0)),"n/a"))</f>
        <v>0</v>
      </c>
      <c r="O238" s="110">
        <f>IF($B238=2017,IFERROR(INDEX('Salary Cap'!$B$143:$B$172,MATCH($A238,'Salary Cap'!$A$143:$A$172,0)),"n/a"),IFERROR(INDEX('Salary Cap'!$B$10:$K$39,MATCH($A238,'Salary Cap'!$A$10:$A$39,0),MATCH(""&amp;($B238-1),'Salary Cap'!$B$9:$K$9,0)),"n/a"))</f>
        <v>108491880</v>
      </c>
      <c r="P238" s="115">
        <f>IF($B238=2017,IFERROR(INDEX('Salary Cap'!$C$143:$C$172,MATCH($A238,'Salary Cap'!$A$143:$A$172,0)),"n/a"),IFERROR(INDEX('Salary Cap'!$B$109:$K$138,MATCH($A238,'Salary Cap'!$A$109:$A$138,0),MATCH(""&amp;($B238-1),'Salary Cap'!$B$108:$K$108,0)),"n/a"))</f>
        <v>0</v>
      </c>
      <c r="Q238" s="138">
        <f>IF(OR($B238=2021,$B238=2022),1,0)</f>
        <v>0</v>
      </c>
    </row>
    <row r="239" spans="1:17" x14ac:dyDescent="0.2">
      <c r="A239" s="113" t="str" cm="1">
        <f t="array" ref="A239">INDEX('NBA Valuations'!$A$5:$A$34,INT((ROW()-5)/10)+1)</f>
        <v>Phoenix Suns</v>
      </c>
      <c r="B239" s="105">
        <f t="shared" si="6"/>
        <v>2021</v>
      </c>
      <c r="C239" s="106">
        <f>IFERROR(INDEX('NBA Valuations'!$B$5:$K$34,MATCH($A239,'NBA Valuations'!$A$5:$A$34,0),MATCH(""&amp;$B239,'NBA Valuations'!$B$3:$K$3,0)),"n/a")</f>
        <v>1700</v>
      </c>
      <c r="D239" s="106">
        <f>IFERROR(INDEX(Revenue!$B$5:$K$34,MATCH($A239,Revenue!$A$5:$A$34,0),MATCH(""&amp;$B239,Revenue!$B$3:$K$3,0)),"n/a")</f>
        <v>222</v>
      </c>
      <c r="E239" s="106">
        <f>IFERROR(INDEX('Operating Income'!$B$5:$K$34,MATCH($A239,'Operating Income'!$A$5:$A$34,0),MATCH(""&amp;$B239,'Operating Income'!$B$3:$K$3,0)),"n/a")</f>
        <v>20</v>
      </c>
      <c r="F239" s="107">
        <f>IFERROR(INDEX('Market Size'!$L$5:$L$34,MATCH($A239,'Market Size'!$A$5:$A$34,0)),"n/a")</f>
        <v>4875256</v>
      </c>
      <c r="G239" s="108" t="str">
        <f>IFERROR(INDEX('Market Size'!$B$38:$K$67,MATCH($A239,'Market Size'!$A$38:$A$67,0),MATCH(""&amp;($B239-1),'Market Size'!$B$36:$K$36,0)),"n/a")</f>
        <v>n/a</v>
      </c>
      <c r="H239" s="108">
        <f>IFERROR(INDEX(Arena!$B$38:$K$67,MATCH($A239,Arena!$A$38:$A$67,0),MATCH(""&amp;$B239,Arena!$B$36:$K$36,0)),"n/a")</f>
        <v>1992</v>
      </c>
      <c r="I239" s="136" t="str">
        <f>IFERROR(INDEX(Arena!$B$71:$K$100,MATCH($A239,Arena!$A$71:$A$100,0),MATCH(""&amp;$B239,Arena!$B$69:$K$69,0)),"n/a")</f>
        <v>N</v>
      </c>
      <c r="J239" s="137">
        <f>IF(ISNUMBER($H239),($B239-1)-$H239,"n/a")</f>
        <v>28</v>
      </c>
      <c r="K239" s="108">
        <f>IF($B239=2017,IFERROR(INDEX('Team Performance'!$B$241:$B$270,MATCH($A239,'Team Performance'!$A$241:$A$270,0)),"n/a"),IFERROR(INDEX('Team Performance'!$B$6:$K$35,MATCH($A239,'Team Performance'!$A$6:$A$35,0),MATCH(($B239-2)&amp;"-"&amp;RIGHT($B239-1,2),'Team Performance'!$B$5:$K$5,0)),"n/a"))</f>
        <v>34</v>
      </c>
      <c r="L239" s="108">
        <f>IF($B239=2017,IFERROR(INDEX('Team Performance'!$C$241:$C$270,MATCH($A239,'Team Performance'!$A$241:$A$270,0)),"n/a"),IFERROR(INDEX('Team Performance'!$B$39:$K$68,MATCH($A239,'Team Performance'!$A$39:$A$68,0),MATCH(($B239-2)&amp;"-"&amp;RIGHT($B239-1,2),'Team Performance'!$B$38:$K$38,0)),"n/a"))</f>
        <v>39</v>
      </c>
      <c r="M239" s="109">
        <f t="shared" si="7"/>
        <v>0.46575342465753422</v>
      </c>
      <c r="N239" s="108">
        <f>IF($B239=2017,IFERROR(INDEX('Team Performance'!$E$241:$E$270,MATCH($A239,'Team Performance'!$A$241:$A$270,0)),"n/a"),IFERROR(INDEX('Team Performance'!$B$140:$K$169,MATCH($A239,'Team Performance'!$A$140:$A$169,0),MATCH(($B239-2)&amp;"-"&amp;RIGHT($B239-1,2),'Team Performance'!$B$139:$K$139,0)),"n/a"))</f>
        <v>0</v>
      </c>
      <c r="O239" s="110">
        <f>IF($B239=2017,IFERROR(INDEX('Salary Cap'!$B$143:$B$172,MATCH($A239,'Salary Cap'!$A$143:$A$172,0)),"n/a"),IFERROR(INDEX('Salary Cap'!$B$10:$K$39,MATCH($A239,'Salary Cap'!$A$10:$A$39,0),MATCH(""&amp;($B239-1),'Salary Cap'!$B$9:$K$9,0)),"n/a"))</f>
        <v>120782748</v>
      </c>
      <c r="P239" s="115">
        <f>IF($B239=2017,IFERROR(INDEX('Salary Cap'!$C$143:$C$172,MATCH($A239,'Salary Cap'!$A$143:$A$172,0)),"n/a"),IFERROR(INDEX('Salary Cap'!$B$109:$K$138,MATCH($A239,'Salary Cap'!$A$109:$A$138,0),MATCH(""&amp;($B239-1),'Salary Cap'!$B$108:$K$108,0)),"n/a"))</f>
        <v>0</v>
      </c>
      <c r="Q239" s="138">
        <f>IF(OR($B239=2021,$B239=2022),1,0)</f>
        <v>1</v>
      </c>
    </row>
    <row r="240" spans="1:17" x14ac:dyDescent="0.2">
      <c r="A240" s="113" t="str" cm="1">
        <f t="array" ref="A240">INDEX('NBA Valuations'!$A$5:$A$34,INT((ROW()-5)/10)+1)</f>
        <v>Phoenix Suns</v>
      </c>
      <c r="B240" s="105">
        <f t="shared" si="6"/>
        <v>2022</v>
      </c>
      <c r="C240" s="106">
        <f>IFERROR(INDEX('NBA Valuations'!$B$5:$K$34,MATCH($A240,'NBA Valuations'!$A$5:$A$34,0),MATCH(""&amp;$B240,'NBA Valuations'!$B$3:$K$3,0)),"n/a")</f>
        <v>1800</v>
      </c>
      <c r="D240" s="106">
        <f>IFERROR(INDEX(Revenue!$B$5:$K$34,MATCH($A240,Revenue!$A$5:$A$34,0),MATCH(""&amp;$B240,Revenue!$B$3:$K$3,0)),"n/a")</f>
        <v>206</v>
      </c>
      <c r="E240" s="106">
        <f>IFERROR(INDEX('Operating Income'!$B$5:$K$34,MATCH($A240,'Operating Income'!$A$5:$A$34,0),MATCH(""&amp;$B240,'Operating Income'!$B$3:$K$3,0)),"n/a")</f>
        <v>15</v>
      </c>
      <c r="F240" s="107">
        <f>IFERROR(INDEX('Market Size'!$L$5:$L$34,MATCH($A240,'Market Size'!$A$5:$A$34,0)),"n/a")</f>
        <v>4875256</v>
      </c>
      <c r="G240" s="108" t="str">
        <f>IFERROR(INDEX('Market Size'!$B$38:$K$67,MATCH($A240,'Market Size'!$A$38:$A$67,0),MATCH(""&amp;($B240-1),'Market Size'!$B$36:$K$36,0)),"n/a")</f>
        <v>n/a</v>
      </c>
      <c r="H240" s="108">
        <f>IFERROR(INDEX(Arena!$B$38:$K$67,MATCH($A240,Arena!$A$38:$A$67,0),MATCH(""&amp;$B240,Arena!$B$36:$K$36,0)),"n/a")</f>
        <v>1992</v>
      </c>
      <c r="I240" s="136" t="str">
        <f>IFERROR(INDEX(Arena!$B$71:$K$100,MATCH($A240,Arena!$A$71:$A$100,0),MATCH(""&amp;$B240,Arena!$B$69:$K$69,0)),"n/a")</f>
        <v>N</v>
      </c>
      <c r="J240" s="137">
        <f>IF(ISNUMBER($H240),($B240-1)-$H240,"n/a")</f>
        <v>29</v>
      </c>
      <c r="K240" s="108">
        <f>IF($B240=2017,IFERROR(INDEX('Team Performance'!$B$241:$B$270,MATCH($A240,'Team Performance'!$A$241:$A$270,0)),"n/a"),IFERROR(INDEX('Team Performance'!$B$6:$K$35,MATCH($A240,'Team Performance'!$A$6:$A$35,0),MATCH(($B240-2)&amp;"-"&amp;RIGHT($B240-1,2),'Team Performance'!$B$5:$K$5,0)),"n/a"))</f>
        <v>51</v>
      </c>
      <c r="L240" s="108">
        <f>IF($B240=2017,IFERROR(INDEX('Team Performance'!$C$241:$C$270,MATCH($A240,'Team Performance'!$A$241:$A$270,0)),"n/a"),IFERROR(INDEX('Team Performance'!$B$39:$K$68,MATCH($A240,'Team Performance'!$A$39:$A$68,0),MATCH(($B240-2)&amp;"-"&amp;RIGHT($B240-1,2),'Team Performance'!$B$38:$K$38,0)),"n/a"))</f>
        <v>21</v>
      </c>
      <c r="M240" s="109">
        <f t="shared" si="7"/>
        <v>0.70833333333333337</v>
      </c>
      <c r="N240" s="108">
        <f>IF($B240=2017,IFERROR(INDEX('Team Performance'!$E$241:$E$270,MATCH($A240,'Team Performance'!$A$241:$A$270,0)),"n/a"),IFERROR(INDEX('Team Performance'!$B$140:$K$169,MATCH($A240,'Team Performance'!$A$140:$A$169,0),MATCH(($B240-2)&amp;"-"&amp;RIGHT($B240-1,2),'Team Performance'!$B$139:$K$139,0)),"n/a"))</f>
        <v>4</v>
      </c>
      <c r="O240" s="110">
        <f>IF($B240=2017,IFERROR(INDEX('Salary Cap'!$B$143:$B$172,MATCH($A240,'Salary Cap'!$A$143:$A$172,0)),"n/a"),IFERROR(INDEX('Salary Cap'!$B$10:$K$39,MATCH($A240,'Salary Cap'!$A$10:$A$39,0),MATCH(""&amp;($B240-1),'Salary Cap'!$B$9:$K$9,0)),"n/a"))</f>
        <v>127115196</v>
      </c>
      <c r="P240" s="115">
        <f>IF($B240=2017,IFERROR(INDEX('Salary Cap'!$C$143:$C$172,MATCH($A240,'Salary Cap'!$A$143:$A$172,0)),"n/a"),IFERROR(INDEX('Salary Cap'!$B$109:$K$138,MATCH($A240,'Salary Cap'!$A$109:$A$138,0),MATCH(""&amp;($B240-1),'Salary Cap'!$B$108:$K$108,0)),"n/a"))</f>
        <v>0</v>
      </c>
      <c r="Q240" s="138">
        <f>IF(OR($B240=2021,$B240=2022),1,0)</f>
        <v>1</v>
      </c>
    </row>
    <row r="241" spans="1:17" x14ac:dyDescent="0.2">
      <c r="A241" s="113" t="str" cm="1">
        <f t="array" ref="A241">INDEX('NBA Valuations'!$A$5:$A$34,INT((ROW()-5)/10)+1)</f>
        <v>Phoenix Suns</v>
      </c>
      <c r="B241" s="105">
        <f t="shared" si="6"/>
        <v>2023</v>
      </c>
      <c r="C241" s="106">
        <f>IFERROR(INDEX('NBA Valuations'!$B$5:$K$34,MATCH($A241,'NBA Valuations'!$A$5:$A$34,0),MATCH(""&amp;$B241,'NBA Valuations'!$B$3:$K$3,0)),"n/a")</f>
        <v>2700</v>
      </c>
      <c r="D241" s="106">
        <f>IFERROR(INDEX(Revenue!$B$5:$K$34,MATCH($A241,Revenue!$A$5:$A$34,0),MATCH(""&amp;$B241,Revenue!$B$3:$K$3,0)),"n/a")</f>
        <v>302</v>
      </c>
      <c r="E241" s="106">
        <f>IFERROR(INDEX('Operating Income'!$B$5:$K$34,MATCH($A241,'Operating Income'!$A$5:$A$34,0),MATCH(""&amp;$B241,'Operating Income'!$B$3:$K$3,0)),"n/a")</f>
        <v>87</v>
      </c>
      <c r="F241" s="107">
        <f>IFERROR(INDEX('Market Size'!$L$5:$L$34,MATCH($A241,'Market Size'!$A$5:$A$34,0)),"n/a")</f>
        <v>4875256</v>
      </c>
      <c r="G241" s="108" t="str">
        <f>IFERROR(INDEX('Market Size'!$B$38:$K$67,MATCH($A241,'Market Size'!$A$38:$A$67,0),MATCH(""&amp;($B241-1),'Market Size'!$B$36:$K$36,0)),"n/a")</f>
        <v>n/a</v>
      </c>
      <c r="H241" s="108">
        <f>IFERROR(INDEX(Arena!$B$38:$K$67,MATCH($A241,Arena!$A$38:$A$67,0),MATCH(""&amp;$B241,Arena!$B$36:$K$36,0)),"n/a")</f>
        <v>1992</v>
      </c>
      <c r="I241" s="136" t="str">
        <f>IFERROR(INDEX(Arena!$B$71:$K$100,MATCH($A241,Arena!$A$71:$A$100,0),MATCH(""&amp;$B241,Arena!$B$69:$K$69,0)),"n/a")</f>
        <v>N</v>
      </c>
      <c r="J241" s="137">
        <f>IF(ISNUMBER($H241),($B241-1)-$H241,"n/a")</f>
        <v>30</v>
      </c>
      <c r="K241" s="108">
        <f>IF($B241=2017,IFERROR(INDEX('Team Performance'!$B$241:$B$270,MATCH($A241,'Team Performance'!$A$241:$A$270,0)),"n/a"),IFERROR(INDEX('Team Performance'!$B$6:$K$35,MATCH($A241,'Team Performance'!$A$6:$A$35,0),MATCH(($B241-2)&amp;"-"&amp;RIGHT($B241-1,2),'Team Performance'!$B$5:$K$5,0)),"n/a"))</f>
        <v>64</v>
      </c>
      <c r="L241" s="108">
        <f>IF($B241=2017,IFERROR(INDEX('Team Performance'!$C$241:$C$270,MATCH($A241,'Team Performance'!$A$241:$A$270,0)),"n/a"),IFERROR(INDEX('Team Performance'!$B$39:$K$68,MATCH($A241,'Team Performance'!$A$39:$A$68,0),MATCH(($B241-2)&amp;"-"&amp;RIGHT($B241-1,2),'Team Performance'!$B$38:$K$38,0)),"n/a"))</f>
        <v>18</v>
      </c>
      <c r="M241" s="109">
        <f t="shared" si="7"/>
        <v>0.78048780487804881</v>
      </c>
      <c r="N241" s="108">
        <f>IF($B241=2017,IFERROR(INDEX('Team Performance'!$E$241:$E$270,MATCH($A241,'Team Performance'!$A$241:$A$270,0)),"n/a"),IFERROR(INDEX('Team Performance'!$B$140:$K$169,MATCH($A241,'Team Performance'!$A$140:$A$169,0),MATCH(($B241-2)&amp;"-"&amp;RIGHT($B241-1,2),'Team Performance'!$B$139:$K$139,0)),"n/a"))</f>
        <v>2</v>
      </c>
      <c r="O241" s="110">
        <f>IF($B241=2017,IFERROR(INDEX('Salary Cap'!$B$143:$B$172,MATCH($A241,'Salary Cap'!$A$143:$A$172,0)),"n/a"),IFERROR(INDEX('Salary Cap'!$B$10:$K$39,MATCH($A241,'Salary Cap'!$A$10:$A$39,0),MATCH(""&amp;($B241-1),'Salary Cap'!$B$9:$K$9,0)),"n/a"))</f>
        <v>133743364</v>
      </c>
      <c r="P241" s="115">
        <f>IF($B241=2017,IFERROR(INDEX('Salary Cap'!$C$143:$C$172,MATCH($A241,'Salary Cap'!$A$143:$A$172,0)),"n/a"),IFERROR(INDEX('Salary Cap'!$B$109:$K$138,MATCH($A241,'Salary Cap'!$A$109:$A$138,0),MATCH(""&amp;($B241-1),'Salary Cap'!$B$108:$K$108,0)),"n/a"))</f>
        <v>0</v>
      </c>
      <c r="Q241" s="138">
        <f>IF(OR($B241=2021,$B241=2022),1,0)</f>
        <v>0</v>
      </c>
    </row>
    <row r="242" spans="1:17" x14ac:dyDescent="0.2">
      <c r="A242" s="113" t="str" cm="1">
        <f t="array" ref="A242">INDEX('NBA Valuations'!$A$5:$A$34,INT((ROW()-5)/10)+1)</f>
        <v>Phoenix Suns</v>
      </c>
      <c r="B242" s="105">
        <f t="shared" si="6"/>
        <v>2024</v>
      </c>
      <c r="C242" s="106">
        <f>IFERROR(INDEX('NBA Valuations'!$B$5:$K$34,MATCH($A242,'NBA Valuations'!$A$5:$A$34,0),MATCH(""&amp;$B242,'NBA Valuations'!$B$3:$K$3,0)),"n/a")</f>
        <v>4000</v>
      </c>
      <c r="D242" s="106">
        <f>IFERROR(INDEX(Revenue!$B$5:$K$34,MATCH($A242,Revenue!$A$5:$A$34,0),MATCH(""&amp;$B242,Revenue!$B$3:$K$3,0)),"n/a")</f>
        <v>366</v>
      </c>
      <c r="E242" s="106">
        <f>IFERROR(INDEX('Operating Income'!$B$5:$K$34,MATCH($A242,'Operating Income'!$A$5:$A$34,0),MATCH(""&amp;$B242,'Operating Income'!$B$3:$K$3,0)),"n/a")</f>
        <v>15</v>
      </c>
      <c r="F242" s="107">
        <f>IFERROR(INDEX('Market Size'!$L$5:$L$34,MATCH($A242,'Market Size'!$A$5:$A$34,0)),"n/a")</f>
        <v>4875256</v>
      </c>
      <c r="G242" s="108" t="str">
        <f>IFERROR(INDEX('Market Size'!$B$38:$K$67,MATCH($A242,'Market Size'!$A$38:$A$67,0),MATCH(""&amp;($B242-1),'Market Size'!$B$36:$K$36,0)),"n/a")</f>
        <v>n/a</v>
      </c>
      <c r="H242" s="108">
        <f>IFERROR(INDEX(Arena!$B$38:$K$67,MATCH($A242,Arena!$A$38:$A$67,0),MATCH(""&amp;$B242,Arena!$B$36:$K$36,0)),"n/a")</f>
        <v>1992</v>
      </c>
      <c r="I242" s="136" t="str">
        <f>IFERROR(INDEX(Arena!$B$71:$K$100,MATCH($A242,Arena!$A$71:$A$100,0),MATCH(""&amp;$B242,Arena!$B$69:$K$69,0)),"n/a")</f>
        <v>N</v>
      </c>
      <c r="J242" s="137">
        <f>IF(ISNUMBER($H242),($B242-1)-$H242,"n/a")</f>
        <v>31</v>
      </c>
      <c r="K242" s="108">
        <f>IF($B242=2017,IFERROR(INDEX('Team Performance'!$B$241:$B$270,MATCH($A242,'Team Performance'!$A$241:$A$270,0)),"n/a"),IFERROR(INDEX('Team Performance'!$B$6:$K$35,MATCH($A242,'Team Performance'!$A$6:$A$35,0),MATCH(($B242-2)&amp;"-"&amp;RIGHT($B242-1,2),'Team Performance'!$B$5:$K$5,0)),"n/a"))</f>
        <v>45</v>
      </c>
      <c r="L242" s="108">
        <f>IF($B242=2017,IFERROR(INDEX('Team Performance'!$C$241:$C$270,MATCH($A242,'Team Performance'!$A$241:$A$270,0)),"n/a"),IFERROR(INDEX('Team Performance'!$B$39:$K$68,MATCH($A242,'Team Performance'!$A$39:$A$68,0),MATCH(($B242-2)&amp;"-"&amp;RIGHT($B242-1,2),'Team Performance'!$B$38:$K$38,0)),"n/a"))</f>
        <v>37</v>
      </c>
      <c r="M242" s="109">
        <f t="shared" si="7"/>
        <v>0.54878048780487809</v>
      </c>
      <c r="N242" s="108">
        <f>IF($B242=2017,IFERROR(INDEX('Team Performance'!$E$241:$E$270,MATCH($A242,'Team Performance'!$A$241:$A$270,0)),"n/a"),IFERROR(INDEX('Team Performance'!$B$140:$K$169,MATCH($A242,'Team Performance'!$A$140:$A$169,0),MATCH(($B242-2)&amp;"-"&amp;RIGHT($B242-1,2),'Team Performance'!$B$139:$K$139,0)),"n/a"))</f>
        <v>2</v>
      </c>
      <c r="O242" s="110">
        <f>IF($B242=2017,IFERROR(INDEX('Salary Cap'!$B$143:$B$172,MATCH($A242,'Salary Cap'!$A$143:$A$172,0)),"n/a"),IFERROR(INDEX('Salary Cap'!$B$10:$K$39,MATCH($A242,'Salary Cap'!$A$10:$A$39,0),MATCH(""&amp;($B242-1),'Salary Cap'!$B$9:$K$9,0)),"n/a"))</f>
        <v>172516841</v>
      </c>
      <c r="P242" s="115">
        <f>IF($B242=2017,IFERROR(INDEX('Salary Cap'!$C$143:$C$172,MATCH($A242,'Salary Cap'!$A$143:$A$172,0)),"n/a"),IFERROR(INDEX('Salary Cap'!$B$109:$K$138,MATCH($A242,'Salary Cap'!$A$109:$A$138,0),MATCH(""&amp;($B242-1),'Salary Cap'!$B$108:$K$108,0)),"n/a"))</f>
        <v>53436904</v>
      </c>
      <c r="Q242" s="138">
        <f>IF(OR($B242=2021,$B242=2022),1,0)</f>
        <v>0</v>
      </c>
    </row>
    <row r="243" spans="1:17" x14ac:dyDescent="0.2">
      <c r="A243" s="113" t="str" cm="1">
        <f t="array" ref="A243">INDEX('NBA Valuations'!$A$5:$A$34,INT((ROW()-5)/10)+1)</f>
        <v>Phoenix Suns</v>
      </c>
      <c r="B243" s="105">
        <f t="shared" si="6"/>
        <v>2025</v>
      </c>
      <c r="C243" s="106">
        <f>IFERROR(INDEX('NBA Valuations'!$B$5:$K$34,MATCH($A243,'NBA Valuations'!$A$5:$A$34,0),MATCH(""&amp;$B243,'NBA Valuations'!$B$3:$K$3,0)),"n/a")</f>
        <v>4300</v>
      </c>
      <c r="D243" s="106">
        <f>IFERROR(INDEX(Revenue!$B$5:$K$34,MATCH($A243,Revenue!$A$5:$A$34,0),MATCH(""&amp;$B243,Revenue!$B$3:$K$3,0)),"n/a")</f>
        <v>369</v>
      </c>
      <c r="E243" s="106">
        <f>IFERROR(INDEX('Operating Income'!$B$5:$K$34,MATCH($A243,'Operating Income'!$A$5:$A$34,0),MATCH(""&amp;$B243,'Operating Income'!$B$3:$K$3,0)),"n/a")</f>
        <v>-14</v>
      </c>
      <c r="F243" s="107">
        <f>IFERROR(INDEX('Market Size'!$L$5:$L$34,MATCH($A243,'Market Size'!$A$5:$A$34,0)),"n/a")</f>
        <v>4875256</v>
      </c>
      <c r="G243" s="108">
        <f>IFERROR(INDEX('Market Size'!$B$38:$K$67,MATCH($A243,'Market Size'!$A$38:$A$67,0),MATCH(""&amp;($B243-1),'Market Size'!$B$36:$K$36,0)),"n/a")</f>
        <v>11</v>
      </c>
      <c r="H243" s="108">
        <f>IFERROR(INDEX(Arena!$B$38:$K$67,MATCH($A243,Arena!$A$38:$A$67,0),MATCH(""&amp;$B243,Arena!$B$36:$K$36,0)),"n/a")</f>
        <v>1992</v>
      </c>
      <c r="I243" s="136" t="str">
        <f>IFERROR(INDEX(Arena!$B$71:$K$100,MATCH($A243,Arena!$A$71:$A$100,0),MATCH(""&amp;$B243,Arena!$B$69:$K$69,0)),"n/a")</f>
        <v>N</v>
      </c>
      <c r="J243" s="137">
        <f>IF(ISNUMBER($H243),($B243-1)-$H243,"n/a")</f>
        <v>32</v>
      </c>
      <c r="K243" s="108">
        <f>IF($B243=2017,IFERROR(INDEX('Team Performance'!$B$241:$B$270,MATCH($A243,'Team Performance'!$A$241:$A$270,0)),"n/a"),IFERROR(INDEX('Team Performance'!$B$6:$K$35,MATCH($A243,'Team Performance'!$A$6:$A$35,0),MATCH(($B243-2)&amp;"-"&amp;RIGHT($B243-1,2),'Team Performance'!$B$5:$K$5,0)),"n/a"))</f>
        <v>49</v>
      </c>
      <c r="L243" s="108">
        <f>IF($B243=2017,IFERROR(INDEX('Team Performance'!$C$241:$C$270,MATCH($A243,'Team Performance'!$A$241:$A$270,0)),"n/a"),IFERROR(INDEX('Team Performance'!$B$39:$K$68,MATCH($A243,'Team Performance'!$A$39:$A$68,0),MATCH(($B243-2)&amp;"-"&amp;RIGHT($B243-1,2),'Team Performance'!$B$38:$K$38,0)),"n/a"))</f>
        <v>33</v>
      </c>
      <c r="M243" s="109">
        <f t="shared" si="7"/>
        <v>0.59756097560975607</v>
      </c>
      <c r="N243" s="108">
        <f>IF($B243=2017,IFERROR(INDEX('Team Performance'!$E$241:$E$270,MATCH($A243,'Team Performance'!$A$241:$A$270,0)),"n/a"),IFERROR(INDEX('Team Performance'!$B$140:$K$169,MATCH($A243,'Team Performance'!$A$140:$A$169,0),MATCH(($B243-2)&amp;"-"&amp;RIGHT($B243-1,2),'Team Performance'!$B$139:$K$139,0)),"n/a"))</f>
        <v>1</v>
      </c>
      <c r="O243" s="110">
        <f>IF($B243=2017,IFERROR(INDEX('Salary Cap'!$B$143:$B$172,MATCH($A243,'Salary Cap'!$A$143:$A$172,0)),"n/a"),IFERROR(INDEX('Salary Cap'!$B$10:$K$39,MATCH($A243,'Salary Cap'!$A$10:$A$39,0),MATCH(""&amp;($B243-1),'Salary Cap'!$B$9:$K$9,0)),"n/a"))</f>
        <v>191331329</v>
      </c>
      <c r="P243" s="115">
        <f>IF($B243=2017,IFERROR(INDEX('Salary Cap'!$C$143:$C$172,MATCH($A243,'Salary Cap'!$A$143:$A$172,0)),"n/a"),IFERROR(INDEX('Salary Cap'!$B$109:$K$138,MATCH($A243,'Salary Cap'!$A$109:$A$138,0),MATCH(""&amp;($B243-1),'Salary Cap'!$B$108:$K$108,0)),"n/a"))</f>
        <v>68158648</v>
      </c>
      <c r="Q243" s="138">
        <f>IF(OR($B243=2021,$B243=2022),1,0)</f>
        <v>0</v>
      </c>
    </row>
    <row r="244" spans="1:17" x14ac:dyDescent="0.2">
      <c r="A244" s="113" t="str" cm="1">
        <f t="array" ref="A244">INDEX('NBA Valuations'!$A$5:$A$34,INT((ROW()-5)/10)+1)</f>
        <v>Phoenix Suns</v>
      </c>
      <c r="B244" s="105">
        <f t="shared" si="6"/>
        <v>2026</v>
      </c>
      <c r="C244" s="106">
        <f>IFERROR(INDEX('NBA Valuations'!$B$5:$K$34,MATCH($A244,'NBA Valuations'!$A$5:$A$34,0),MATCH(""&amp;$B244,'NBA Valuations'!$B$3:$K$3,0)),"n/a")</f>
        <v>5425</v>
      </c>
      <c r="D244" s="106">
        <f>IFERROR(INDEX(Revenue!$B$5:$K$34,MATCH($A244,Revenue!$A$5:$A$34,0),MATCH(""&amp;$B244,Revenue!$B$3:$K$3,0)),"n/a")</f>
        <v>455</v>
      </c>
      <c r="E244" s="106">
        <f>IFERROR(INDEX('Operating Income'!$B$5:$K$34,MATCH($A244,'Operating Income'!$A$5:$A$34,0),MATCH(""&amp;$B244,'Operating Income'!$B$3:$K$3,0)),"n/a")</f>
        <v>-33</v>
      </c>
      <c r="F244" s="107">
        <f>IFERROR(INDEX('Market Size'!$L$5:$L$34,MATCH($A244,'Market Size'!$A$5:$A$34,0)),"n/a")</f>
        <v>4875256</v>
      </c>
      <c r="G244" s="108">
        <f>IFERROR(INDEX('Market Size'!$B$38:$K$67,MATCH($A244,'Market Size'!$A$38:$A$67,0),MATCH(""&amp;($B244-1),'Market Size'!$B$36:$K$36,0)),"n/a")</f>
        <v>12</v>
      </c>
      <c r="H244" s="108">
        <f>IFERROR(INDEX(Arena!$B$38:$K$67,MATCH($A244,Arena!$A$38:$A$67,0),MATCH(""&amp;$B244,Arena!$B$36:$K$36,0)),"n/a")</f>
        <v>1992</v>
      </c>
      <c r="I244" s="136" t="str">
        <f>IFERROR(INDEX(Arena!$B$71:$K$100,MATCH($A244,Arena!$A$71:$A$100,0),MATCH(""&amp;$B244,Arena!$B$69:$K$69,0)),"n/a")</f>
        <v>N</v>
      </c>
      <c r="J244" s="137">
        <f>IF(ISNUMBER($H244),($B244-1)-$H244,"n/a")</f>
        <v>33</v>
      </c>
      <c r="K244" s="108">
        <f>IF($B244=2017,IFERROR(INDEX('Team Performance'!$B$241:$B$270,MATCH($A244,'Team Performance'!$A$241:$A$270,0)),"n/a"),IFERROR(INDEX('Team Performance'!$B$6:$K$35,MATCH($A244,'Team Performance'!$A$6:$A$35,0),MATCH(($B244-2)&amp;"-"&amp;RIGHT($B244-1,2),'Team Performance'!$B$5:$K$5,0)),"n/a"))</f>
        <v>36</v>
      </c>
      <c r="L244" s="108">
        <f>IF($B244=2017,IFERROR(INDEX('Team Performance'!$C$241:$C$270,MATCH($A244,'Team Performance'!$A$241:$A$270,0)),"n/a"),IFERROR(INDEX('Team Performance'!$B$39:$K$68,MATCH($A244,'Team Performance'!$A$39:$A$68,0),MATCH(($B244-2)&amp;"-"&amp;RIGHT($B244-1,2),'Team Performance'!$B$38:$K$38,0)),"n/a"))</f>
        <v>46</v>
      </c>
      <c r="M244" s="109">
        <f t="shared" si="7"/>
        <v>0.43902439024390244</v>
      </c>
      <c r="N244" s="108">
        <f>IF($B244=2017,IFERROR(INDEX('Team Performance'!$E$241:$E$270,MATCH($A244,'Team Performance'!$A$241:$A$270,0)),"n/a"),IFERROR(INDEX('Team Performance'!$B$140:$K$169,MATCH($A244,'Team Performance'!$A$140:$A$169,0),MATCH(($B244-2)&amp;"-"&amp;RIGHT($B244-1,2),'Team Performance'!$B$139:$K$139,0)),"n/a"))</f>
        <v>0</v>
      </c>
      <c r="O244" s="110">
        <f>IF($B244=2017,IFERROR(INDEX('Salary Cap'!$B$143:$B$172,MATCH($A244,'Salary Cap'!$A$143:$A$172,0)),"n/a"),IFERROR(INDEX('Salary Cap'!$B$10:$K$39,MATCH($A244,'Salary Cap'!$A$10:$A$39,0),MATCH(""&amp;($B244-1),'Salary Cap'!$B$9:$K$9,0)),"n/a"))</f>
        <v>214371340</v>
      </c>
      <c r="P244" s="115">
        <f>IF($B244=2017,IFERROR(INDEX('Salary Cap'!$C$143:$C$172,MATCH($A244,'Salary Cap'!$A$143:$A$172,0)),"n/a"),IFERROR(INDEX('Salary Cap'!$B$109:$K$138,MATCH($A244,'Salary Cap'!$A$109:$A$138,0),MATCH(""&amp;($B244-1),'Salary Cap'!$B$108:$K$108,0)),"n/a"))</f>
        <v>152262705</v>
      </c>
      <c r="Q244" s="138">
        <f>IF(OR($B244=2021,$B244=2022),1,0)</f>
        <v>0</v>
      </c>
    </row>
    <row r="245" spans="1:17" x14ac:dyDescent="0.2">
      <c r="A245" s="113" t="str" cm="1">
        <f t="array" ref="A245">INDEX('NBA Valuations'!$A$5:$A$34,INT((ROW()-5)/10)+1)</f>
        <v>Portland Trail Blazers</v>
      </c>
      <c r="B245" s="105">
        <f t="shared" si="6"/>
        <v>2017</v>
      </c>
      <c r="C245" s="106">
        <f>IFERROR(INDEX('NBA Valuations'!$B$5:$K$34,MATCH($A245,'NBA Valuations'!$A$5:$A$34,0),MATCH(""&amp;$B245,'NBA Valuations'!$B$3:$K$3,0)),"n/a")</f>
        <v>1100</v>
      </c>
      <c r="D245" s="106">
        <f>IFERROR(INDEX(Revenue!$B$5:$K$34,MATCH($A245,Revenue!$A$5:$A$34,0),MATCH(""&amp;$B245,Revenue!$B$3:$K$3,0)),"n/a")</f>
        <v>178</v>
      </c>
      <c r="E245" s="106">
        <f>IFERROR(INDEX('Operating Income'!$B$5:$K$34,MATCH($A245,'Operating Income'!$A$5:$A$34,0),MATCH(""&amp;$B245,'Operating Income'!$B$3:$K$3,0)),"n/a")</f>
        <v>41.2</v>
      </c>
      <c r="F245" s="107">
        <f>IFERROR(INDEX('Market Size'!$L$5:$L$34,MATCH($A245,'Market Size'!$A$5:$A$34,0)),"n/a")</f>
        <v>2517518</v>
      </c>
      <c r="G245" s="108" t="str">
        <f>IFERROR(INDEX('Market Size'!$B$38:$K$67,MATCH($A245,'Market Size'!$A$38:$A$67,0),MATCH(""&amp;($B245-1),'Market Size'!$B$36:$K$36,0)),"n/a")</f>
        <v>n/a</v>
      </c>
      <c r="H245" s="108">
        <f>IFERROR(INDEX(Arena!$B$38:$K$67,MATCH($A245,Arena!$A$38:$A$67,0),MATCH(""&amp;$B245,Arena!$B$36:$K$36,0)),"n/a")</f>
        <v>1995</v>
      </c>
      <c r="I245" s="136" t="str">
        <f>IFERROR(INDEX(Arena!$B$71:$K$100,MATCH($A245,Arena!$A$71:$A$100,0),MATCH(""&amp;$B245,Arena!$B$69:$K$69,0)),"n/a")</f>
        <v>Y</v>
      </c>
      <c r="J245" s="137">
        <f>IF(ISNUMBER($H245),($B245-1)-$H245,"n/a")</f>
        <v>21</v>
      </c>
      <c r="K245" s="108">
        <f>IF($B245=2017,IFERROR(INDEX('Team Performance'!$B$241:$B$270,MATCH($A245,'Team Performance'!$A$241:$A$270,0)),"n/a"),IFERROR(INDEX('Team Performance'!$B$6:$K$35,MATCH($A245,'Team Performance'!$A$6:$A$35,0),MATCH(($B245-2)&amp;"-"&amp;RIGHT($B245-1,2),'Team Performance'!$B$5:$K$5,0)),"n/a"))</f>
        <v>44</v>
      </c>
      <c r="L245" s="108">
        <f>IF($B245=2017,IFERROR(INDEX('Team Performance'!$C$241:$C$270,MATCH($A245,'Team Performance'!$A$241:$A$270,0)),"n/a"),IFERROR(INDEX('Team Performance'!$B$39:$K$68,MATCH($A245,'Team Performance'!$A$39:$A$68,0),MATCH(($B245-2)&amp;"-"&amp;RIGHT($B245-1,2),'Team Performance'!$B$38:$K$38,0)),"n/a"))</f>
        <v>38</v>
      </c>
      <c r="M245" s="109">
        <f t="shared" si="7"/>
        <v>0.53658536585365857</v>
      </c>
      <c r="N245" s="108">
        <f>IF($B245=2017,IFERROR(INDEX('Team Performance'!$E$241:$E$270,MATCH($A245,'Team Performance'!$A$241:$A$270,0)),"n/a"),IFERROR(INDEX('Team Performance'!$B$140:$K$169,MATCH($A245,'Team Performance'!$A$140:$A$169,0),MATCH(($B245-2)&amp;"-"&amp;RIGHT($B245-1,2),'Team Performance'!$B$139:$K$139,0)),"n/a"))</f>
        <v>2</v>
      </c>
      <c r="O245" s="110">
        <f>IF($B245=2017,IFERROR(INDEX('Salary Cap'!$B$143:$B$172,MATCH($A245,'Salary Cap'!$A$143:$A$172,0)),"n/a"),IFERROR(INDEX('Salary Cap'!$B$10:$K$39,MATCH($A245,'Salary Cap'!$A$10:$A$39,0),MATCH(""&amp;($B245-1),'Salary Cap'!$B$9:$K$9,0)),"n/a"))</f>
        <v>62486866</v>
      </c>
      <c r="P245" s="115">
        <f>IF($B245=2017,IFERROR(INDEX('Salary Cap'!$C$143:$C$172,MATCH($A245,'Salary Cap'!$A$143:$A$172,0)),"n/a"),IFERROR(INDEX('Salary Cap'!$B$109:$K$138,MATCH($A245,'Salary Cap'!$A$109:$A$138,0),MATCH(""&amp;($B245-1),'Salary Cap'!$B$108:$K$108,0)),"n/a"))</f>
        <v>0</v>
      </c>
      <c r="Q245" s="138">
        <f>IF(OR($B245=2021,$B245=2022),1,0)</f>
        <v>0</v>
      </c>
    </row>
    <row r="246" spans="1:17" x14ac:dyDescent="0.2">
      <c r="A246" s="113" t="str" cm="1">
        <f t="array" ref="A246">INDEX('NBA Valuations'!$A$5:$A$34,INT((ROW()-5)/10)+1)</f>
        <v>Portland Trail Blazers</v>
      </c>
      <c r="B246" s="105">
        <f t="shared" si="6"/>
        <v>2018</v>
      </c>
      <c r="C246" s="106">
        <f>IFERROR(INDEX('NBA Valuations'!$B$5:$K$34,MATCH($A246,'NBA Valuations'!$A$5:$A$34,0),MATCH(""&amp;$B246,'NBA Valuations'!$B$3:$K$3,0)),"n/a")</f>
        <v>1300</v>
      </c>
      <c r="D246" s="106">
        <f>IFERROR(INDEX(Revenue!$B$5:$K$34,MATCH($A246,Revenue!$A$5:$A$34,0),MATCH(""&amp;$B246,Revenue!$B$3:$K$3,0)),"n/a")</f>
        <v>223</v>
      </c>
      <c r="E246" s="106">
        <f>IFERROR(INDEX('Operating Income'!$B$5:$K$34,MATCH($A246,'Operating Income'!$A$5:$A$34,0),MATCH(""&amp;$B246,'Operating Income'!$B$3:$K$3,0)),"n/a")</f>
        <v>25</v>
      </c>
      <c r="F246" s="107">
        <f>IFERROR(INDEX('Market Size'!$L$5:$L$34,MATCH($A246,'Market Size'!$A$5:$A$34,0)),"n/a")</f>
        <v>2517518</v>
      </c>
      <c r="G246" s="108" t="str">
        <f>IFERROR(INDEX('Market Size'!$B$38:$K$67,MATCH($A246,'Market Size'!$A$38:$A$67,0),MATCH(""&amp;($B246-1),'Market Size'!$B$36:$K$36,0)),"n/a")</f>
        <v>n/a</v>
      </c>
      <c r="H246" s="108">
        <f>IFERROR(INDEX(Arena!$B$38:$K$67,MATCH($A246,Arena!$A$38:$A$67,0),MATCH(""&amp;$B246,Arena!$B$36:$K$36,0)),"n/a")</f>
        <v>1995</v>
      </c>
      <c r="I246" s="136" t="str">
        <f>IFERROR(INDEX(Arena!$B$71:$K$100,MATCH($A246,Arena!$A$71:$A$100,0),MATCH(""&amp;$B246,Arena!$B$69:$K$69,0)),"n/a")</f>
        <v>Y</v>
      </c>
      <c r="J246" s="137">
        <f>IF(ISNUMBER($H246),($B246-1)-$H246,"n/a")</f>
        <v>22</v>
      </c>
      <c r="K246" s="108">
        <f>IF($B246=2017,IFERROR(INDEX('Team Performance'!$B$241:$B$270,MATCH($A246,'Team Performance'!$A$241:$A$270,0)),"n/a"),IFERROR(INDEX('Team Performance'!$B$6:$K$35,MATCH($A246,'Team Performance'!$A$6:$A$35,0),MATCH(($B246-2)&amp;"-"&amp;RIGHT($B246-1,2),'Team Performance'!$B$5:$K$5,0)),"n/a"))</f>
        <v>41</v>
      </c>
      <c r="L246" s="108">
        <f>IF($B246=2017,IFERROR(INDEX('Team Performance'!$C$241:$C$270,MATCH($A246,'Team Performance'!$A$241:$A$270,0)),"n/a"),IFERROR(INDEX('Team Performance'!$B$39:$K$68,MATCH($A246,'Team Performance'!$A$39:$A$68,0),MATCH(($B246-2)&amp;"-"&amp;RIGHT($B246-1,2),'Team Performance'!$B$38:$K$38,0)),"n/a"))</f>
        <v>41</v>
      </c>
      <c r="M246" s="109">
        <f t="shared" si="7"/>
        <v>0.5</v>
      </c>
      <c r="N246" s="108">
        <f>IF($B246=2017,IFERROR(INDEX('Team Performance'!$E$241:$E$270,MATCH($A246,'Team Performance'!$A$241:$A$270,0)),"n/a"),IFERROR(INDEX('Team Performance'!$B$140:$K$169,MATCH($A246,'Team Performance'!$A$140:$A$169,0),MATCH(($B246-2)&amp;"-"&amp;RIGHT($B246-1,2),'Team Performance'!$B$139:$K$139,0)),"n/a"))</f>
        <v>1</v>
      </c>
      <c r="O246" s="110">
        <f>IF($B246=2017,IFERROR(INDEX('Salary Cap'!$B$143:$B$172,MATCH($A246,'Salary Cap'!$A$143:$A$172,0)),"n/a"),IFERROR(INDEX('Salary Cap'!$B$10:$K$39,MATCH($A246,'Salary Cap'!$A$10:$A$39,0),MATCH(""&amp;($B246-1),'Salary Cap'!$B$9:$K$9,0)),"n/a"))</f>
        <v>113282538</v>
      </c>
      <c r="P246" s="115">
        <f>IF($B246=2017,IFERROR(INDEX('Salary Cap'!$C$143:$C$172,MATCH($A246,'Salary Cap'!$A$143:$A$172,0)),"n/a"),IFERROR(INDEX('Salary Cap'!$B$109:$K$138,MATCH($A246,'Salary Cap'!$A$109:$A$138,0),MATCH(""&amp;($B246-1),'Salary Cap'!$B$108:$K$108,0)),"n/a"))</f>
        <v>0</v>
      </c>
      <c r="Q246" s="138">
        <f>IF(OR($B246=2021,$B246=2022),1,0)</f>
        <v>0</v>
      </c>
    </row>
    <row r="247" spans="1:17" x14ac:dyDescent="0.2">
      <c r="A247" s="113" t="str" cm="1">
        <f t="array" ref="A247">INDEX('NBA Valuations'!$A$5:$A$34,INT((ROW()-5)/10)+1)</f>
        <v>Portland Trail Blazers</v>
      </c>
      <c r="B247" s="105">
        <f t="shared" si="6"/>
        <v>2019</v>
      </c>
      <c r="C247" s="106">
        <f>IFERROR(INDEX('NBA Valuations'!$B$5:$K$34,MATCH($A247,'NBA Valuations'!$A$5:$A$34,0),MATCH(""&amp;$B247,'NBA Valuations'!$B$3:$K$3,0)),"n/a")</f>
        <v>1600</v>
      </c>
      <c r="D247" s="106">
        <f>IFERROR(INDEX(Revenue!$B$5:$K$34,MATCH($A247,Revenue!$A$5:$A$34,0),MATCH(""&amp;$B247,Revenue!$B$3:$K$3,0)),"n/a")</f>
        <v>246</v>
      </c>
      <c r="E247" s="106">
        <f>IFERROR(INDEX('Operating Income'!$B$5:$K$34,MATCH($A247,'Operating Income'!$A$5:$A$34,0),MATCH(""&amp;$B247,'Operating Income'!$B$3:$K$3,0)),"n/a")</f>
        <v>40</v>
      </c>
      <c r="F247" s="107">
        <f>IFERROR(INDEX('Market Size'!$L$5:$L$34,MATCH($A247,'Market Size'!$A$5:$A$34,0)),"n/a")</f>
        <v>2517518</v>
      </c>
      <c r="G247" s="108" t="str">
        <f>IFERROR(INDEX('Market Size'!$B$38:$K$67,MATCH($A247,'Market Size'!$A$38:$A$67,0),MATCH(""&amp;($B247-1),'Market Size'!$B$36:$K$36,0)),"n/a")</f>
        <v>n/a</v>
      </c>
      <c r="H247" s="108">
        <f>IFERROR(INDEX(Arena!$B$38:$K$67,MATCH($A247,Arena!$A$38:$A$67,0),MATCH(""&amp;$B247,Arena!$B$36:$K$36,0)),"n/a")</f>
        <v>1995</v>
      </c>
      <c r="I247" s="136" t="str">
        <f>IFERROR(INDEX(Arena!$B$71:$K$100,MATCH($A247,Arena!$A$71:$A$100,0),MATCH(""&amp;$B247,Arena!$B$69:$K$69,0)),"n/a")</f>
        <v>Y</v>
      </c>
      <c r="J247" s="137">
        <f>IF(ISNUMBER($H247),($B247-1)-$H247,"n/a")</f>
        <v>23</v>
      </c>
      <c r="K247" s="108">
        <f>IF($B247=2017,IFERROR(INDEX('Team Performance'!$B$241:$B$270,MATCH($A247,'Team Performance'!$A$241:$A$270,0)),"n/a"),IFERROR(INDEX('Team Performance'!$B$6:$K$35,MATCH($A247,'Team Performance'!$A$6:$A$35,0),MATCH(($B247-2)&amp;"-"&amp;RIGHT($B247-1,2),'Team Performance'!$B$5:$K$5,0)),"n/a"))</f>
        <v>49</v>
      </c>
      <c r="L247" s="108">
        <f>IF($B247=2017,IFERROR(INDEX('Team Performance'!$C$241:$C$270,MATCH($A247,'Team Performance'!$A$241:$A$270,0)),"n/a"),IFERROR(INDEX('Team Performance'!$B$39:$K$68,MATCH($A247,'Team Performance'!$A$39:$A$68,0),MATCH(($B247-2)&amp;"-"&amp;RIGHT($B247-1,2),'Team Performance'!$B$38:$K$38,0)),"n/a"))</f>
        <v>33</v>
      </c>
      <c r="M247" s="109">
        <f t="shared" si="7"/>
        <v>0.59756097560975607</v>
      </c>
      <c r="N247" s="108">
        <f>IF($B247=2017,IFERROR(INDEX('Team Performance'!$E$241:$E$270,MATCH($A247,'Team Performance'!$A$241:$A$270,0)),"n/a"),IFERROR(INDEX('Team Performance'!$B$140:$K$169,MATCH($A247,'Team Performance'!$A$140:$A$169,0),MATCH(($B247-2)&amp;"-"&amp;RIGHT($B247-1,2),'Team Performance'!$B$139:$K$139,0)),"n/a"))</f>
        <v>1</v>
      </c>
      <c r="O247" s="110">
        <f>IF($B247=2017,IFERROR(INDEX('Salary Cap'!$B$143:$B$172,MATCH($A247,'Salary Cap'!$A$143:$A$172,0)),"n/a"),IFERROR(INDEX('Salary Cap'!$B$10:$K$39,MATCH($A247,'Salary Cap'!$A$10:$A$39,0),MATCH(""&amp;($B247-1),'Salary Cap'!$B$9:$K$9,0)),"n/a"))</f>
        <v>119265261</v>
      </c>
      <c r="P247" s="115">
        <f>IF($B247=2017,IFERROR(INDEX('Salary Cap'!$C$143:$C$172,MATCH($A247,'Salary Cap'!$A$143:$A$172,0)),"n/a"),IFERROR(INDEX('Salary Cap'!$B$109:$K$138,MATCH($A247,'Salary Cap'!$A$109:$A$138,0),MATCH(""&amp;($B247-1),'Salary Cap'!$B$108:$K$108,0)),"n/a"))</f>
        <v>0</v>
      </c>
      <c r="Q247" s="138">
        <f>IF(OR($B247=2021,$B247=2022),1,0)</f>
        <v>0</v>
      </c>
    </row>
    <row r="248" spans="1:17" x14ac:dyDescent="0.2">
      <c r="A248" s="113" t="str" cm="1">
        <f t="array" ref="A248">INDEX('NBA Valuations'!$A$5:$A$34,INT((ROW()-5)/10)+1)</f>
        <v>Portland Trail Blazers</v>
      </c>
      <c r="B248" s="105">
        <f t="shared" si="6"/>
        <v>2020</v>
      </c>
      <c r="C248" s="106">
        <f>IFERROR(INDEX('NBA Valuations'!$B$5:$K$34,MATCH($A248,'NBA Valuations'!$A$5:$A$34,0),MATCH(""&amp;$B248,'NBA Valuations'!$B$3:$K$3,0)),"n/a")</f>
        <v>1900</v>
      </c>
      <c r="D248" s="106">
        <f>IFERROR(INDEX(Revenue!$B$5:$K$34,MATCH($A248,Revenue!$A$5:$A$34,0),MATCH(""&amp;$B248,Revenue!$B$3:$K$3,0)),"n/a")</f>
        <v>287</v>
      </c>
      <c r="E248" s="106">
        <f>IFERROR(INDEX('Operating Income'!$B$5:$K$34,MATCH($A248,'Operating Income'!$A$5:$A$34,0),MATCH(""&amp;$B248,'Operating Income'!$B$3:$K$3,0)),"n/a")</f>
        <v>51</v>
      </c>
      <c r="F248" s="107">
        <f>IFERROR(INDEX('Market Size'!$L$5:$L$34,MATCH($A248,'Market Size'!$A$5:$A$34,0)),"n/a")</f>
        <v>2517518</v>
      </c>
      <c r="G248" s="108" t="str">
        <f>IFERROR(INDEX('Market Size'!$B$38:$K$67,MATCH($A248,'Market Size'!$A$38:$A$67,0),MATCH(""&amp;($B248-1),'Market Size'!$B$36:$K$36,0)),"n/a")</f>
        <v>n/a</v>
      </c>
      <c r="H248" s="108">
        <f>IFERROR(INDEX(Arena!$B$38:$K$67,MATCH($A248,Arena!$A$38:$A$67,0),MATCH(""&amp;$B248,Arena!$B$36:$K$36,0)),"n/a")</f>
        <v>1995</v>
      </c>
      <c r="I248" s="136" t="str">
        <f>IFERROR(INDEX(Arena!$B$71:$K$100,MATCH($A248,Arena!$A$71:$A$100,0),MATCH(""&amp;$B248,Arena!$B$69:$K$69,0)),"n/a")</f>
        <v>Y</v>
      </c>
      <c r="J248" s="137">
        <f>IF(ISNUMBER($H248),($B248-1)-$H248,"n/a")</f>
        <v>24</v>
      </c>
      <c r="K248" s="108">
        <f>IF($B248=2017,IFERROR(INDEX('Team Performance'!$B$241:$B$270,MATCH($A248,'Team Performance'!$A$241:$A$270,0)),"n/a"),IFERROR(INDEX('Team Performance'!$B$6:$K$35,MATCH($A248,'Team Performance'!$A$6:$A$35,0),MATCH(($B248-2)&amp;"-"&amp;RIGHT($B248-1,2),'Team Performance'!$B$5:$K$5,0)),"n/a"))</f>
        <v>53</v>
      </c>
      <c r="L248" s="108">
        <f>IF($B248=2017,IFERROR(INDEX('Team Performance'!$C$241:$C$270,MATCH($A248,'Team Performance'!$A$241:$A$270,0)),"n/a"),IFERROR(INDEX('Team Performance'!$B$39:$K$68,MATCH($A248,'Team Performance'!$A$39:$A$68,0),MATCH(($B248-2)&amp;"-"&amp;RIGHT($B248-1,2),'Team Performance'!$B$38:$K$38,0)),"n/a"))</f>
        <v>29</v>
      </c>
      <c r="M248" s="109">
        <f t="shared" si="7"/>
        <v>0.64634146341463417</v>
      </c>
      <c r="N248" s="108">
        <f>IF($B248=2017,IFERROR(INDEX('Team Performance'!$E$241:$E$270,MATCH($A248,'Team Performance'!$A$241:$A$270,0)),"n/a"),IFERROR(INDEX('Team Performance'!$B$140:$K$169,MATCH($A248,'Team Performance'!$A$140:$A$169,0),MATCH(($B248-2)&amp;"-"&amp;RIGHT($B248-1,2),'Team Performance'!$B$139:$K$139,0)),"n/a"))</f>
        <v>3</v>
      </c>
      <c r="O248" s="110">
        <f>IF($B248=2017,IFERROR(INDEX('Salary Cap'!$B$143:$B$172,MATCH($A248,'Salary Cap'!$A$143:$A$172,0)),"n/a"),IFERROR(INDEX('Salary Cap'!$B$10:$K$39,MATCH($A248,'Salary Cap'!$A$10:$A$39,0),MATCH(""&amp;($B248-1),'Salary Cap'!$B$9:$K$9,0)),"n/a"))</f>
        <v>133096018</v>
      </c>
      <c r="P248" s="115">
        <f>IF($B248=2017,IFERROR(INDEX('Salary Cap'!$C$143:$C$172,MATCH($A248,'Salary Cap'!$A$143:$A$172,0)),"n/a"),IFERROR(INDEX('Salary Cap'!$B$109:$K$138,MATCH($A248,'Salary Cap'!$A$109:$A$138,0),MATCH(""&amp;($B248-1),'Salary Cap'!$B$108:$K$108,0)),"n/a"))</f>
        <v>15100000</v>
      </c>
      <c r="Q248" s="138">
        <f>IF(OR($B248=2021,$B248=2022),1,0)</f>
        <v>0</v>
      </c>
    </row>
    <row r="249" spans="1:17" x14ac:dyDescent="0.2">
      <c r="A249" s="113" t="str" cm="1">
        <f t="array" ref="A249">INDEX('NBA Valuations'!$A$5:$A$34,INT((ROW()-5)/10)+1)</f>
        <v>Portland Trail Blazers</v>
      </c>
      <c r="B249" s="105">
        <f t="shared" si="6"/>
        <v>2021</v>
      </c>
      <c r="C249" s="106">
        <f>IFERROR(INDEX('NBA Valuations'!$B$5:$K$34,MATCH($A249,'NBA Valuations'!$A$5:$A$34,0),MATCH(""&amp;$B249,'NBA Valuations'!$B$3:$K$3,0)),"n/a")</f>
        <v>1900</v>
      </c>
      <c r="D249" s="106">
        <f>IFERROR(INDEX(Revenue!$B$5:$K$34,MATCH($A249,Revenue!$A$5:$A$34,0),MATCH(""&amp;$B249,Revenue!$B$3:$K$3,0)),"n/a")</f>
        <v>240</v>
      </c>
      <c r="E249" s="106">
        <f>IFERROR(INDEX('Operating Income'!$B$5:$K$34,MATCH($A249,'Operating Income'!$A$5:$A$34,0),MATCH(""&amp;$B249,'Operating Income'!$B$3:$K$3,0)),"n/a")</f>
        <v>27</v>
      </c>
      <c r="F249" s="107">
        <f>IFERROR(INDEX('Market Size'!$L$5:$L$34,MATCH($A249,'Market Size'!$A$5:$A$34,0)),"n/a")</f>
        <v>2517518</v>
      </c>
      <c r="G249" s="108" t="str">
        <f>IFERROR(INDEX('Market Size'!$B$38:$K$67,MATCH($A249,'Market Size'!$A$38:$A$67,0),MATCH(""&amp;($B249-1),'Market Size'!$B$36:$K$36,0)),"n/a")</f>
        <v>n/a</v>
      </c>
      <c r="H249" s="108">
        <f>IFERROR(INDEX(Arena!$B$38:$K$67,MATCH($A249,Arena!$A$38:$A$67,0),MATCH(""&amp;$B249,Arena!$B$36:$K$36,0)),"n/a")</f>
        <v>1995</v>
      </c>
      <c r="I249" s="136" t="str">
        <f>IFERROR(INDEX(Arena!$B$71:$K$100,MATCH($A249,Arena!$A$71:$A$100,0),MATCH(""&amp;$B249,Arena!$B$69:$K$69,0)),"n/a")</f>
        <v>Y</v>
      </c>
      <c r="J249" s="137">
        <f>IF(ISNUMBER($H249),($B249-1)-$H249,"n/a")</f>
        <v>25</v>
      </c>
      <c r="K249" s="108">
        <f>IF($B249=2017,IFERROR(INDEX('Team Performance'!$B$241:$B$270,MATCH($A249,'Team Performance'!$A$241:$A$270,0)),"n/a"),IFERROR(INDEX('Team Performance'!$B$6:$K$35,MATCH($A249,'Team Performance'!$A$6:$A$35,0),MATCH(($B249-2)&amp;"-"&amp;RIGHT($B249-1,2),'Team Performance'!$B$5:$K$5,0)),"n/a"))</f>
        <v>35</v>
      </c>
      <c r="L249" s="108">
        <f>IF($B249=2017,IFERROR(INDEX('Team Performance'!$C$241:$C$270,MATCH($A249,'Team Performance'!$A$241:$A$270,0)),"n/a"),IFERROR(INDEX('Team Performance'!$B$39:$K$68,MATCH($A249,'Team Performance'!$A$39:$A$68,0),MATCH(($B249-2)&amp;"-"&amp;RIGHT($B249-1,2),'Team Performance'!$B$38:$K$38,0)),"n/a"))</f>
        <v>39</v>
      </c>
      <c r="M249" s="109">
        <f t="shared" si="7"/>
        <v>0.47297297297297297</v>
      </c>
      <c r="N249" s="108">
        <f>IF($B249=2017,IFERROR(INDEX('Team Performance'!$E$241:$E$270,MATCH($A249,'Team Performance'!$A$241:$A$270,0)),"n/a"),IFERROR(INDEX('Team Performance'!$B$140:$K$169,MATCH($A249,'Team Performance'!$A$140:$A$169,0),MATCH(($B249-2)&amp;"-"&amp;RIGHT($B249-1,2),'Team Performance'!$B$139:$K$139,0)),"n/a"))</f>
        <v>1</v>
      </c>
      <c r="O249" s="110">
        <f>IF($B249=2017,IFERROR(INDEX('Salary Cap'!$B$143:$B$172,MATCH($A249,'Salary Cap'!$A$143:$A$172,0)),"n/a"),IFERROR(INDEX('Salary Cap'!$B$10:$K$39,MATCH($A249,'Salary Cap'!$A$10:$A$39,0),MATCH(""&amp;($B249-1),'Salary Cap'!$B$9:$K$9,0)),"n/a"))</f>
        <v>136592297</v>
      </c>
      <c r="P249" s="115">
        <f>IF($B249=2017,IFERROR(INDEX('Salary Cap'!$C$143:$C$172,MATCH($A249,'Salary Cap'!$A$143:$A$172,0)),"n/a"),IFERROR(INDEX('Salary Cap'!$B$109:$K$138,MATCH($A249,'Salary Cap'!$A$109:$A$138,0),MATCH(""&amp;($B249-1),'Salary Cap'!$B$108:$K$108,0)),"n/a"))</f>
        <v>5082084</v>
      </c>
      <c r="Q249" s="138">
        <f>IF(OR($B249=2021,$B249=2022),1,0)</f>
        <v>1</v>
      </c>
    </row>
    <row r="250" spans="1:17" x14ac:dyDescent="0.2">
      <c r="A250" s="113" t="str" cm="1">
        <f t="array" ref="A250">INDEX('NBA Valuations'!$A$5:$A$34,INT((ROW()-5)/10)+1)</f>
        <v>Portland Trail Blazers</v>
      </c>
      <c r="B250" s="105">
        <f t="shared" si="6"/>
        <v>2022</v>
      </c>
      <c r="C250" s="106">
        <f>IFERROR(INDEX('NBA Valuations'!$B$5:$K$34,MATCH($A250,'NBA Valuations'!$A$5:$A$34,0),MATCH(""&amp;$B250,'NBA Valuations'!$B$3:$K$3,0)),"n/a")</f>
        <v>2050</v>
      </c>
      <c r="D250" s="106">
        <f>IFERROR(INDEX(Revenue!$B$5:$K$34,MATCH($A250,Revenue!$A$5:$A$34,0),MATCH(""&amp;$B250,Revenue!$B$3:$K$3,0)),"n/a")</f>
        <v>201</v>
      </c>
      <c r="E250" s="106">
        <f>IFERROR(INDEX('Operating Income'!$B$5:$K$34,MATCH($A250,'Operating Income'!$A$5:$A$34,0),MATCH(""&amp;$B250,'Operating Income'!$B$3:$K$3,0)),"n/a")</f>
        <v>19</v>
      </c>
      <c r="F250" s="107">
        <f>IFERROR(INDEX('Market Size'!$L$5:$L$34,MATCH($A250,'Market Size'!$A$5:$A$34,0)),"n/a")</f>
        <v>2517518</v>
      </c>
      <c r="G250" s="108" t="str">
        <f>IFERROR(INDEX('Market Size'!$B$38:$K$67,MATCH($A250,'Market Size'!$A$38:$A$67,0),MATCH(""&amp;($B250-1),'Market Size'!$B$36:$K$36,0)),"n/a")</f>
        <v>n/a</v>
      </c>
      <c r="H250" s="108">
        <f>IFERROR(INDEX(Arena!$B$38:$K$67,MATCH($A250,Arena!$A$38:$A$67,0),MATCH(""&amp;$B250,Arena!$B$36:$K$36,0)),"n/a")</f>
        <v>1995</v>
      </c>
      <c r="I250" s="136" t="str">
        <f>IFERROR(INDEX(Arena!$B$71:$K$100,MATCH($A250,Arena!$A$71:$A$100,0),MATCH(""&amp;$B250,Arena!$B$69:$K$69,0)),"n/a")</f>
        <v>Y</v>
      </c>
      <c r="J250" s="137">
        <f>IF(ISNUMBER($H250),($B250-1)-$H250,"n/a")</f>
        <v>26</v>
      </c>
      <c r="K250" s="108">
        <f>IF($B250=2017,IFERROR(INDEX('Team Performance'!$B$241:$B$270,MATCH($A250,'Team Performance'!$A$241:$A$270,0)),"n/a"),IFERROR(INDEX('Team Performance'!$B$6:$K$35,MATCH($A250,'Team Performance'!$A$6:$A$35,0),MATCH(($B250-2)&amp;"-"&amp;RIGHT($B250-1,2),'Team Performance'!$B$5:$K$5,0)),"n/a"))</f>
        <v>42</v>
      </c>
      <c r="L250" s="108">
        <f>IF($B250=2017,IFERROR(INDEX('Team Performance'!$C$241:$C$270,MATCH($A250,'Team Performance'!$A$241:$A$270,0)),"n/a"),IFERROR(INDEX('Team Performance'!$B$39:$K$68,MATCH($A250,'Team Performance'!$A$39:$A$68,0),MATCH(($B250-2)&amp;"-"&amp;RIGHT($B250-1,2),'Team Performance'!$B$38:$K$38,0)),"n/a"))</f>
        <v>30</v>
      </c>
      <c r="M250" s="109">
        <f t="shared" si="7"/>
        <v>0.58333333333333337</v>
      </c>
      <c r="N250" s="108">
        <f>IF($B250=2017,IFERROR(INDEX('Team Performance'!$E$241:$E$270,MATCH($A250,'Team Performance'!$A$241:$A$270,0)),"n/a"),IFERROR(INDEX('Team Performance'!$B$140:$K$169,MATCH($A250,'Team Performance'!$A$140:$A$169,0),MATCH(($B250-2)&amp;"-"&amp;RIGHT($B250-1,2),'Team Performance'!$B$139:$K$139,0)),"n/a"))</f>
        <v>1</v>
      </c>
      <c r="O250" s="110">
        <f>IF($B250=2017,IFERROR(INDEX('Salary Cap'!$B$143:$B$172,MATCH($A250,'Salary Cap'!$A$143:$A$172,0)),"n/a"),IFERROR(INDEX('Salary Cap'!$B$10:$K$39,MATCH($A250,'Salary Cap'!$A$10:$A$39,0),MATCH(""&amp;($B250-1),'Salary Cap'!$B$9:$K$9,0)),"n/a"))</f>
        <v>130336680</v>
      </c>
      <c r="P250" s="115">
        <f>IF($B250=2017,IFERROR(INDEX('Salary Cap'!$C$143:$C$172,MATCH($A250,'Salary Cap'!$A$143:$A$172,0)),"n/a"),IFERROR(INDEX('Salary Cap'!$B$109:$K$138,MATCH($A250,'Salary Cap'!$A$109:$A$138,0),MATCH(""&amp;($B250-1),'Salary Cap'!$B$108:$K$108,0)),"n/a"))</f>
        <v>0</v>
      </c>
      <c r="Q250" s="138">
        <f>IF(OR($B250=2021,$B250=2022),1,0)</f>
        <v>1</v>
      </c>
    </row>
    <row r="251" spans="1:17" x14ac:dyDescent="0.2">
      <c r="A251" s="113" t="str" cm="1">
        <f t="array" ref="A251">INDEX('NBA Valuations'!$A$5:$A$34,INT((ROW()-5)/10)+1)</f>
        <v>Portland Trail Blazers</v>
      </c>
      <c r="B251" s="105">
        <f t="shared" si="6"/>
        <v>2023</v>
      </c>
      <c r="C251" s="106">
        <f>IFERROR(INDEX('NBA Valuations'!$B$5:$K$34,MATCH($A251,'NBA Valuations'!$A$5:$A$34,0),MATCH(""&amp;$B251,'NBA Valuations'!$B$3:$K$3,0)),"n/a")</f>
        <v>2100</v>
      </c>
      <c r="D251" s="106">
        <f>IFERROR(INDEX(Revenue!$B$5:$K$34,MATCH($A251,Revenue!$A$5:$A$34,0),MATCH(""&amp;$B251,Revenue!$B$3:$K$3,0)),"n/a")</f>
        <v>291</v>
      </c>
      <c r="E251" s="106">
        <f>IFERROR(INDEX('Operating Income'!$B$5:$K$34,MATCH($A251,'Operating Income'!$A$5:$A$34,0),MATCH(""&amp;$B251,'Operating Income'!$B$3:$K$3,0)),"n/a")</f>
        <v>81</v>
      </c>
      <c r="F251" s="107">
        <f>IFERROR(INDEX('Market Size'!$L$5:$L$34,MATCH($A251,'Market Size'!$A$5:$A$34,0)),"n/a")</f>
        <v>2517518</v>
      </c>
      <c r="G251" s="108" t="str">
        <f>IFERROR(INDEX('Market Size'!$B$38:$K$67,MATCH($A251,'Market Size'!$A$38:$A$67,0),MATCH(""&amp;($B251-1),'Market Size'!$B$36:$K$36,0)),"n/a")</f>
        <v>n/a</v>
      </c>
      <c r="H251" s="108">
        <f>IFERROR(INDEX(Arena!$B$38:$K$67,MATCH($A251,Arena!$A$38:$A$67,0),MATCH(""&amp;$B251,Arena!$B$36:$K$36,0)),"n/a")</f>
        <v>1995</v>
      </c>
      <c r="I251" s="136" t="str">
        <f>IFERROR(INDEX(Arena!$B$71:$K$100,MATCH($A251,Arena!$A$71:$A$100,0),MATCH(""&amp;$B251,Arena!$B$69:$K$69,0)),"n/a")</f>
        <v>Y</v>
      </c>
      <c r="J251" s="137">
        <f>IF(ISNUMBER($H251),($B251-1)-$H251,"n/a")</f>
        <v>27</v>
      </c>
      <c r="K251" s="108">
        <f>IF($B251=2017,IFERROR(INDEX('Team Performance'!$B$241:$B$270,MATCH($A251,'Team Performance'!$A$241:$A$270,0)),"n/a"),IFERROR(INDEX('Team Performance'!$B$6:$K$35,MATCH($A251,'Team Performance'!$A$6:$A$35,0),MATCH(($B251-2)&amp;"-"&amp;RIGHT($B251-1,2),'Team Performance'!$B$5:$K$5,0)),"n/a"))</f>
        <v>27</v>
      </c>
      <c r="L251" s="108">
        <f>IF($B251=2017,IFERROR(INDEX('Team Performance'!$C$241:$C$270,MATCH($A251,'Team Performance'!$A$241:$A$270,0)),"n/a"),IFERROR(INDEX('Team Performance'!$B$39:$K$68,MATCH($A251,'Team Performance'!$A$39:$A$68,0),MATCH(($B251-2)&amp;"-"&amp;RIGHT($B251-1,2),'Team Performance'!$B$38:$K$38,0)),"n/a"))</f>
        <v>55</v>
      </c>
      <c r="M251" s="109">
        <f t="shared" si="7"/>
        <v>0.32926829268292684</v>
      </c>
      <c r="N251" s="108">
        <f>IF($B251=2017,IFERROR(INDEX('Team Performance'!$E$241:$E$270,MATCH($A251,'Team Performance'!$A$241:$A$270,0)),"n/a"),IFERROR(INDEX('Team Performance'!$B$140:$K$169,MATCH($A251,'Team Performance'!$A$140:$A$169,0),MATCH(($B251-2)&amp;"-"&amp;RIGHT($B251-1,2),'Team Performance'!$B$139:$K$139,0)),"n/a"))</f>
        <v>0</v>
      </c>
      <c r="O251" s="110">
        <f>IF($B251=2017,IFERROR(INDEX('Salary Cap'!$B$143:$B$172,MATCH($A251,'Salary Cap'!$A$143:$A$172,0)),"n/a"),IFERROR(INDEX('Salary Cap'!$B$10:$K$39,MATCH($A251,'Salary Cap'!$A$10:$A$39,0),MATCH(""&amp;($B251-1),'Salary Cap'!$B$9:$K$9,0)),"n/a"))</f>
        <v>122048327</v>
      </c>
      <c r="P251" s="115">
        <f>IF($B251=2017,IFERROR(INDEX('Salary Cap'!$C$143:$C$172,MATCH($A251,'Salary Cap'!$A$143:$A$172,0)),"n/a"),IFERROR(INDEX('Salary Cap'!$B$109:$K$138,MATCH($A251,'Salary Cap'!$A$109:$A$138,0),MATCH(""&amp;($B251-1),'Salary Cap'!$B$108:$K$108,0)),"n/a"))</f>
        <v>0</v>
      </c>
      <c r="Q251" s="138">
        <f>IF(OR($B251=2021,$B251=2022),1,0)</f>
        <v>0</v>
      </c>
    </row>
    <row r="252" spans="1:17" x14ac:dyDescent="0.2">
      <c r="A252" s="113" t="str" cm="1">
        <f t="array" ref="A252">INDEX('NBA Valuations'!$A$5:$A$34,INT((ROW()-5)/10)+1)</f>
        <v>Portland Trail Blazers</v>
      </c>
      <c r="B252" s="105">
        <f t="shared" si="6"/>
        <v>2024</v>
      </c>
      <c r="C252" s="106">
        <f>IFERROR(INDEX('NBA Valuations'!$B$5:$K$34,MATCH($A252,'NBA Valuations'!$A$5:$A$34,0),MATCH(""&amp;$B252,'NBA Valuations'!$B$3:$K$3,0)),"n/a")</f>
        <v>3080</v>
      </c>
      <c r="D252" s="106">
        <f>IFERROR(INDEX(Revenue!$B$5:$K$34,MATCH($A252,Revenue!$A$5:$A$34,0),MATCH(""&amp;$B252,Revenue!$B$3:$K$3,0)),"n/a")</f>
        <v>300</v>
      </c>
      <c r="E252" s="106">
        <f>IFERROR(INDEX('Operating Income'!$B$5:$K$34,MATCH($A252,'Operating Income'!$A$5:$A$34,0),MATCH(""&amp;$B252,'Operating Income'!$B$3:$K$3,0)),"n/a")</f>
        <v>65</v>
      </c>
      <c r="F252" s="107">
        <f>IFERROR(INDEX('Market Size'!$L$5:$L$34,MATCH($A252,'Market Size'!$A$5:$A$34,0)),"n/a")</f>
        <v>2517518</v>
      </c>
      <c r="G252" s="108" t="str">
        <f>IFERROR(INDEX('Market Size'!$B$38:$K$67,MATCH($A252,'Market Size'!$A$38:$A$67,0),MATCH(""&amp;($B252-1),'Market Size'!$B$36:$K$36,0)),"n/a")</f>
        <v>n/a</v>
      </c>
      <c r="H252" s="108">
        <f>IFERROR(INDEX(Arena!$B$38:$K$67,MATCH($A252,Arena!$A$38:$A$67,0),MATCH(""&amp;$B252,Arena!$B$36:$K$36,0)),"n/a")</f>
        <v>1995</v>
      </c>
      <c r="I252" s="136" t="str">
        <f>IFERROR(INDEX(Arena!$B$71:$K$100,MATCH($A252,Arena!$A$71:$A$100,0),MATCH(""&amp;$B252,Arena!$B$69:$K$69,0)),"n/a")</f>
        <v>Y</v>
      </c>
      <c r="J252" s="137">
        <f>IF(ISNUMBER($H252),($B252-1)-$H252,"n/a")</f>
        <v>28</v>
      </c>
      <c r="K252" s="108">
        <f>IF($B252=2017,IFERROR(INDEX('Team Performance'!$B$241:$B$270,MATCH($A252,'Team Performance'!$A$241:$A$270,0)),"n/a"),IFERROR(INDEX('Team Performance'!$B$6:$K$35,MATCH($A252,'Team Performance'!$A$6:$A$35,0),MATCH(($B252-2)&amp;"-"&amp;RIGHT($B252-1,2),'Team Performance'!$B$5:$K$5,0)),"n/a"))</f>
        <v>33</v>
      </c>
      <c r="L252" s="108">
        <f>IF($B252=2017,IFERROR(INDEX('Team Performance'!$C$241:$C$270,MATCH($A252,'Team Performance'!$A$241:$A$270,0)),"n/a"),IFERROR(INDEX('Team Performance'!$B$39:$K$68,MATCH($A252,'Team Performance'!$A$39:$A$68,0),MATCH(($B252-2)&amp;"-"&amp;RIGHT($B252-1,2),'Team Performance'!$B$38:$K$38,0)),"n/a"))</f>
        <v>49</v>
      </c>
      <c r="M252" s="109">
        <f t="shared" si="7"/>
        <v>0.40243902439024393</v>
      </c>
      <c r="N252" s="108">
        <f>IF($B252=2017,IFERROR(INDEX('Team Performance'!$E$241:$E$270,MATCH($A252,'Team Performance'!$A$241:$A$270,0)),"n/a"),IFERROR(INDEX('Team Performance'!$B$140:$K$169,MATCH($A252,'Team Performance'!$A$140:$A$169,0),MATCH(($B252-2)&amp;"-"&amp;RIGHT($B252-1,2),'Team Performance'!$B$139:$K$139,0)),"n/a"))</f>
        <v>0</v>
      </c>
      <c r="O252" s="110">
        <f>IF($B252=2017,IFERROR(INDEX('Salary Cap'!$B$143:$B$172,MATCH($A252,'Salary Cap'!$A$143:$A$172,0)),"n/a"),IFERROR(INDEX('Salary Cap'!$B$10:$K$39,MATCH($A252,'Salary Cap'!$A$10:$A$39,0),MATCH(""&amp;($B252-1),'Salary Cap'!$B$9:$K$9,0)),"n/a"))</f>
        <v>144500020</v>
      </c>
      <c r="P252" s="115">
        <f>IF($B252=2017,IFERROR(INDEX('Salary Cap'!$C$143:$C$172,MATCH($A252,'Salary Cap'!$A$143:$A$172,0)),"n/a"),IFERROR(INDEX('Salary Cap'!$B$109:$K$138,MATCH($A252,'Salary Cap'!$A$109:$A$138,0),MATCH(""&amp;($B252-1),'Salary Cap'!$B$108:$K$108,0)),"n/a"))</f>
        <v>0</v>
      </c>
      <c r="Q252" s="138">
        <f>IF(OR($B252=2021,$B252=2022),1,0)</f>
        <v>0</v>
      </c>
    </row>
    <row r="253" spans="1:17" x14ac:dyDescent="0.2">
      <c r="A253" s="113" t="str" cm="1">
        <f t="array" ref="A253">INDEX('NBA Valuations'!$A$5:$A$34,INT((ROW()-5)/10)+1)</f>
        <v>Portland Trail Blazers</v>
      </c>
      <c r="B253" s="105">
        <f t="shared" si="6"/>
        <v>2025</v>
      </c>
      <c r="C253" s="106">
        <f>IFERROR(INDEX('NBA Valuations'!$B$5:$K$34,MATCH($A253,'NBA Valuations'!$A$5:$A$34,0),MATCH(""&amp;$B253,'NBA Valuations'!$B$3:$K$3,0)),"n/a")</f>
        <v>3500</v>
      </c>
      <c r="D253" s="106">
        <f>IFERROR(INDEX(Revenue!$B$5:$K$34,MATCH($A253,Revenue!$A$5:$A$34,0),MATCH(""&amp;$B253,Revenue!$B$3:$K$3,0)),"n/a")</f>
        <v>335</v>
      </c>
      <c r="E253" s="106">
        <f>IFERROR(INDEX('Operating Income'!$B$5:$K$34,MATCH($A253,'Operating Income'!$A$5:$A$34,0),MATCH(""&amp;$B253,'Operating Income'!$B$3:$K$3,0)),"n/a")</f>
        <v>81</v>
      </c>
      <c r="F253" s="107">
        <f>IFERROR(INDEX('Market Size'!$L$5:$L$34,MATCH($A253,'Market Size'!$A$5:$A$34,0)),"n/a")</f>
        <v>2517518</v>
      </c>
      <c r="G253" s="108">
        <f>IFERROR(INDEX('Market Size'!$B$38:$K$67,MATCH($A253,'Market Size'!$A$38:$A$67,0),MATCH(""&amp;($B253-1),'Market Size'!$B$36:$K$36,0)),"n/a")</f>
        <v>22</v>
      </c>
      <c r="H253" s="108">
        <f>IFERROR(INDEX(Arena!$B$38:$K$67,MATCH($A253,Arena!$A$38:$A$67,0),MATCH(""&amp;$B253,Arena!$B$36:$K$36,0)),"n/a")</f>
        <v>1995</v>
      </c>
      <c r="I253" s="136" t="str">
        <f>IFERROR(INDEX(Arena!$B$71:$K$100,MATCH($A253,Arena!$A$71:$A$100,0),MATCH(""&amp;$B253,Arena!$B$69:$K$69,0)),"n/a")</f>
        <v>Y</v>
      </c>
      <c r="J253" s="137">
        <f>IF(ISNUMBER($H253),($B253-1)-$H253,"n/a")</f>
        <v>29</v>
      </c>
      <c r="K253" s="108">
        <f>IF($B253=2017,IFERROR(INDEX('Team Performance'!$B$241:$B$270,MATCH($A253,'Team Performance'!$A$241:$A$270,0)),"n/a"),IFERROR(INDEX('Team Performance'!$B$6:$K$35,MATCH($A253,'Team Performance'!$A$6:$A$35,0),MATCH(($B253-2)&amp;"-"&amp;RIGHT($B253-1,2),'Team Performance'!$B$5:$K$5,0)),"n/a"))</f>
        <v>21</v>
      </c>
      <c r="L253" s="108">
        <f>IF($B253=2017,IFERROR(INDEX('Team Performance'!$C$241:$C$270,MATCH($A253,'Team Performance'!$A$241:$A$270,0)),"n/a"),IFERROR(INDEX('Team Performance'!$B$39:$K$68,MATCH($A253,'Team Performance'!$A$39:$A$68,0),MATCH(($B253-2)&amp;"-"&amp;RIGHT($B253-1,2),'Team Performance'!$B$38:$K$38,0)),"n/a"))</f>
        <v>61</v>
      </c>
      <c r="M253" s="109">
        <f t="shared" si="7"/>
        <v>0.25609756097560976</v>
      </c>
      <c r="N253" s="108">
        <f>IF($B253=2017,IFERROR(INDEX('Team Performance'!$E$241:$E$270,MATCH($A253,'Team Performance'!$A$241:$A$270,0)),"n/a"),IFERROR(INDEX('Team Performance'!$B$140:$K$169,MATCH($A253,'Team Performance'!$A$140:$A$169,0),MATCH(($B253-2)&amp;"-"&amp;RIGHT($B253-1,2),'Team Performance'!$B$139:$K$139,0)),"n/a"))</f>
        <v>0</v>
      </c>
      <c r="O253" s="110">
        <f>IF($B253=2017,IFERROR(INDEX('Salary Cap'!$B$143:$B$172,MATCH($A253,'Salary Cap'!$A$143:$A$172,0)),"n/a"),IFERROR(INDEX('Salary Cap'!$B$10:$K$39,MATCH($A253,'Salary Cap'!$A$10:$A$39,0),MATCH(""&amp;($B253-1),'Salary Cap'!$B$9:$K$9,0)),"n/a"))</f>
        <v>163965367</v>
      </c>
      <c r="P253" s="115">
        <f>IF($B253=2017,IFERROR(INDEX('Salary Cap'!$C$143:$C$172,MATCH($A253,'Salary Cap'!$A$143:$A$172,0)),"n/a"),IFERROR(INDEX('Salary Cap'!$B$109:$K$138,MATCH($A253,'Salary Cap'!$A$109:$A$138,0),MATCH(""&amp;($B253-1),'Salary Cap'!$B$108:$K$108,0)),"n/a"))</f>
        <v>0</v>
      </c>
      <c r="Q253" s="138">
        <f>IF(OR($B253=2021,$B253=2022),1,0)</f>
        <v>0</v>
      </c>
    </row>
    <row r="254" spans="1:17" x14ac:dyDescent="0.2">
      <c r="A254" s="113" t="str" cm="1">
        <f t="array" ref="A254">INDEX('NBA Valuations'!$A$5:$A$34,INT((ROW()-5)/10)+1)</f>
        <v>Portland Trail Blazers</v>
      </c>
      <c r="B254" s="105">
        <f t="shared" si="6"/>
        <v>2026</v>
      </c>
      <c r="C254" s="106">
        <f>IFERROR(INDEX('NBA Valuations'!$B$5:$K$34,MATCH($A254,'NBA Valuations'!$A$5:$A$34,0),MATCH(""&amp;$B254,'NBA Valuations'!$B$3:$K$3,0)),"n/a")</f>
        <v>4250</v>
      </c>
      <c r="D254" s="106">
        <f>IFERROR(INDEX(Revenue!$B$5:$K$34,MATCH($A254,Revenue!$A$5:$A$34,0),MATCH(""&amp;$B254,Revenue!$B$3:$K$3,0)),"n/a")</f>
        <v>361</v>
      </c>
      <c r="E254" s="106">
        <f>IFERROR(INDEX('Operating Income'!$B$5:$K$34,MATCH($A254,'Operating Income'!$A$5:$A$34,0),MATCH(""&amp;$B254,'Operating Income'!$B$3:$K$3,0)),"n/a")</f>
        <v>111</v>
      </c>
      <c r="F254" s="107">
        <f>IFERROR(INDEX('Market Size'!$L$5:$L$34,MATCH($A254,'Market Size'!$A$5:$A$34,0)),"n/a")</f>
        <v>2517518</v>
      </c>
      <c r="G254" s="108">
        <f>IFERROR(INDEX('Market Size'!$B$38:$K$67,MATCH($A254,'Market Size'!$A$38:$A$67,0),MATCH(""&amp;($B254-1),'Market Size'!$B$36:$K$36,0)),"n/a")</f>
        <v>23</v>
      </c>
      <c r="H254" s="108">
        <f>IFERROR(INDEX(Arena!$B$38:$K$67,MATCH($A254,Arena!$A$38:$A$67,0),MATCH(""&amp;$B254,Arena!$B$36:$K$36,0)),"n/a")</f>
        <v>1995</v>
      </c>
      <c r="I254" s="136" t="str">
        <f>IFERROR(INDEX(Arena!$B$71:$K$100,MATCH($A254,Arena!$A$71:$A$100,0),MATCH(""&amp;$B254,Arena!$B$69:$K$69,0)),"n/a")</f>
        <v>N</v>
      </c>
      <c r="J254" s="137">
        <f>IF(ISNUMBER($H254),($B254-1)-$H254,"n/a")</f>
        <v>30</v>
      </c>
      <c r="K254" s="108">
        <f>IF($B254=2017,IFERROR(INDEX('Team Performance'!$B$241:$B$270,MATCH($A254,'Team Performance'!$A$241:$A$270,0)),"n/a"),IFERROR(INDEX('Team Performance'!$B$6:$K$35,MATCH($A254,'Team Performance'!$A$6:$A$35,0),MATCH(($B254-2)&amp;"-"&amp;RIGHT($B254-1,2),'Team Performance'!$B$5:$K$5,0)),"n/a"))</f>
        <v>36</v>
      </c>
      <c r="L254" s="108">
        <f>IF($B254=2017,IFERROR(INDEX('Team Performance'!$C$241:$C$270,MATCH($A254,'Team Performance'!$A$241:$A$270,0)),"n/a"),IFERROR(INDEX('Team Performance'!$B$39:$K$68,MATCH($A254,'Team Performance'!$A$39:$A$68,0),MATCH(($B254-2)&amp;"-"&amp;RIGHT($B254-1,2),'Team Performance'!$B$38:$K$38,0)),"n/a"))</f>
        <v>46</v>
      </c>
      <c r="M254" s="109">
        <f t="shared" si="7"/>
        <v>0.43902439024390244</v>
      </c>
      <c r="N254" s="108">
        <f>IF($B254=2017,IFERROR(INDEX('Team Performance'!$E$241:$E$270,MATCH($A254,'Team Performance'!$A$241:$A$270,0)),"n/a"),IFERROR(INDEX('Team Performance'!$B$140:$K$169,MATCH($A254,'Team Performance'!$A$140:$A$169,0),MATCH(($B254-2)&amp;"-"&amp;RIGHT($B254-1,2),'Team Performance'!$B$139:$K$139,0)),"n/a"))</f>
        <v>0</v>
      </c>
      <c r="O254" s="110">
        <f>IF($B254=2017,IFERROR(INDEX('Salary Cap'!$B$143:$B$172,MATCH($A254,'Salary Cap'!$A$143:$A$172,0)),"n/a"),IFERROR(INDEX('Salary Cap'!$B$10:$K$39,MATCH($A254,'Salary Cap'!$A$10:$A$39,0),MATCH(""&amp;($B254-1),'Salary Cap'!$B$9:$K$9,0)),"n/a"))</f>
        <v>167158526</v>
      </c>
      <c r="P254" s="115">
        <f>IF($B254=2017,IFERROR(INDEX('Salary Cap'!$C$143:$C$172,MATCH($A254,'Salary Cap'!$A$143:$A$172,0)),"n/a"),IFERROR(INDEX('Salary Cap'!$B$109:$K$138,MATCH($A254,'Salary Cap'!$A$109:$A$138,0),MATCH(""&amp;($B254-1),'Salary Cap'!$B$108:$K$108,0)),"n/a"))</f>
        <v>0</v>
      </c>
      <c r="Q254" s="138">
        <f>IF(OR($B254=2021,$B254=2022),1,0)</f>
        <v>0</v>
      </c>
    </row>
    <row r="255" spans="1:17" x14ac:dyDescent="0.2">
      <c r="A255" s="113" t="str" cm="1">
        <f t="array" ref="A255">INDEX('NBA Valuations'!$A$5:$A$34,INT((ROW()-5)/10)+1)</f>
        <v>Sacramento Kings</v>
      </c>
      <c r="B255" s="105">
        <f t="shared" si="6"/>
        <v>2017</v>
      </c>
      <c r="C255" s="106">
        <f>IFERROR(INDEX('NBA Valuations'!$B$5:$K$34,MATCH($A255,'NBA Valuations'!$A$5:$A$34,0),MATCH(""&amp;$B255,'NBA Valuations'!$B$3:$K$3,0)),"n/a")</f>
        <v>1100</v>
      </c>
      <c r="D255" s="106">
        <f>IFERROR(INDEX(Revenue!$B$5:$K$34,MATCH($A255,Revenue!$A$5:$A$34,0),MATCH(""&amp;$B255,Revenue!$B$3:$K$3,0)),"n/a")</f>
        <v>164</v>
      </c>
      <c r="E255" s="106">
        <f>IFERROR(INDEX('Operating Income'!$B$5:$K$34,MATCH($A255,'Operating Income'!$A$5:$A$34,0),MATCH(""&amp;$B255,'Operating Income'!$B$3:$K$3,0)),"n/a")</f>
        <v>18.399999999999999</v>
      </c>
      <c r="F255" s="107">
        <f>IFERROR(INDEX('Market Size'!$L$5:$L$34,MATCH($A255,'Market Size'!$A$5:$A$34,0)),"n/a")</f>
        <v>2401737</v>
      </c>
      <c r="G255" s="108" t="str">
        <f>IFERROR(INDEX('Market Size'!$B$38:$K$67,MATCH($A255,'Market Size'!$A$38:$A$67,0),MATCH(""&amp;($B255-1),'Market Size'!$B$36:$K$36,0)),"n/a")</f>
        <v>n/a</v>
      </c>
      <c r="H255" s="108">
        <f>IFERROR(INDEX(Arena!$B$38:$K$67,MATCH($A255,Arena!$A$38:$A$67,0),MATCH(""&amp;$B255,Arena!$B$36:$K$36,0)),"n/a")</f>
        <v>1988</v>
      </c>
      <c r="I255" s="136" t="str">
        <f>IFERROR(INDEX(Arena!$B$71:$K$100,MATCH($A255,Arena!$A$71:$A$100,0),MATCH(""&amp;$B255,Arena!$B$69:$K$69,0)),"n/a")</f>
        <v>Y</v>
      </c>
      <c r="J255" s="137">
        <f>IF(ISNUMBER($H255),($B255-1)-$H255,"n/a")</f>
        <v>28</v>
      </c>
      <c r="K255" s="108">
        <f>IF($B255=2017,IFERROR(INDEX('Team Performance'!$B$241:$B$270,MATCH($A255,'Team Performance'!$A$241:$A$270,0)),"n/a"),IFERROR(INDEX('Team Performance'!$B$6:$K$35,MATCH($A255,'Team Performance'!$A$6:$A$35,0),MATCH(($B255-2)&amp;"-"&amp;RIGHT($B255-1,2),'Team Performance'!$B$5:$K$5,0)),"n/a"))</f>
        <v>33</v>
      </c>
      <c r="L255" s="108">
        <f>IF($B255=2017,IFERROR(INDEX('Team Performance'!$C$241:$C$270,MATCH($A255,'Team Performance'!$A$241:$A$270,0)),"n/a"),IFERROR(INDEX('Team Performance'!$B$39:$K$68,MATCH($A255,'Team Performance'!$A$39:$A$68,0),MATCH(($B255-2)&amp;"-"&amp;RIGHT($B255-1,2),'Team Performance'!$B$38:$K$38,0)),"n/a"))</f>
        <v>49</v>
      </c>
      <c r="M255" s="109">
        <f t="shared" si="7"/>
        <v>0.40243902439024393</v>
      </c>
      <c r="N255" s="108">
        <f>IF($B255=2017,IFERROR(INDEX('Team Performance'!$E$241:$E$270,MATCH($A255,'Team Performance'!$A$241:$A$270,0)),"n/a"),IFERROR(INDEX('Team Performance'!$B$140:$K$169,MATCH($A255,'Team Performance'!$A$140:$A$169,0),MATCH(($B255-2)&amp;"-"&amp;RIGHT($B255-1,2),'Team Performance'!$B$139:$K$139,0)),"n/a"))</f>
        <v>0</v>
      </c>
      <c r="O255" s="110">
        <f>IF($B255=2017,IFERROR(INDEX('Salary Cap'!$B$143:$B$172,MATCH($A255,'Salary Cap'!$A$143:$A$172,0)),"n/a"),IFERROR(INDEX('Salary Cap'!$B$10:$K$39,MATCH($A255,'Salary Cap'!$A$10:$A$39,0),MATCH(""&amp;($B255-1),'Salary Cap'!$B$9:$K$9,0)),"n/a"))</f>
        <v>72671296</v>
      </c>
      <c r="P255" s="115">
        <f>IF($B255=2017,IFERROR(INDEX('Salary Cap'!$C$143:$C$172,MATCH($A255,'Salary Cap'!$A$143:$A$172,0)),"n/a"),IFERROR(INDEX('Salary Cap'!$B$109:$K$138,MATCH($A255,'Salary Cap'!$A$109:$A$138,0),MATCH(""&amp;($B255-1),'Salary Cap'!$B$108:$K$108,0)),"n/a"))</f>
        <v>0</v>
      </c>
      <c r="Q255" s="138">
        <f>IF(OR($B255=2021,$B255=2022),1,0)</f>
        <v>0</v>
      </c>
    </row>
    <row r="256" spans="1:17" x14ac:dyDescent="0.2">
      <c r="A256" s="113" t="str" cm="1">
        <f t="array" ref="A256">INDEX('NBA Valuations'!$A$5:$A$34,INT((ROW()-5)/10)+1)</f>
        <v>Sacramento Kings</v>
      </c>
      <c r="B256" s="105">
        <f t="shared" si="6"/>
        <v>2018</v>
      </c>
      <c r="C256" s="106">
        <f>IFERROR(INDEX('NBA Valuations'!$B$5:$K$34,MATCH($A256,'NBA Valuations'!$A$5:$A$34,0),MATCH(""&amp;$B256,'NBA Valuations'!$B$3:$K$3,0)),"n/a")</f>
        <v>1400</v>
      </c>
      <c r="D256" s="106">
        <f>IFERROR(INDEX(Revenue!$B$5:$K$34,MATCH($A256,Revenue!$A$5:$A$34,0),MATCH(""&amp;$B256,Revenue!$B$3:$K$3,0)),"n/a")</f>
        <v>240</v>
      </c>
      <c r="E256" s="106">
        <f>IFERROR(INDEX('Operating Income'!$B$5:$K$34,MATCH($A256,'Operating Income'!$A$5:$A$34,0),MATCH(""&amp;$B256,'Operating Income'!$B$3:$K$3,0)),"n/a")</f>
        <v>50</v>
      </c>
      <c r="F256" s="107">
        <f>IFERROR(INDEX('Market Size'!$L$5:$L$34,MATCH($A256,'Market Size'!$A$5:$A$34,0)),"n/a")</f>
        <v>2401737</v>
      </c>
      <c r="G256" s="108" t="str">
        <f>IFERROR(INDEX('Market Size'!$B$38:$K$67,MATCH($A256,'Market Size'!$A$38:$A$67,0),MATCH(""&amp;($B256-1),'Market Size'!$B$36:$K$36,0)),"n/a")</f>
        <v>n/a</v>
      </c>
      <c r="H256" s="108">
        <f>IFERROR(INDEX(Arena!$B$38:$K$67,MATCH($A256,Arena!$A$38:$A$67,0),MATCH(""&amp;$B256,Arena!$B$36:$K$36,0)),"n/a")</f>
        <v>2016</v>
      </c>
      <c r="I256" s="136" t="str">
        <f>IFERROR(INDEX(Arena!$B$71:$K$100,MATCH($A256,Arena!$A$71:$A$100,0),MATCH(""&amp;$B256,Arena!$B$69:$K$69,0)),"n/a")</f>
        <v>N</v>
      </c>
      <c r="J256" s="137">
        <f>IF(ISNUMBER($H256),($B256-1)-$H256,"n/a")</f>
        <v>1</v>
      </c>
      <c r="K256" s="108">
        <f>IF($B256=2017,IFERROR(INDEX('Team Performance'!$B$241:$B$270,MATCH($A256,'Team Performance'!$A$241:$A$270,0)),"n/a"),IFERROR(INDEX('Team Performance'!$B$6:$K$35,MATCH($A256,'Team Performance'!$A$6:$A$35,0),MATCH(($B256-2)&amp;"-"&amp;RIGHT($B256-1,2),'Team Performance'!$B$5:$K$5,0)),"n/a"))</f>
        <v>32</v>
      </c>
      <c r="L256" s="108">
        <f>IF($B256=2017,IFERROR(INDEX('Team Performance'!$C$241:$C$270,MATCH($A256,'Team Performance'!$A$241:$A$270,0)),"n/a"),IFERROR(INDEX('Team Performance'!$B$39:$K$68,MATCH($A256,'Team Performance'!$A$39:$A$68,0),MATCH(($B256-2)&amp;"-"&amp;RIGHT($B256-1,2),'Team Performance'!$B$38:$K$38,0)),"n/a"))</f>
        <v>50</v>
      </c>
      <c r="M256" s="109">
        <f t="shared" si="7"/>
        <v>0.3902439024390244</v>
      </c>
      <c r="N256" s="108">
        <f>IF($B256=2017,IFERROR(INDEX('Team Performance'!$E$241:$E$270,MATCH($A256,'Team Performance'!$A$241:$A$270,0)),"n/a"),IFERROR(INDEX('Team Performance'!$B$140:$K$169,MATCH($A256,'Team Performance'!$A$140:$A$169,0),MATCH(($B256-2)&amp;"-"&amp;RIGHT($B256-1,2),'Team Performance'!$B$139:$K$139,0)),"n/a"))</f>
        <v>0</v>
      </c>
      <c r="O256" s="110">
        <f>IF($B256=2017,IFERROR(INDEX('Salary Cap'!$B$143:$B$172,MATCH($A256,'Salary Cap'!$A$143:$A$172,0)),"n/a"),IFERROR(INDEX('Salary Cap'!$B$10:$K$39,MATCH($A256,'Salary Cap'!$A$10:$A$39,0),MATCH(""&amp;($B256-1),'Salary Cap'!$B$9:$K$9,0)),"n/a"))</f>
        <v>95476870</v>
      </c>
      <c r="P256" s="115">
        <f>IF($B256=2017,IFERROR(INDEX('Salary Cap'!$C$143:$C$172,MATCH($A256,'Salary Cap'!$A$143:$A$172,0)),"n/a"),IFERROR(INDEX('Salary Cap'!$B$109:$K$138,MATCH($A256,'Salary Cap'!$A$109:$A$138,0),MATCH(""&amp;($B256-1),'Salary Cap'!$B$108:$K$108,0)),"n/a"))</f>
        <v>0</v>
      </c>
      <c r="Q256" s="138">
        <f>IF(OR($B256=2021,$B256=2022),1,0)</f>
        <v>0</v>
      </c>
    </row>
    <row r="257" spans="1:17" x14ac:dyDescent="0.2">
      <c r="A257" s="113" t="str" cm="1">
        <f t="array" ref="A257">INDEX('NBA Valuations'!$A$5:$A$34,INT((ROW()-5)/10)+1)</f>
        <v>Sacramento Kings</v>
      </c>
      <c r="B257" s="105">
        <f t="shared" si="6"/>
        <v>2019</v>
      </c>
      <c r="C257" s="106">
        <f>IFERROR(INDEX('NBA Valuations'!$B$5:$K$34,MATCH($A257,'NBA Valuations'!$A$5:$A$34,0),MATCH(""&amp;$B257,'NBA Valuations'!$B$3:$K$3,0)),"n/a")</f>
        <v>1600</v>
      </c>
      <c r="D257" s="106">
        <f>IFERROR(INDEX(Revenue!$B$5:$K$34,MATCH($A257,Revenue!$A$5:$A$34,0),MATCH(""&amp;$B257,Revenue!$B$3:$K$3,0)),"n/a")</f>
        <v>263</v>
      </c>
      <c r="E257" s="106">
        <f>IFERROR(INDEX('Operating Income'!$B$5:$K$34,MATCH($A257,'Operating Income'!$A$5:$A$34,0),MATCH(""&amp;$B257,'Operating Income'!$B$3:$K$3,0)),"n/a")</f>
        <v>72</v>
      </c>
      <c r="F257" s="107">
        <f>IFERROR(INDEX('Market Size'!$L$5:$L$34,MATCH($A257,'Market Size'!$A$5:$A$34,0)),"n/a")</f>
        <v>2401737</v>
      </c>
      <c r="G257" s="108" t="str">
        <f>IFERROR(INDEX('Market Size'!$B$38:$K$67,MATCH($A257,'Market Size'!$A$38:$A$67,0),MATCH(""&amp;($B257-1),'Market Size'!$B$36:$K$36,0)),"n/a")</f>
        <v>n/a</v>
      </c>
      <c r="H257" s="108">
        <f>IFERROR(INDEX(Arena!$B$38:$K$67,MATCH($A257,Arena!$A$38:$A$67,0),MATCH(""&amp;$B257,Arena!$B$36:$K$36,0)),"n/a")</f>
        <v>2016</v>
      </c>
      <c r="I257" s="136" t="str">
        <f>IFERROR(INDEX(Arena!$B$71:$K$100,MATCH($A257,Arena!$A$71:$A$100,0),MATCH(""&amp;$B257,Arena!$B$69:$K$69,0)),"n/a")</f>
        <v>N</v>
      </c>
      <c r="J257" s="137">
        <f>IF(ISNUMBER($H257),($B257-1)-$H257,"n/a")</f>
        <v>2</v>
      </c>
      <c r="K257" s="108">
        <f>IF($B257=2017,IFERROR(INDEX('Team Performance'!$B$241:$B$270,MATCH($A257,'Team Performance'!$A$241:$A$270,0)),"n/a"),IFERROR(INDEX('Team Performance'!$B$6:$K$35,MATCH($A257,'Team Performance'!$A$6:$A$35,0),MATCH(($B257-2)&amp;"-"&amp;RIGHT($B257-1,2),'Team Performance'!$B$5:$K$5,0)),"n/a"))</f>
        <v>27</v>
      </c>
      <c r="L257" s="108">
        <f>IF($B257=2017,IFERROR(INDEX('Team Performance'!$C$241:$C$270,MATCH($A257,'Team Performance'!$A$241:$A$270,0)),"n/a"),IFERROR(INDEX('Team Performance'!$B$39:$K$68,MATCH($A257,'Team Performance'!$A$39:$A$68,0),MATCH(($B257-2)&amp;"-"&amp;RIGHT($B257-1,2),'Team Performance'!$B$38:$K$38,0)),"n/a"))</f>
        <v>55</v>
      </c>
      <c r="M257" s="109">
        <f t="shared" si="7"/>
        <v>0.32926829268292684</v>
      </c>
      <c r="N257" s="108">
        <f>IF($B257=2017,IFERROR(INDEX('Team Performance'!$E$241:$E$270,MATCH($A257,'Team Performance'!$A$241:$A$270,0)),"n/a"),IFERROR(INDEX('Team Performance'!$B$140:$K$169,MATCH($A257,'Team Performance'!$A$140:$A$169,0),MATCH(($B257-2)&amp;"-"&amp;RIGHT($B257-1,2),'Team Performance'!$B$139:$K$139,0)),"n/a"))</f>
        <v>0</v>
      </c>
      <c r="O257" s="110">
        <f>IF($B257=2017,IFERROR(INDEX('Salary Cap'!$B$143:$B$172,MATCH($A257,'Salary Cap'!$A$143:$A$172,0)),"n/a"),IFERROR(INDEX('Salary Cap'!$B$10:$K$39,MATCH($A257,'Salary Cap'!$A$10:$A$39,0),MATCH(""&amp;($B257-1),'Salary Cap'!$B$9:$K$9,0)),"n/a"))</f>
        <v>95682824</v>
      </c>
      <c r="P257" s="115">
        <f>IF($B257=2017,IFERROR(INDEX('Salary Cap'!$C$143:$C$172,MATCH($A257,'Salary Cap'!$A$143:$A$172,0)),"n/a"),IFERROR(INDEX('Salary Cap'!$B$109:$K$138,MATCH($A257,'Salary Cap'!$A$109:$A$138,0),MATCH(""&amp;($B257-1),'Salary Cap'!$B$108:$K$108,0)),"n/a"))</f>
        <v>0</v>
      </c>
      <c r="Q257" s="138">
        <f>IF(OR($B257=2021,$B257=2022),1,0)</f>
        <v>0</v>
      </c>
    </row>
    <row r="258" spans="1:17" x14ac:dyDescent="0.2">
      <c r="A258" s="113" t="str" cm="1">
        <f t="array" ref="A258">INDEX('NBA Valuations'!$A$5:$A$34,INT((ROW()-5)/10)+1)</f>
        <v>Sacramento Kings</v>
      </c>
      <c r="B258" s="105">
        <f t="shared" si="6"/>
        <v>2020</v>
      </c>
      <c r="C258" s="106">
        <f>IFERROR(INDEX('NBA Valuations'!$B$5:$K$34,MATCH($A258,'NBA Valuations'!$A$5:$A$34,0),MATCH(""&amp;$B258,'NBA Valuations'!$B$3:$K$3,0)),"n/a")</f>
        <v>1800</v>
      </c>
      <c r="D258" s="106">
        <f>IFERROR(INDEX(Revenue!$B$5:$K$34,MATCH($A258,Revenue!$A$5:$A$34,0),MATCH(""&amp;$B258,Revenue!$B$3:$K$3,0)),"n/a")</f>
        <v>286</v>
      </c>
      <c r="E258" s="106">
        <f>IFERROR(INDEX('Operating Income'!$B$5:$K$34,MATCH($A258,'Operating Income'!$A$5:$A$34,0),MATCH(""&amp;$B258,'Operating Income'!$B$3:$K$3,0)),"n/a")</f>
        <v>81</v>
      </c>
      <c r="F258" s="107">
        <f>IFERROR(INDEX('Market Size'!$L$5:$L$34,MATCH($A258,'Market Size'!$A$5:$A$34,0)),"n/a")</f>
        <v>2401737</v>
      </c>
      <c r="G258" s="108" t="str">
        <f>IFERROR(INDEX('Market Size'!$B$38:$K$67,MATCH($A258,'Market Size'!$A$38:$A$67,0),MATCH(""&amp;($B258-1),'Market Size'!$B$36:$K$36,0)),"n/a")</f>
        <v>n/a</v>
      </c>
      <c r="H258" s="108">
        <f>IFERROR(INDEX(Arena!$B$38:$K$67,MATCH($A258,Arena!$A$38:$A$67,0),MATCH(""&amp;$B258,Arena!$B$36:$K$36,0)),"n/a")</f>
        <v>2016</v>
      </c>
      <c r="I258" s="136" t="str">
        <f>IFERROR(INDEX(Arena!$B$71:$K$100,MATCH($A258,Arena!$A$71:$A$100,0),MATCH(""&amp;$B258,Arena!$B$69:$K$69,0)),"n/a")</f>
        <v>N</v>
      </c>
      <c r="J258" s="137">
        <f>IF(ISNUMBER($H258),($B258-1)-$H258,"n/a")</f>
        <v>3</v>
      </c>
      <c r="K258" s="108">
        <f>IF($B258=2017,IFERROR(INDEX('Team Performance'!$B$241:$B$270,MATCH($A258,'Team Performance'!$A$241:$A$270,0)),"n/a"),IFERROR(INDEX('Team Performance'!$B$6:$K$35,MATCH($A258,'Team Performance'!$A$6:$A$35,0),MATCH(($B258-2)&amp;"-"&amp;RIGHT($B258-1,2),'Team Performance'!$B$5:$K$5,0)),"n/a"))</f>
        <v>39</v>
      </c>
      <c r="L258" s="108">
        <f>IF($B258=2017,IFERROR(INDEX('Team Performance'!$C$241:$C$270,MATCH($A258,'Team Performance'!$A$241:$A$270,0)),"n/a"),IFERROR(INDEX('Team Performance'!$B$39:$K$68,MATCH($A258,'Team Performance'!$A$39:$A$68,0),MATCH(($B258-2)&amp;"-"&amp;RIGHT($B258-1,2),'Team Performance'!$B$38:$K$38,0)),"n/a"))</f>
        <v>43</v>
      </c>
      <c r="M258" s="109">
        <f t="shared" si="7"/>
        <v>0.47560975609756095</v>
      </c>
      <c r="N258" s="108">
        <f>IF($B258=2017,IFERROR(INDEX('Team Performance'!$E$241:$E$270,MATCH($A258,'Team Performance'!$A$241:$A$270,0)),"n/a"),IFERROR(INDEX('Team Performance'!$B$140:$K$169,MATCH($A258,'Team Performance'!$A$140:$A$169,0),MATCH(($B258-2)&amp;"-"&amp;RIGHT($B258-1,2),'Team Performance'!$B$139:$K$139,0)),"n/a"))</f>
        <v>0</v>
      </c>
      <c r="O258" s="110">
        <f>IF($B258=2017,IFERROR(INDEX('Salary Cap'!$B$143:$B$172,MATCH($A258,'Salary Cap'!$A$143:$A$172,0)),"n/a"),IFERROR(INDEX('Salary Cap'!$B$10:$K$39,MATCH($A258,'Salary Cap'!$A$10:$A$39,0),MATCH(""&amp;($B258-1),'Salary Cap'!$B$9:$K$9,0)),"n/a"))</f>
        <v>104114641</v>
      </c>
      <c r="P258" s="115">
        <f>IF($B258=2017,IFERROR(INDEX('Salary Cap'!$C$143:$C$172,MATCH($A258,'Salary Cap'!$A$143:$A$172,0)),"n/a"),IFERROR(INDEX('Salary Cap'!$B$109:$K$138,MATCH($A258,'Salary Cap'!$A$109:$A$138,0),MATCH(""&amp;($B258-1),'Salary Cap'!$B$108:$K$108,0)),"n/a"))</f>
        <v>0</v>
      </c>
      <c r="Q258" s="138">
        <f>IF(OR($B258=2021,$B258=2022),1,0)</f>
        <v>0</v>
      </c>
    </row>
    <row r="259" spans="1:17" x14ac:dyDescent="0.2">
      <c r="A259" s="113" t="str" cm="1">
        <f t="array" ref="A259">INDEX('NBA Valuations'!$A$5:$A$34,INT((ROW()-5)/10)+1)</f>
        <v>Sacramento Kings</v>
      </c>
      <c r="B259" s="105">
        <f t="shared" si="6"/>
        <v>2021</v>
      </c>
      <c r="C259" s="106">
        <f>IFERROR(INDEX('NBA Valuations'!$B$5:$K$34,MATCH($A259,'NBA Valuations'!$A$5:$A$34,0),MATCH(""&amp;$B259,'NBA Valuations'!$B$3:$K$3,0)),"n/a")</f>
        <v>1825</v>
      </c>
      <c r="D259" s="106">
        <f>IFERROR(INDEX(Revenue!$B$5:$K$34,MATCH($A259,Revenue!$A$5:$A$34,0),MATCH(""&amp;$B259,Revenue!$B$3:$K$3,0)),"n/a")</f>
        <v>245</v>
      </c>
      <c r="E259" s="106">
        <f>IFERROR(INDEX('Operating Income'!$B$5:$K$34,MATCH($A259,'Operating Income'!$A$5:$A$34,0),MATCH(""&amp;$B259,'Operating Income'!$B$3:$K$3,0)),"n/a")</f>
        <v>45</v>
      </c>
      <c r="F259" s="107">
        <f>IFERROR(INDEX('Market Size'!$L$5:$L$34,MATCH($A259,'Market Size'!$A$5:$A$34,0)),"n/a")</f>
        <v>2401737</v>
      </c>
      <c r="G259" s="108" t="str">
        <f>IFERROR(INDEX('Market Size'!$B$38:$K$67,MATCH($A259,'Market Size'!$A$38:$A$67,0),MATCH(""&amp;($B259-1),'Market Size'!$B$36:$K$36,0)),"n/a")</f>
        <v>n/a</v>
      </c>
      <c r="H259" s="108">
        <f>IFERROR(INDEX(Arena!$B$38:$K$67,MATCH($A259,Arena!$A$38:$A$67,0),MATCH(""&amp;$B259,Arena!$B$36:$K$36,0)),"n/a")</f>
        <v>2016</v>
      </c>
      <c r="I259" s="136" t="str">
        <f>IFERROR(INDEX(Arena!$B$71:$K$100,MATCH($A259,Arena!$A$71:$A$100,0),MATCH(""&amp;$B259,Arena!$B$69:$K$69,0)),"n/a")</f>
        <v>N</v>
      </c>
      <c r="J259" s="137">
        <f>IF(ISNUMBER($H259),($B259-1)-$H259,"n/a")</f>
        <v>4</v>
      </c>
      <c r="K259" s="108">
        <f>IF($B259=2017,IFERROR(INDEX('Team Performance'!$B$241:$B$270,MATCH($A259,'Team Performance'!$A$241:$A$270,0)),"n/a"),IFERROR(INDEX('Team Performance'!$B$6:$K$35,MATCH($A259,'Team Performance'!$A$6:$A$35,0),MATCH(($B259-2)&amp;"-"&amp;RIGHT($B259-1,2),'Team Performance'!$B$5:$K$5,0)),"n/a"))</f>
        <v>31</v>
      </c>
      <c r="L259" s="108">
        <f>IF($B259=2017,IFERROR(INDEX('Team Performance'!$C$241:$C$270,MATCH($A259,'Team Performance'!$A$241:$A$270,0)),"n/a"),IFERROR(INDEX('Team Performance'!$B$39:$K$68,MATCH($A259,'Team Performance'!$A$39:$A$68,0),MATCH(($B259-2)&amp;"-"&amp;RIGHT($B259-1,2),'Team Performance'!$B$38:$K$38,0)),"n/a"))</f>
        <v>41</v>
      </c>
      <c r="M259" s="109">
        <f t="shared" si="7"/>
        <v>0.43055555555555558</v>
      </c>
      <c r="N259" s="108">
        <f>IF($B259=2017,IFERROR(INDEX('Team Performance'!$E$241:$E$270,MATCH($A259,'Team Performance'!$A$241:$A$270,0)),"n/a"),IFERROR(INDEX('Team Performance'!$B$140:$K$169,MATCH($A259,'Team Performance'!$A$140:$A$169,0),MATCH(($B259-2)&amp;"-"&amp;RIGHT($B259-1,2),'Team Performance'!$B$139:$K$139,0)),"n/a"))</f>
        <v>0</v>
      </c>
      <c r="O259" s="110">
        <f>IF($B259=2017,IFERROR(INDEX('Salary Cap'!$B$143:$B$172,MATCH($A259,'Salary Cap'!$A$143:$A$172,0)),"n/a"),IFERROR(INDEX('Salary Cap'!$B$10:$K$39,MATCH($A259,'Salary Cap'!$A$10:$A$39,0),MATCH(""&amp;($B259-1),'Salary Cap'!$B$9:$K$9,0)),"n/a"))</f>
        <v>116865503</v>
      </c>
      <c r="P259" s="115">
        <f>IF($B259=2017,IFERROR(INDEX('Salary Cap'!$C$143:$C$172,MATCH($A259,'Salary Cap'!$A$143:$A$172,0)),"n/a"),IFERROR(INDEX('Salary Cap'!$B$109:$K$138,MATCH($A259,'Salary Cap'!$A$109:$A$138,0),MATCH(""&amp;($B259-1),'Salary Cap'!$B$108:$K$108,0)),"n/a"))</f>
        <v>0</v>
      </c>
      <c r="Q259" s="138">
        <f>IF(OR($B259=2021,$B259=2022),1,0)</f>
        <v>1</v>
      </c>
    </row>
    <row r="260" spans="1:17" x14ac:dyDescent="0.2">
      <c r="A260" s="113" t="str" cm="1">
        <f t="array" ref="A260">INDEX('NBA Valuations'!$A$5:$A$34,INT((ROW()-5)/10)+1)</f>
        <v>Sacramento Kings</v>
      </c>
      <c r="B260" s="105">
        <f t="shared" si="6"/>
        <v>2022</v>
      </c>
      <c r="C260" s="106">
        <f>IFERROR(INDEX('NBA Valuations'!$B$5:$K$34,MATCH($A260,'NBA Valuations'!$A$5:$A$34,0),MATCH(""&amp;$B260,'NBA Valuations'!$B$3:$K$3,0)),"n/a")</f>
        <v>2000</v>
      </c>
      <c r="D260" s="106">
        <f>IFERROR(INDEX(Revenue!$B$5:$K$34,MATCH($A260,Revenue!$A$5:$A$34,0),MATCH(""&amp;$B260,Revenue!$B$3:$K$3,0)),"n/a")</f>
        <v>192</v>
      </c>
      <c r="E260" s="106">
        <f>IFERROR(INDEX('Operating Income'!$B$5:$K$34,MATCH($A260,'Operating Income'!$A$5:$A$34,0),MATCH(""&amp;$B260,'Operating Income'!$B$3:$K$3,0)),"n/a")</f>
        <v>25</v>
      </c>
      <c r="F260" s="107">
        <f>IFERROR(INDEX('Market Size'!$L$5:$L$34,MATCH($A260,'Market Size'!$A$5:$A$34,0)),"n/a")</f>
        <v>2401737</v>
      </c>
      <c r="G260" s="108" t="str">
        <f>IFERROR(INDEX('Market Size'!$B$38:$K$67,MATCH($A260,'Market Size'!$A$38:$A$67,0),MATCH(""&amp;($B260-1),'Market Size'!$B$36:$K$36,0)),"n/a")</f>
        <v>n/a</v>
      </c>
      <c r="H260" s="108">
        <f>IFERROR(INDEX(Arena!$B$38:$K$67,MATCH($A260,Arena!$A$38:$A$67,0),MATCH(""&amp;$B260,Arena!$B$36:$K$36,0)),"n/a")</f>
        <v>2016</v>
      </c>
      <c r="I260" s="136" t="str">
        <f>IFERROR(INDEX(Arena!$B$71:$K$100,MATCH($A260,Arena!$A$71:$A$100,0),MATCH(""&amp;$B260,Arena!$B$69:$K$69,0)),"n/a")</f>
        <v>N</v>
      </c>
      <c r="J260" s="137">
        <f>IF(ISNUMBER($H260),($B260-1)-$H260,"n/a")</f>
        <v>5</v>
      </c>
      <c r="K260" s="108">
        <f>IF($B260=2017,IFERROR(INDEX('Team Performance'!$B$241:$B$270,MATCH($A260,'Team Performance'!$A$241:$A$270,0)),"n/a"),IFERROR(INDEX('Team Performance'!$B$6:$K$35,MATCH($A260,'Team Performance'!$A$6:$A$35,0),MATCH(($B260-2)&amp;"-"&amp;RIGHT($B260-1,2),'Team Performance'!$B$5:$K$5,0)),"n/a"))</f>
        <v>31</v>
      </c>
      <c r="L260" s="108">
        <f>IF($B260=2017,IFERROR(INDEX('Team Performance'!$C$241:$C$270,MATCH($A260,'Team Performance'!$A$241:$A$270,0)),"n/a"),IFERROR(INDEX('Team Performance'!$B$39:$K$68,MATCH($A260,'Team Performance'!$A$39:$A$68,0),MATCH(($B260-2)&amp;"-"&amp;RIGHT($B260-1,2),'Team Performance'!$B$38:$K$38,0)),"n/a"))</f>
        <v>41</v>
      </c>
      <c r="M260" s="109">
        <f t="shared" si="7"/>
        <v>0.43055555555555558</v>
      </c>
      <c r="N260" s="108">
        <f>IF($B260=2017,IFERROR(INDEX('Team Performance'!$E$241:$E$270,MATCH($A260,'Team Performance'!$A$241:$A$270,0)),"n/a"),IFERROR(INDEX('Team Performance'!$B$140:$K$169,MATCH($A260,'Team Performance'!$A$140:$A$169,0),MATCH(($B260-2)&amp;"-"&amp;RIGHT($B260-1,2),'Team Performance'!$B$139:$K$139,0)),"n/a"))</f>
        <v>0</v>
      </c>
      <c r="O260" s="110">
        <f>IF($B260=2017,IFERROR(INDEX('Salary Cap'!$B$143:$B$172,MATCH($A260,'Salary Cap'!$A$143:$A$172,0)),"n/a"),IFERROR(INDEX('Salary Cap'!$B$10:$K$39,MATCH($A260,'Salary Cap'!$A$10:$A$39,0),MATCH(""&amp;($B260-1),'Salary Cap'!$B$9:$K$9,0)),"n/a"))</f>
        <v>105580717</v>
      </c>
      <c r="P260" s="115">
        <f>IF($B260=2017,IFERROR(INDEX('Salary Cap'!$C$143:$C$172,MATCH($A260,'Salary Cap'!$A$143:$A$172,0)),"n/a"),IFERROR(INDEX('Salary Cap'!$B$109:$K$138,MATCH($A260,'Salary Cap'!$A$109:$A$138,0),MATCH(""&amp;($B260-1),'Salary Cap'!$B$108:$K$108,0)),"n/a"))</f>
        <v>0</v>
      </c>
      <c r="Q260" s="138">
        <f>IF(OR($B260=2021,$B260=2022),1,0)</f>
        <v>1</v>
      </c>
    </row>
    <row r="261" spans="1:17" x14ac:dyDescent="0.2">
      <c r="A261" s="113" t="str" cm="1">
        <f t="array" ref="A261">INDEX('NBA Valuations'!$A$5:$A$34,INT((ROW()-5)/10)+1)</f>
        <v>Sacramento Kings</v>
      </c>
      <c r="B261" s="105">
        <f t="shared" si="6"/>
        <v>2023</v>
      </c>
      <c r="C261" s="106">
        <f>IFERROR(INDEX('NBA Valuations'!$B$5:$K$34,MATCH($A261,'NBA Valuations'!$A$5:$A$34,0),MATCH(""&amp;$B261,'NBA Valuations'!$B$3:$K$3,0)),"n/a")</f>
        <v>2030</v>
      </c>
      <c r="D261" s="106">
        <f>IFERROR(INDEX(Revenue!$B$5:$K$34,MATCH($A261,Revenue!$A$5:$A$34,0),MATCH(""&amp;$B261,Revenue!$B$3:$K$3,0)),"n/a")</f>
        <v>279</v>
      </c>
      <c r="E261" s="106">
        <f>IFERROR(INDEX('Operating Income'!$B$5:$K$34,MATCH($A261,'Operating Income'!$A$5:$A$34,0),MATCH(""&amp;$B261,'Operating Income'!$B$3:$K$3,0)),"n/a")</f>
        <v>29</v>
      </c>
      <c r="F261" s="107">
        <f>IFERROR(INDEX('Market Size'!$L$5:$L$34,MATCH($A261,'Market Size'!$A$5:$A$34,0)),"n/a")</f>
        <v>2401737</v>
      </c>
      <c r="G261" s="108" t="str">
        <f>IFERROR(INDEX('Market Size'!$B$38:$K$67,MATCH($A261,'Market Size'!$A$38:$A$67,0),MATCH(""&amp;($B261-1),'Market Size'!$B$36:$K$36,0)),"n/a")</f>
        <v>n/a</v>
      </c>
      <c r="H261" s="108">
        <f>IFERROR(INDEX(Arena!$B$38:$K$67,MATCH($A261,Arena!$A$38:$A$67,0),MATCH(""&amp;$B261,Arena!$B$36:$K$36,0)),"n/a")</f>
        <v>2016</v>
      </c>
      <c r="I261" s="136" t="str">
        <f>IFERROR(INDEX(Arena!$B$71:$K$100,MATCH($A261,Arena!$A$71:$A$100,0),MATCH(""&amp;$B261,Arena!$B$69:$K$69,0)),"n/a")</f>
        <v>N</v>
      </c>
      <c r="J261" s="137">
        <f>IF(ISNUMBER($H261),($B261-1)-$H261,"n/a")</f>
        <v>6</v>
      </c>
      <c r="K261" s="108">
        <f>IF($B261=2017,IFERROR(INDEX('Team Performance'!$B$241:$B$270,MATCH($A261,'Team Performance'!$A$241:$A$270,0)),"n/a"),IFERROR(INDEX('Team Performance'!$B$6:$K$35,MATCH($A261,'Team Performance'!$A$6:$A$35,0),MATCH(($B261-2)&amp;"-"&amp;RIGHT($B261-1,2),'Team Performance'!$B$5:$K$5,0)),"n/a"))</f>
        <v>30</v>
      </c>
      <c r="L261" s="108">
        <f>IF($B261=2017,IFERROR(INDEX('Team Performance'!$C$241:$C$270,MATCH($A261,'Team Performance'!$A$241:$A$270,0)),"n/a"),IFERROR(INDEX('Team Performance'!$B$39:$K$68,MATCH($A261,'Team Performance'!$A$39:$A$68,0),MATCH(($B261-2)&amp;"-"&amp;RIGHT($B261-1,2),'Team Performance'!$B$38:$K$38,0)),"n/a"))</f>
        <v>52</v>
      </c>
      <c r="M261" s="109">
        <f t="shared" si="7"/>
        <v>0.36585365853658536</v>
      </c>
      <c r="N261" s="108">
        <f>IF($B261=2017,IFERROR(INDEX('Team Performance'!$E$241:$E$270,MATCH($A261,'Team Performance'!$A$241:$A$270,0)),"n/a"),IFERROR(INDEX('Team Performance'!$B$140:$K$169,MATCH($A261,'Team Performance'!$A$140:$A$169,0),MATCH(($B261-2)&amp;"-"&amp;RIGHT($B261-1,2),'Team Performance'!$B$139:$K$139,0)),"n/a"))</f>
        <v>0</v>
      </c>
      <c r="O261" s="110">
        <f>IF($B261=2017,IFERROR(INDEX('Salary Cap'!$B$143:$B$172,MATCH($A261,'Salary Cap'!$A$143:$A$172,0)),"n/a"),IFERROR(INDEX('Salary Cap'!$B$10:$K$39,MATCH($A261,'Salary Cap'!$A$10:$A$39,0),MATCH(""&amp;($B261-1),'Salary Cap'!$B$9:$K$9,0)),"n/a"))</f>
        <v>130590674</v>
      </c>
      <c r="P261" s="115">
        <f>IF($B261=2017,IFERROR(INDEX('Salary Cap'!$C$143:$C$172,MATCH($A261,'Salary Cap'!$A$143:$A$172,0)),"n/a"),IFERROR(INDEX('Salary Cap'!$B$109:$K$138,MATCH($A261,'Salary Cap'!$A$109:$A$138,0),MATCH(""&amp;($B261-1),'Salary Cap'!$B$108:$K$108,0)),"n/a"))</f>
        <v>0</v>
      </c>
      <c r="Q261" s="138">
        <f>IF(OR($B261=2021,$B261=2022),1,0)</f>
        <v>0</v>
      </c>
    </row>
    <row r="262" spans="1:17" x14ac:dyDescent="0.2">
      <c r="A262" s="113" t="str" cm="1">
        <f t="array" ref="A262">INDEX('NBA Valuations'!$A$5:$A$34,INT((ROW()-5)/10)+1)</f>
        <v>Sacramento Kings</v>
      </c>
      <c r="B262" s="105">
        <f t="shared" ref="B262:B304" si="8">2017+MOD(ROW()-5,10)</f>
        <v>2024</v>
      </c>
      <c r="C262" s="106">
        <f>IFERROR(INDEX('NBA Valuations'!$B$5:$K$34,MATCH($A262,'NBA Valuations'!$A$5:$A$34,0),MATCH(""&amp;$B262,'NBA Valuations'!$B$3:$K$3,0)),"n/a")</f>
        <v>3330</v>
      </c>
      <c r="D262" s="106">
        <f>IFERROR(INDEX(Revenue!$B$5:$K$34,MATCH($A262,Revenue!$A$5:$A$34,0),MATCH(""&amp;$B262,Revenue!$B$3:$K$3,0)),"n/a")</f>
        <v>289</v>
      </c>
      <c r="E262" s="106">
        <f>IFERROR(INDEX('Operating Income'!$B$5:$K$34,MATCH($A262,'Operating Income'!$A$5:$A$34,0),MATCH(""&amp;$B262,'Operating Income'!$B$3:$K$3,0)),"n/a")</f>
        <v>36</v>
      </c>
      <c r="F262" s="107">
        <f>IFERROR(INDEX('Market Size'!$L$5:$L$34,MATCH($A262,'Market Size'!$A$5:$A$34,0)),"n/a")</f>
        <v>2401737</v>
      </c>
      <c r="G262" s="108" t="str">
        <f>IFERROR(INDEX('Market Size'!$B$38:$K$67,MATCH($A262,'Market Size'!$A$38:$A$67,0),MATCH(""&amp;($B262-1),'Market Size'!$B$36:$K$36,0)),"n/a")</f>
        <v>n/a</v>
      </c>
      <c r="H262" s="108">
        <f>IFERROR(INDEX(Arena!$B$38:$K$67,MATCH($A262,Arena!$A$38:$A$67,0),MATCH(""&amp;$B262,Arena!$B$36:$K$36,0)),"n/a")</f>
        <v>2016</v>
      </c>
      <c r="I262" s="136" t="str">
        <f>IFERROR(INDEX(Arena!$B$71:$K$100,MATCH($A262,Arena!$A$71:$A$100,0),MATCH(""&amp;$B262,Arena!$B$69:$K$69,0)),"n/a")</f>
        <v>N</v>
      </c>
      <c r="J262" s="137">
        <f>IF(ISNUMBER($H262),($B262-1)-$H262,"n/a")</f>
        <v>7</v>
      </c>
      <c r="K262" s="108">
        <f>IF($B262=2017,IFERROR(INDEX('Team Performance'!$B$241:$B$270,MATCH($A262,'Team Performance'!$A$241:$A$270,0)),"n/a"),IFERROR(INDEX('Team Performance'!$B$6:$K$35,MATCH($A262,'Team Performance'!$A$6:$A$35,0),MATCH(($B262-2)&amp;"-"&amp;RIGHT($B262-1,2),'Team Performance'!$B$5:$K$5,0)),"n/a"))</f>
        <v>48</v>
      </c>
      <c r="L262" s="108">
        <f>IF($B262=2017,IFERROR(INDEX('Team Performance'!$C$241:$C$270,MATCH($A262,'Team Performance'!$A$241:$A$270,0)),"n/a"),IFERROR(INDEX('Team Performance'!$B$39:$K$68,MATCH($A262,'Team Performance'!$A$39:$A$68,0),MATCH(($B262-2)&amp;"-"&amp;RIGHT($B262-1,2),'Team Performance'!$B$38:$K$38,0)),"n/a"))</f>
        <v>34</v>
      </c>
      <c r="M262" s="109">
        <f t="shared" ref="M262:M304" si="9">IF(AND(ISNUMBER($K262),ISNUMBER($L262)),$K262/($K262+$L262),"n/a")</f>
        <v>0.58536585365853655</v>
      </c>
      <c r="N262" s="108">
        <f>IF($B262=2017,IFERROR(INDEX('Team Performance'!$E$241:$E$270,MATCH($A262,'Team Performance'!$A$241:$A$270,0)),"n/a"),IFERROR(INDEX('Team Performance'!$B$140:$K$169,MATCH($A262,'Team Performance'!$A$140:$A$169,0),MATCH(($B262-2)&amp;"-"&amp;RIGHT($B262-1,2),'Team Performance'!$B$139:$K$139,0)),"n/a"))</f>
        <v>1</v>
      </c>
      <c r="O262" s="110">
        <f>IF($B262=2017,IFERROR(INDEX('Salary Cap'!$B$143:$B$172,MATCH($A262,'Salary Cap'!$A$143:$A$172,0)),"n/a"),IFERROR(INDEX('Salary Cap'!$B$10:$K$39,MATCH($A262,'Salary Cap'!$A$10:$A$39,0),MATCH(""&amp;($B262-1),'Salary Cap'!$B$9:$K$9,0)),"n/a"))</f>
        <v>138104626</v>
      </c>
      <c r="P262" s="115">
        <f>IF($B262=2017,IFERROR(INDEX('Salary Cap'!$C$143:$C$172,MATCH($A262,'Salary Cap'!$A$143:$A$172,0)),"n/a"),IFERROR(INDEX('Salary Cap'!$B$109:$K$138,MATCH($A262,'Salary Cap'!$A$109:$A$138,0),MATCH(""&amp;($B262-1),'Salary Cap'!$B$108:$K$108,0)),"n/a"))</f>
        <v>0</v>
      </c>
      <c r="Q262" s="138">
        <f>IF(OR($B262=2021,$B262=2022),1,0)</f>
        <v>0</v>
      </c>
    </row>
    <row r="263" spans="1:17" x14ac:dyDescent="0.2">
      <c r="A263" s="113" t="str" cm="1">
        <f t="array" ref="A263">INDEX('NBA Valuations'!$A$5:$A$34,INT((ROW()-5)/10)+1)</f>
        <v>Sacramento Kings</v>
      </c>
      <c r="B263" s="105">
        <f t="shared" si="8"/>
        <v>2025</v>
      </c>
      <c r="C263" s="106">
        <f>IFERROR(INDEX('NBA Valuations'!$B$5:$K$34,MATCH($A263,'NBA Valuations'!$A$5:$A$34,0),MATCH(""&amp;$B263,'NBA Valuations'!$B$3:$K$3,0)),"n/a")</f>
        <v>3700</v>
      </c>
      <c r="D263" s="106">
        <f>IFERROR(INDEX(Revenue!$B$5:$K$34,MATCH($A263,Revenue!$A$5:$A$34,0),MATCH(""&amp;$B263,Revenue!$B$3:$K$3,0)),"n/a")</f>
        <v>320</v>
      </c>
      <c r="E263" s="106">
        <f>IFERROR(INDEX('Operating Income'!$B$5:$K$34,MATCH($A263,'Operating Income'!$A$5:$A$34,0),MATCH(""&amp;$B263,'Operating Income'!$B$3:$K$3,0)),"n/a")</f>
        <v>54</v>
      </c>
      <c r="F263" s="107">
        <f>IFERROR(INDEX('Market Size'!$L$5:$L$34,MATCH($A263,'Market Size'!$A$5:$A$34,0)),"n/a")</f>
        <v>2401737</v>
      </c>
      <c r="G263" s="108">
        <f>IFERROR(INDEX('Market Size'!$B$38:$K$67,MATCH($A263,'Market Size'!$A$38:$A$67,0),MATCH(""&amp;($B263-1),'Market Size'!$B$36:$K$36,0)),"n/a")</f>
        <v>20</v>
      </c>
      <c r="H263" s="108">
        <f>IFERROR(INDEX(Arena!$B$38:$K$67,MATCH($A263,Arena!$A$38:$A$67,0),MATCH(""&amp;$B263,Arena!$B$36:$K$36,0)),"n/a")</f>
        <v>2016</v>
      </c>
      <c r="I263" s="136" t="str">
        <f>IFERROR(INDEX(Arena!$B$71:$K$100,MATCH($A263,Arena!$A$71:$A$100,0),MATCH(""&amp;$B263,Arena!$B$69:$K$69,0)),"n/a")</f>
        <v>N</v>
      </c>
      <c r="J263" s="137">
        <f>IF(ISNUMBER($H263),($B263-1)-$H263,"n/a")</f>
        <v>8</v>
      </c>
      <c r="K263" s="108">
        <f>IF($B263=2017,IFERROR(INDEX('Team Performance'!$B$241:$B$270,MATCH($A263,'Team Performance'!$A$241:$A$270,0)),"n/a"),IFERROR(INDEX('Team Performance'!$B$6:$K$35,MATCH($A263,'Team Performance'!$A$6:$A$35,0),MATCH(($B263-2)&amp;"-"&amp;RIGHT($B263-1,2),'Team Performance'!$B$5:$K$5,0)),"n/a"))</f>
        <v>46</v>
      </c>
      <c r="L263" s="108">
        <f>IF($B263=2017,IFERROR(INDEX('Team Performance'!$C$241:$C$270,MATCH($A263,'Team Performance'!$A$241:$A$270,0)),"n/a"),IFERROR(INDEX('Team Performance'!$B$39:$K$68,MATCH($A263,'Team Performance'!$A$39:$A$68,0),MATCH(($B263-2)&amp;"-"&amp;RIGHT($B263-1,2),'Team Performance'!$B$38:$K$38,0)),"n/a"))</f>
        <v>36</v>
      </c>
      <c r="M263" s="109">
        <f t="shared" si="9"/>
        <v>0.56097560975609762</v>
      </c>
      <c r="N263" s="108">
        <f>IF($B263=2017,IFERROR(INDEX('Team Performance'!$E$241:$E$270,MATCH($A263,'Team Performance'!$A$241:$A$270,0)),"n/a"),IFERROR(INDEX('Team Performance'!$B$140:$K$169,MATCH($A263,'Team Performance'!$A$140:$A$169,0),MATCH(($B263-2)&amp;"-"&amp;RIGHT($B263-1,2),'Team Performance'!$B$139:$K$139,0)),"n/a"))</f>
        <v>0</v>
      </c>
      <c r="O263" s="110">
        <f>IF($B263=2017,IFERROR(INDEX('Salary Cap'!$B$143:$B$172,MATCH($A263,'Salary Cap'!$A$143:$A$172,0)),"n/a"),IFERROR(INDEX('Salary Cap'!$B$10:$K$39,MATCH($A263,'Salary Cap'!$A$10:$A$39,0),MATCH(""&amp;($B263-1),'Salary Cap'!$B$9:$K$9,0)),"n/a"))</f>
        <v>148776215</v>
      </c>
      <c r="P263" s="115">
        <f>IF($B263=2017,IFERROR(INDEX('Salary Cap'!$C$143:$C$172,MATCH($A263,'Salary Cap'!$A$143:$A$172,0)),"n/a"),IFERROR(INDEX('Salary Cap'!$B$109:$K$138,MATCH($A263,'Salary Cap'!$A$109:$A$138,0),MATCH(""&amp;($B263-1),'Salary Cap'!$B$108:$K$108,0)),"n/a"))</f>
        <v>0</v>
      </c>
      <c r="Q263" s="138">
        <f>IF(OR($B263=2021,$B263=2022),1,0)</f>
        <v>0</v>
      </c>
    </row>
    <row r="264" spans="1:17" x14ac:dyDescent="0.2">
      <c r="A264" s="113" t="str" cm="1">
        <f t="array" ref="A264">INDEX('NBA Valuations'!$A$5:$A$34,INT((ROW()-5)/10)+1)</f>
        <v>Sacramento Kings</v>
      </c>
      <c r="B264" s="105">
        <f t="shared" si="8"/>
        <v>2026</v>
      </c>
      <c r="C264" s="106">
        <f>IFERROR(INDEX('NBA Valuations'!$B$5:$K$34,MATCH($A264,'NBA Valuations'!$A$5:$A$34,0),MATCH(""&amp;$B264,'NBA Valuations'!$B$3:$K$3,0)),"n/a")</f>
        <v>4450</v>
      </c>
      <c r="D264" s="106">
        <f>IFERROR(INDEX(Revenue!$B$5:$K$34,MATCH($A264,Revenue!$A$5:$A$34,0),MATCH(""&amp;$B264,Revenue!$B$3:$K$3,0)),"n/a")</f>
        <v>354</v>
      </c>
      <c r="E264" s="106">
        <f>IFERROR(INDEX('Operating Income'!$B$5:$K$34,MATCH($A264,'Operating Income'!$A$5:$A$34,0),MATCH(""&amp;$B264,'Operating Income'!$B$3:$K$3,0)),"n/a")</f>
        <v>76</v>
      </c>
      <c r="F264" s="107">
        <f>IFERROR(INDEX('Market Size'!$L$5:$L$34,MATCH($A264,'Market Size'!$A$5:$A$34,0)),"n/a")</f>
        <v>2401737</v>
      </c>
      <c r="G264" s="108">
        <f>IFERROR(INDEX('Market Size'!$B$38:$K$67,MATCH($A264,'Market Size'!$A$38:$A$67,0),MATCH(""&amp;($B264-1),'Market Size'!$B$36:$K$36,0)),"n/a")</f>
        <v>20</v>
      </c>
      <c r="H264" s="108">
        <f>IFERROR(INDEX(Arena!$B$38:$K$67,MATCH($A264,Arena!$A$38:$A$67,0),MATCH(""&amp;$B264,Arena!$B$36:$K$36,0)),"n/a")</f>
        <v>2016</v>
      </c>
      <c r="I264" s="136" t="str">
        <f>IFERROR(INDEX(Arena!$B$71:$K$100,MATCH($A264,Arena!$A$71:$A$100,0),MATCH(""&amp;$B264,Arena!$B$69:$K$69,0)),"n/a")</f>
        <v>N</v>
      </c>
      <c r="J264" s="137">
        <f>IF(ISNUMBER($H264),($B264-1)-$H264,"n/a")</f>
        <v>9</v>
      </c>
      <c r="K264" s="108">
        <f>IF($B264=2017,IFERROR(INDEX('Team Performance'!$B$241:$B$270,MATCH($A264,'Team Performance'!$A$241:$A$270,0)),"n/a"),IFERROR(INDEX('Team Performance'!$B$6:$K$35,MATCH($A264,'Team Performance'!$A$6:$A$35,0),MATCH(($B264-2)&amp;"-"&amp;RIGHT($B264-1,2),'Team Performance'!$B$5:$K$5,0)),"n/a"))</f>
        <v>40</v>
      </c>
      <c r="L264" s="108">
        <f>IF($B264=2017,IFERROR(INDEX('Team Performance'!$C$241:$C$270,MATCH($A264,'Team Performance'!$A$241:$A$270,0)),"n/a"),IFERROR(INDEX('Team Performance'!$B$39:$K$68,MATCH($A264,'Team Performance'!$A$39:$A$68,0),MATCH(($B264-2)&amp;"-"&amp;RIGHT($B264-1,2),'Team Performance'!$B$38:$K$38,0)),"n/a"))</f>
        <v>42</v>
      </c>
      <c r="M264" s="109">
        <f t="shared" si="9"/>
        <v>0.48780487804878048</v>
      </c>
      <c r="N264" s="108">
        <f>IF($B264=2017,IFERROR(INDEX('Team Performance'!$E$241:$E$270,MATCH($A264,'Team Performance'!$A$241:$A$270,0)),"n/a"),IFERROR(INDEX('Team Performance'!$B$140:$K$169,MATCH($A264,'Team Performance'!$A$140:$A$169,0),MATCH(($B264-2)&amp;"-"&amp;RIGHT($B264-1,2),'Team Performance'!$B$139:$K$139,0)),"n/a"))</f>
        <v>0</v>
      </c>
      <c r="O264" s="110">
        <f>IF($B264=2017,IFERROR(INDEX('Salary Cap'!$B$143:$B$172,MATCH($A264,'Salary Cap'!$A$143:$A$172,0)),"n/a"),IFERROR(INDEX('Salary Cap'!$B$10:$K$39,MATCH($A264,'Salary Cap'!$A$10:$A$39,0),MATCH(""&amp;($B264-1),'Salary Cap'!$B$9:$K$9,0)),"n/a"))</f>
        <v>167543977</v>
      </c>
      <c r="P264" s="115">
        <f>IF($B264=2017,IFERROR(INDEX('Salary Cap'!$C$143:$C$172,MATCH($A264,'Salary Cap'!$A$143:$A$172,0)),"n/a"),IFERROR(INDEX('Salary Cap'!$B$109:$K$138,MATCH($A264,'Salary Cap'!$A$109:$A$138,0),MATCH(""&amp;($B264-1),'Salary Cap'!$B$108:$K$108,0)),"n/a"))</f>
        <v>0</v>
      </c>
      <c r="Q264" s="138">
        <f>IF(OR($B264=2021,$B264=2022),1,0)</f>
        <v>0</v>
      </c>
    </row>
    <row r="265" spans="1:17" x14ac:dyDescent="0.2">
      <c r="A265" s="113" t="str" cm="1">
        <f t="array" ref="A265">INDEX('NBA Valuations'!$A$5:$A$34,INT((ROW()-5)/10)+1)</f>
        <v>San Antonio Spurs</v>
      </c>
      <c r="B265" s="105">
        <f t="shared" si="8"/>
        <v>2017</v>
      </c>
      <c r="C265" s="106">
        <f>IFERROR(INDEX('NBA Valuations'!$B$5:$K$34,MATCH($A265,'NBA Valuations'!$A$5:$A$34,0),MATCH(""&amp;$B265,'NBA Valuations'!$B$3:$K$3,0)),"n/a")</f>
        <v>1200</v>
      </c>
      <c r="D265" s="106">
        <f>IFERROR(INDEX(Revenue!$B$5:$K$34,MATCH($A265,Revenue!$A$5:$A$34,0),MATCH(""&amp;$B265,Revenue!$B$3:$K$3,0)),"n/a")</f>
        <v>187</v>
      </c>
      <c r="E265" s="106">
        <f>IFERROR(INDEX('Operating Income'!$B$5:$K$34,MATCH($A265,'Operating Income'!$A$5:$A$34,0),MATCH(""&amp;$B265,'Operating Income'!$B$3:$K$3,0)),"n/a")</f>
        <v>18.399999999999999</v>
      </c>
      <c r="F265" s="107">
        <f>IFERROR(INDEX('Market Size'!$L$5:$L$34,MATCH($A265,'Market Size'!$A$5:$A$34,0)),"n/a")</f>
        <v>2568772</v>
      </c>
      <c r="G265" s="108" t="str">
        <f>IFERROR(INDEX('Market Size'!$B$38:$K$67,MATCH($A265,'Market Size'!$A$38:$A$67,0),MATCH(""&amp;($B265-1),'Market Size'!$B$36:$K$36,0)),"n/a")</f>
        <v>n/a</v>
      </c>
      <c r="H265" s="108">
        <f>IFERROR(INDEX(Arena!$B$38:$K$67,MATCH($A265,Arena!$A$38:$A$67,0),MATCH(""&amp;$B265,Arena!$B$36:$K$36,0)),"n/a")</f>
        <v>2002</v>
      </c>
      <c r="I265" s="136" t="str">
        <f>IFERROR(INDEX(Arena!$B$71:$K$100,MATCH($A265,Arena!$A$71:$A$100,0),MATCH(""&amp;$B265,Arena!$B$69:$K$69,0)),"n/a")</f>
        <v>N</v>
      </c>
      <c r="J265" s="137">
        <f>IF(ISNUMBER($H265),($B265-1)-$H265,"n/a")</f>
        <v>14</v>
      </c>
      <c r="K265" s="108">
        <f>IF($B265=2017,IFERROR(INDEX('Team Performance'!$B$241:$B$270,MATCH($A265,'Team Performance'!$A$241:$A$270,0)),"n/a"),IFERROR(INDEX('Team Performance'!$B$6:$K$35,MATCH($A265,'Team Performance'!$A$6:$A$35,0),MATCH(($B265-2)&amp;"-"&amp;RIGHT($B265-1,2),'Team Performance'!$B$5:$K$5,0)),"n/a"))</f>
        <v>67</v>
      </c>
      <c r="L265" s="108">
        <f>IF($B265=2017,IFERROR(INDEX('Team Performance'!$C$241:$C$270,MATCH($A265,'Team Performance'!$A$241:$A$270,0)),"n/a"),IFERROR(INDEX('Team Performance'!$B$39:$K$68,MATCH($A265,'Team Performance'!$A$39:$A$68,0),MATCH(($B265-2)&amp;"-"&amp;RIGHT($B265-1,2),'Team Performance'!$B$38:$K$38,0)),"n/a"))</f>
        <v>15</v>
      </c>
      <c r="M265" s="109">
        <f t="shared" si="9"/>
        <v>0.81707317073170727</v>
      </c>
      <c r="N265" s="108">
        <f>IF($B265=2017,IFERROR(INDEX('Team Performance'!$E$241:$E$270,MATCH($A265,'Team Performance'!$A$241:$A$270,0)),"n/a"),IFERROR(INDEX('Team Performance'!$B$140:$K$169,MATCH($A265,'Team Performance'!$A$140:$A$169,0),MATCH(($B265-2)&amp;"-"&amp;RIGHT($B265-1,2),'Team Performance'!$B$139:$K$139,0)),"n/a"))</f>
        <v>2</v>
      </c>
      <c r="O265" s="110">
        <f>IF($B265=2017,IFERROR(INDEX('Salary Cap'!$B$143:$B$172,MATCH($A265,'Salary Cap'!$A$143:$A$172,0)),"n/a"),IFERROR(INDEX('Salary Cap'!$B$10:$K$39,MATCH($A265,'Salary Cap'!$A$10:$A$39,0),MATCH(""&amp;($B265-1),'Salary Cap'!$B$9:$K$9,0)),"n/a"))</f>
        <v>87594996</v>
      </c>
      <c r="P265" s="115">
        <f>IF($B265=2017,IFERROR(INDEX('Salary Cap'!$C$143:$C$172,MATCH($A265,'Salary Cap'!$A$143:$A$172,0)),"n/a"),IFERROR(INDEX('Salary Cap'!$B$109:$K$138,MATCH($A265,'Salary Cap'!$A$109:$A$138,0),MATCH(""&amp;($B265-1),'Salary Cap'!$B$108:$K$108,0)),"n/a"))</f>
        <v>4282494</v>
      </c>
      <c r="Q265" s="138">
        <f>IF(OR($B265=2021,$B265=2022),1,0)</f>
        <v>0</v>
      </c>
    </row>
    <row r="266" spans="1:17" x14ac:dyDescent="0.2">
      <c r="A266" s="113" t="str" cm="1">
        <f t="array" ref="A266">INDEX('NBA Valuations'!$A$5:$A$34,INT((ROW()-5)/10)+1)</f>
        <v>San Antonio Spurs</v>
      </c>
      <c r="B266" s="105">
        <f t="shared" si="8"/>
        <v>2018</v>
      </c>
      <c r="C266" s="106">
        <f>IFERROR(INDEX('NBA Valuations'!$B$5:$K$34,MATCH($A266,'NBA Valuations'!$A$5:$A$34,0),MATCH(""&amp;$B266,'NBA Valuations'!$B$3:$K$3,0)),"n/a")</f>
        <v>1600</v>
      </c>
      <c r="D266" s="106">
        <f>IFERROR(INDEX(Revenue!$B$5:$K$34,MATCH($A266,Revenue!$A$5:$A$34,0),MATCH(""&amp;$B266,Revenue!$B$3:$K$3,0)),"n/a")</f>
        <v>259</v>
      </c>
      <c r="E266" s="106">
        <f>IFERROR(INDEX('Operating Income'!$B$5:$K$34,MATCH($A266,'Operating Income'!$A$5:$A$34,0),MATCH(""&amp;$B266,'Operating Income'!$B$3:$K$3,0)),"n/a")</f>
        <v>59</v>
      </c>
      <c r="F266" s="107">
        <f>IFERROR(INDEX('Market Size'!$L$5:$L$34,MATCH($A266,'Market Size'!$A$5:$A$34,0)),"n/a")</f>
        <v>2568772</v>
      </c>
      <c r="G266" s="108" t="str">
        <f>IFERROR(INDEX('Market Size'!$B$38:$K$67,MATCH($A266,'Market Size'!$A$38:$A$67,0),MATCH(""&amp;($B266-1),'Market Size'!$B$36:$K$36,0)),"n/a")</f>
        <v>n/a</v>
      </c>
      <c r="H266" s="108">
        <f>IFERROR(INDEX(Arena!$B$38:$K$67,MATCH($A266,Arena!$A$38:$A$67,0),MATCH(""&amp;$B266,Arena!$B$36:$K$36,0)),"n/a")</f>
        <v>2002</v>
      </c>
      <c r="I266" s="136" t="str">
        <f>IFERROR(INDEX(Arena!$B$71:$K$100,MATCH($A266,Arena!$A$71:$A$100,0),MATCH(""&amp;$B266,Arena!$B$69:$K$69,0)),"n/a")</f>
        <v>N</v>
      </c>
      <c r="J266" s="137">
        <f>IF(ISNUMBER($H266),($B266-1)-$H266,"n/a")</f>
        <v>15</v>
      </c>
      <c r="K266" s="108">
        <f>IF($B266=2017,IFERROR(INDEX('Team Performance'!$B$241:$B$270,MATCH($A266,'Team Performance'!$A$241:$A$270,0)),"n/a"),IFERROR(INDEX('Team Performance'!$B$6:$K$35,MATCH($A266,'Team Performance'!$A$6:$A$35,0),MATCH(($B266-2)&amp;"-"&amp;RIGHT($B266-1,2),'Team Performance'!$B$5:$K$5,0)),"n/a"))</f>
        <v>61</v>
      </c>
      <c r="L266" s="108">
        <f>IF($B266=2017,IFERROR(INDEX('Team Performance'!$C$241:$C$270,MATCH($A266,'Team Performance'!$A$241:$A$270,0)),"n/a"),IFERROR(INDEX('Team Performance'!$B$39:$K$68,MATCH($A266,'Team Performance'!$A$39:$A$68,0),MATCH(($B266-2)&amp;"-"&amp;RIGHT($B266-1,2),'Team Performance'!$B$38:$K$38,0)),"n/a"))</f>
        <v>21</v>
      </c>
      <c r="M266" s="109">
        <f t="shared" si="9"/>
        <v>0.74390243902439024</v>
      </c>
      <c r="N266" s="108">
        <f>IF($B266=2017,IFERROR(INDEX('Team Performance'!$E$241:$E$270,MATCH($A266,'Team Performance'!$A$241:$A$270,0)),"n/a"),IFERROR(INDEX('Team Performance'!$B$140:$K$169,MATCH($A266,'Team Performance'!$A$140:$A$169,0),MATCH(($B266-2)&amp;"-"&amp;RIGHT($B266-1,2),'Team Performance'!$B$139:$K$139,0)),"n/a"))</f>
        <v>3</v>
      </c>
      <c r="O266" s="110">
        <f>IF($B266=2017,IFERROR(INDEX('Salary Cap'!$B$143:$B$172,MATCH($A266,'Salary Cap'!$A$143:$A$172,0)),"n/a"),IFERROR(INDEX('Salary Cap'!$B$10:$K$39,MATCH($A266,'Salary Cap'!$A$10:$A$39,0),MATCH(""&amp;($B266-1),'Salary Cap'!$B$9:$K$9,0)),"n/a"))</f>
        <v>108809101</v>
      </c>
      <c r="P266" s="115">
        <f>IF($B266=2017,IFERROR(INDEX('Salary Cap'!$C$143:$C$172,MATCH($A266,'Salary Cap'!$A$143:$A$172,0)),"n/a"),IFERROR(INDEX('Salary Cap'!$B$109:$K$138,MATCH($A266,'Salary Cap'!$A$109:$A$138,0),MATCH(""&amp;($B266-1),'Salary Cap'!$B$108:$K$108,0)),"n/a"))</f>
        <v>0</v>
      </c>
      <c r="Q266" s="138">
        <f>IF(OR($B266=2021,$B266=2022),1,0)</f>
        <v>0</v>
      </c>
    </row>
    <row r="267" spans="1:17" x14ac:dyDescent="0.2">
      <c r="A267" s="113" t="str" cm="1">
        <f t="array" ref="A267">INDEX('NBA Valuations'!$A$5:$A$34,INT((ROW()-5)/10)+1)</f>
        <v>San Antonio Spurs</v>
      </c>
      <c r="B267" s="105">
        <f t="shared" si="8"/>
        <v>2019</v>
      </c>
      <c r="C267" s="106">
        <f>IFERROR(INDEX('NBA Valuations'!$B$5:$K$34,MATCH($A267,'NBA Valuations'!$A$5:$A$34,0),MATCH(""&amp;$B267,'NBA Valuations'!$B$3:$K$3,0)),"n/a")</f>
        <v>1600</v>
      </c>
      <c r="D267" s="106">
        <f>IFERROR(INDEX(Revenue!$B$5:$K$34,MATCH($A267,Revenue!$A$5:$A$34,0),MATCH(""&amp;$B267,Revenue!$B$3:$K$3,0)),"n/a")</f>
        <v>262</v>
      </c>
      <c r="E267" s="106">
        <f>IFERROR(INDEX('Operating Income'!$B$5:$K$34,MATCH($A267,'Operating Income'!$A$5:$A$34,0),MATCH(""&amp;$B267,'Operating Income'!$B$3:$K$3,0)),"n/a")</f>
        <v>63</v>
      </c>
      <c r="F267" s="107">
        <f>IFERROR(INDEX('Market Size'!$L$5:$L$34,MATCH($A267,'Market Size'!$A$5:$A$34,0)),"n/a")</f>
        <v>2568772</v>
      </c>
      <c r="G267" s="108" t="str">
        <f>IFERROR(INDEX('Market Size'!$B$38:$K$67,MATCH($A267,'Market Size'!$A$38:$A$67,0),MATCH(""&amp;($B267-1),'Market Size'!$B$36:$K$36,0)),"n/a")</f>
        <v>n/a</v>
      </c>
      <c r="H267" s="108">
        <f>IFERROR(INDEX(Arena!$B$38:$K$67,MATCH($A267,Arena!$A$38:$A$67,0),MATCH(""&amp;$B267,Arena!$B$36:$K$36,0)),"n/a")</f>
        <v>2002</v>
      </c>
      <c r="I267" s="136" t="str">
        <f>IFERROR(INDEX(Arena!$B$71:$K$100,MATCH($A267,Arena!$A$71:$A$100,0),MATCH(""&amp;$B267,Arena!$B$69:$K$69,0)),"n/a")</f>
        <v>N</v>
      </c>
      <c r="J267" s="137">
        <f>IF(ISNUMBER($H267),($B267-1)-$H267,"n/a")</f>
        <v>16</v>
      </c>
      <c r="K267" s="108">
        <f>IF($B267=2017,IFERROR(INDEX('Team Performance'!$B$241:$B$270,MATCH($A267,'Team Performance'!$A$241:$A$270,0)),"n/a"),IFERROR(INDEX('Team Performance'!$B$6:$K$35,MATCH($A267,'Team Performance'!$A$6:$A$35,0),MATCH(($B267-2)&amp;"-"&amp;RIGHT($B267-1,2),'Team Performance'!$B$5:$K$5,0)),"n/a"))</f>
        <v>47</v>
      </c>
      <c r="L267" s="108">
        <f>IF($B267=2017,IFERROR(INDEX('Team Performance'!$C$241:$C$270,MATCH($A267,'Team Performance'!$A$241:$A$270,0)),"n/a"),IFERROR(INDEX('Team Performance'!$B$39:$K$68,MATCH($A267,'Team Performance'!$A$39:$A$68,0),MATCH(($B267-2)&amp;"-"&amp;RIGHT($B267-1,2),'Team Performance'!$B$38:$K$38,0)),"n/a"))</f>
        <v>35</v>
      </c>
      <c r="M267" s="109">
        <f t="shared" si="9"/>
        <v>0.57317073170731703</v>
      </c>
      <c r="N267" s="108">
        <f>IF($B267=2017,IFERROR(INDEX('Team Performance'!$E$241:$E$270,MATCH($A267,'Team Performance'!$A$241:$A$270,0)),"n/a"),IFERROR(INDEX('Team Performance'!$B$140:$K$169,MATCH($A267,'Team Performance'!$A$140:$A$169,0),MATCH(($B267-2)&amp;"-"&amp;RIGHT($B267-1,2),'Team Performance'!$B$139:$K$139,0)),"n/a"))</f>
        <v>1</v>
      </c>
      <c r="O267" s="110">
        <f>IF($B267=2017,IFERROR(INDEX('Salary Cap'!$B$143:$B$172,MATCH($A267,'Salary Cap'!$A$143:$A$172,0)),"n/a"),IFERROR(INDEX('Salary Cap'!$B$10:$K$39,MATCH($A267,'Salary Cap'!$A$10:$A$39,0),MATCH(""&amp;($B267-1),'Salary Cap'!$B$9:$K$9,0)),"n/a"))</f>
        <v>116968092</v>
      </c>
      <c r="P267" s="115">
        <f>IF($B267=2017,IFERROR(INDEX('Salary Cap'!$C$143:$C$172,MATCH($A267,'Salary Cap'!$A$143:$A$172,0)),"n/a"),IFERROR(INDEX('Salary Cap'!$B$109:$K$138,MATCH($A267,'Salary Cap'!$A$109:$A$138,0),MATCH(""&amp;($B267-1),'Salary Cap'!$B$108:$K$108,0)),"n/a"))</f>
        <v>0</v>
      </c>
      <c r="Q267" s="138">
        <f>IF(OR($B267=2021,$B267=2022),1,0)</f>
        <v>0</v>
      </c>
    </row>
    <row r="268" spans="1:17" x14ac:dyDescent="0.2">
      <c r="A268" s="113" t="str" cm="1">
        <f t="array" ref="A268">INDEX('NBA Valuations'!$A$5:$A$34,INT((ROW()-5)/10)+1)</f>
        <v>San Antonio Spurs</v>
      </c>
      <c r="B268" s="105">
        <f t="shared" si="8"/>
        <v>2020</v>
      </c>
      <c r="C268" s="106">
        <f>IFERROR(INDEX('NBA Valuations'!$B$5:$K$34,MATCH($A268,'NBA Valuations'!$A$5:$A$34,0),MATCH(""&amp;$B268,'NBA Valuations'!$B$3:$K$3,0)),"n/a")</f>
        <v>1800</v>
      </c>
      <c r="D268" s="106">
        <f>IFERROR(INDEX(Revenue!$B$5:$K$34,MATCH($A268,Revenue!$A$5:$A$34,0),MATCH(""&amp;$B268,Revenue!$B$3:$K$3,0)),"n/a")</f>
        <v>285</v>
      </c>
      <c r="E268" s="106">
        <f>IFERROR(INDEX('Operating Income'!$B$5:$K$34,MATCH($A268,'Operating Income'!$A$5:$A$34,0),MATCH(""&amp;$B268,'Operating Income'!$B$3:$K$3,0)),"n/a")</f>
        <v>66</v>
      </c>
      <c r="F268" s="107">
        <f>IFERROR(INDEX('Market Size'!$L$5:$L$34,MATCH($A268,'Market Size'!$A$5:$A$34,0)),"n/a")</f>
        <v>2568772</v>
      </c>
      <c r="G268" s="108" t="str">
        <f>IFERROR(INDEX('Market Size'!$B$38:$K$67,MATCH($A268,'Market Size'!$A$38:$A$67,0),MATCH(""&amp;($B268-1),'Market Size'!$B$36:$K$36,0)),"n/a")</f>
        <v>n/a</v>
      </c>
      <c r="H268" s="108">
        <f>IFERROR(INDEX(Arena!$B$38:$K$67,MATCH($A268,Arena!$A$38:$A$67,0),MATCH(""&amp;$B268,Arena!$B$36:$K$36,0)),"n/a")</f>
        <v>2002</v>
      </c>
      <c r="I268" s="136" t="str">
        <f>IFERROR(INDEX(Arena!$B$71:$K$100,MATCH($A268,Arena!$A$71:$A$100,0),MATCH(""&amp;$B268,Arena!$B$69:$K$69,0)),"n/a")</f>
        <v>N</v>
      </c>
      <c r="J268" s="137">
        <f>IF(ISNUMBER($H268),($B268-1)-$H268,"n/a")</f>
        <v>17</v>
      </c>
      <c r="K268" s="108">
        <f>IF($B268=2017,IFERROR(INDEX('Team Performance'!$B$241:$B$270,MATCH($A268,'Team Performance'!$A$241:$A$270,0)),"n/a"),IFERROR(INDEX('Team Performance'!$B$6:$K$35,MATCH($A268,'Team Performance'!$A$6:$A$35,0),MATCH(($B268-2)&amp;"-"&amp;RIGHT($B268-1,2),'Team Performance'!$B$5:$K$5,0)),"n/a"))</f>
        <v>48</v>
      </c>
      <c r="L268" s="108">
        <f>IF($B268=2017,IFERROR(INDEX('Team Performance'!$C$241:$C$270,MATCH($A268,'Team Performance'!$A$241:$A$270,0)),"n/a"),IFERROR(INDEX('Team Performance'!$B$39:$K$68,MATCH($A268,'Team Performance'!$A$39:$A$68,0),MATCH(($B268-2)&amp;"-"&amp;RIGHT($B268-1,2),'Team Performance'!$B$38:$K$38,0)),"n/a"))</f>
        <v>34</v>
      </c>
      <c r="M268" s="109">
        <f t="shared" si="9"/>
        <v>0.58536585365853655</v>
      </c>
      <c r="N268" s="108">
        <f>IF($B268=2017,IFERROR(INDEX('Team Performance'!$E$241:$E$270,MATCH($A268,'Team Performance'!$A$241:$A$270,0)),"n/a"),IFERROR(INDEX('Team Performance'!$B$140:$K$169,MATCH($A268,'Team Performance'!$A$140:$A$169,0),MATCH(($B268-2)&amp;"-"&amp;RIGHT($B268-1,2),'Team Performance'!$B$139:$K$139,0)),"n/a"))</f>
        <v>1</v>
      </c>
      <c r="O268" s="110">
        <f>IF($B268=2017,IFERROR(INDEX('Salary Cap'!$B$143:$B$172,MATCH($A268,'Salary Cap'!$A$143:$A$172,0)),"n/a"),IFERROR(INDEX('Salary Cap'!$B$10:$K$39,MATCH($A268,'Salary Cap'!$A$10:$A$39,0),MATCH(""&amp;($B268-1),'Salary Cap'!$B$9:$K$9,0)),"n/a"))</f>
        <v>121745335</v>
      </c>
      <c r="P268" s="115">
        <f>IF($B268=2017,IFERROR(INDEX('Salary Cap'!$C$143:$C$172,MATCH($A268,'Salary Cap'!$A$143:$A$172,0)),"n/a"),IFERROR(INDEX('Salary Cap'!$B$109:$K$138,MATCH($A268,'Salary Cap'!$A$109:$A$138,0),MATCH(""&amp;($B268-1),'Salary Cap'!$B$108:$K$108,0)),"n/a"))</f>
        <v>0</v>
      </c>
      <c r="Q268" s="138">
        <f>IF(OR($B268=2021,$B268=2022),1,0)</f>
        <v>0</v>
      </c>
    </row>
    <row r="269" spans="1:17" x14ac:dyDescent="0.2">
      <c r="A269" s="113" t="str" cm="1">
        <f t="array" ref="A269">INDEX('NBA Valuations'!$A$5:$A$34,INT((ROW()-5)/10)+1)</f>
        <v>San Antonio Spurs</v>
      </c>
      <c r="B269" s="105">
        <f t="shared" si="8"/>
        <v>2021</v>
      </c>
      <c r="C269" s="106">
        <f>IFERROR(INDEX('NBA Valuations'!$B$5:$K$34,MATCH($A269,'NBA Valuations'!$A$5:$A$34,0),MATCH(""&amp;$B269,'NBA Valuations'!$B$3:$K$3,0)),"n/a")</f>
        <v>1850</v>
      </c>
      <c r="D269" s="106">
        <f>IFERROR(INDEX(Revenue!$B$5:$K$34,MATCH($A269,Revenue!$A$5:$A$34,0),MATCH(""&amp;$B269,Revenue!$B$3:$K$3,0)),"n/a")</f>
        <v>255</v>
      </c>
      <c r="E269" s="106">
        <f>IFERROR(INDEX('Operating Income'!$B$5:$K$34,MATCH($A269,'Operating Income'!$A$5:$A$34,0),MATCH(""&amp;$B269,'Operating Income'!$B$3:$K$3,0)),"n/a")</f>
        <v>63</v>
      </c>
      <c r="F269" s="107">
        <f>IFERROR(INDEX('Market Size'!$L$5:$L$34,MATCH($A269,'Market Size'!$A$5:$A$34,0)),"n/a")</f>
        <v>2568772</v>
      </c>
      <c r="G269" s="108" t="str">
        <f>IFERROR(INDEX('Market Size'!$B$38:$K$67,MATCH($A269,'Market Size'!$A$38:$A$67,0),MATCH(""&amp;($B269-1),'Market Size'!$B$36:$K$36,0)),"n/a")</f>
        <v>n/a</v>
      </c>
      <c r="H269" s="108">
        <f>IFERROR(INDEX(Arena!$B$38:$K$67,MATCH($A269,Arena!$A$38:$A$67,0),MATCH(""&amp;$B269,Arena!$B$36:$K$36,0)),"n/a")</f>
        <v>2002</v>
      </c>
      <c r="I269" s="136" t="str">
        <f>IFERROR(INDEX(Arena!$B$71:$K$100,MATCH($A269,Arena!$A$71:$A$100,0),MATCH(""&amp;$B269,Arena!$B$69:$K$69,0)),"n/a")</f>
        <v>N</v>
      </c>
      <c r="J269" s="137">
        <f>IF(ISNUMBER($H269),($B269-1)-$H269,"n/a")</f>
        <v>18</v>
      </c>
      <c r="K269" s="108">
        <f>IF($B269=2017,IFERROR(INDEX('Team Performance'!$B$241:$B$270,MATCH($A269,'Team Performance'!$A$241:$A$270,0)),"n/a"),IFERROR(INDEX('Team Performance'!$B$6:$K$35,MATCH($A269,'Team Performance'!$A$6:$A$35,0),MATCH(($B269-2)&amp;"-"&amp;RIGHT($B269-1,2),'Team Performance'!$B$5:$K$5,0)),"n/a"))</f>
        <v>32</v>
      </c>
      <c r="L269" s="108">
        <f>IF($B269=2017,IFERROR(INDEX('Team Performance'!$C$241:$C$270,MATCH($A269,'Team Performance'!$A$241:$A$270,0)),"n/a"),IFERROR(INDEX('Team Performance'!$B$39:$K$68,MATCH($A269,'Team Performance'!$A$39:$A$68,0),MATCH(($B269-2)&amp;"-"&amp;RIGHT($B269-1,2),'Team Performance'!$B$38:$K$38,0)),"n/a"))</f>
        <v>39</v>
      </c>
      <c r="M269" s="109">
        <f t="shared" si="9"/>
        <v>0.45070422535211269</v>
      </c>
      <c r="N269" s="108">
        <f>IF($B269=2017,IFERROR(INDEX('Team Performance'!$E$241:$E$270,MATCH($A269,'Team Performance'!$A$241:$A$270,0)),"n/a"),IFERROR(INDEX('Team Performance'!$B$140:$K$169,MATCH($A269,'Team Performance'!$A$140:$A$169,0),MATCH(($B269-2)&amp;"-"&amp;RIGHT($B269-1,2),'Team Performance'!$B$139:$K$139,0)),"n/a"))</f>
        <v>0</v>
      </c>
      <c r="O269" s="110">
        <f>IF($B269=2017,IFERROR(INDEX('Salary Cap'!$B$143:$B$172,MATCH($A269,'Salary Cap'!$A$143:$A$172,0)),"n/a"),IFERROR(INDEX('Salary Cap'!$B$10:$K$39,MATCH($A269,'Salary Cap'!$A$10:$A$39,0),MATCH(""&amp;($B269-1),'Salary Cap'!$B$9:$K$9,0)),"n/a"))</f>
        <v>123832531</v>
      </c>
      <c r="P269" s="115">
        <f>IF($B269=2017,IFERROR(INDEX('Salary Cap'!$C$143:$C$172,MATCH($A269,'Salary Cap'!$A$143:$A$172,0)),"n/a"),IFERROR(INDEX('Salary Cap'!$B$109:$K$138,MATCH($A269,'Salary Cap'!$A$109:$A$138,0),MATCH(""&amp;($B269-1),'Salary Cap'!$B$108:$K$108,0)),"n/a"))</f>
        <v>0</v>
      </c>
      <c r="Q269" s="138">
        <f>IF(OR($B269=2021,$B269=2022),1,0)</f>
        <v>1</v>
      </c>
    </row>
    <row r="270" spans="1:17" x14ac:dyDescent="0.2">
      <c r="A270" s="113" t="str" cm="1">
        <f t="array" ref="A270">INDEX('NBA Valuations'!$A$5:$A$34,INT((ROW()-5)/10)+1)</f>
        <v>San Antonio Spurs</v>
      </c>
      <c r="B270" s="105">
        <f t="shared" si="8"/>
        <v>2022</v>
      </c>
      <c r="C270" s="106">
        <f>IFERROR(INDEX('NBA Valuations'!$B$5:$K$34,MATCH($A270,'NBA Valuations'!$A$5:$A$34,0),MATCH(""&amp;$B270,'NBA Valuations'!$B$3:$K$3,0)),"n/a")</f>
        <v>1980</v>
      </c>
      <c r="D270" s="106">
        <f>IFERROR(INDEX(Revenue!$B$5:$K$34,MATCH($A270,Revenue!$A$5:$A$34,0),MATCH(""&amp;$B270,Revenue!$B$3:$K$3,0)),"n/a")</f>
        <v>205</v>
      </c>
      <c r="E270" s="106">
        <f>IFERROR(INDEX('Operating Income'!$B$5:$K$34,MATCH($A270,'Operating Income'!$A$5:$A$34,0),MATCH(""&amp;$B270,'Operating Income'!$B$3:$K$3,0)),"n/a")</f>
        <v>39</v>
      </c>
      <c r="F270" s="107">
        <f>IFERROR(INDEX('Market Size'!$L$5:$L$34,MATCH($A270,'Market Size'!$A$5:$A$34,0)),"n/a")</f>
        <v>2568772</v>
      </c>
      <c r="G270" s="108" t="str">
        <f>IFERROR(INDEX('Market Size'!$B$38:$K$67,MATCH($A270,'Market Size'!$A$38:$A$67,0),MATCH(""&amp;($B270-1),'Market Size'!$B$36:$K$36,0)),"n/a")</f>
        <v>n/a</v>
      </c>
      <c r="H270" s="108">
        <f>IFERROR(INDEX(Arena!$B$38:$K$67,MATCH($A270,Arena!$A$38:$A$67,0),MATCH(""&amp;$B270,Arena!$B$36:$K$36,0)),"n/a")</f>
        <v>2002</v>
      </c>
      <c r="I270" s="136" t="str">
        <f>IFERROR(INDEX(Arena!$B$71:$K$100,MATCH($A270,Arena!$A$71:$A$100,0),MATCH(""&amp;$B270,Arena!$B$69:$K$69,0)),"n/a")</f>
        <v>N</v>
      </c>
      <c r="J270" s="137">
        <f>IF(ISNUMBER($H270),($B270-1)-$H270,"n/a")</f>
        <v>19</v>
      </c>
      <c r="K270" s="108">
        <f>IF($B270=2017,IFERROR(INDEX('Team Performance'!$B$241:$B$270,MATCH($A270,'Team Performance'!$A$241:$A$270,0)),"n/a"),IFERROR(INDEX('Team Performance'!$B$6:$K$35,MATCH($A270,'Team Performance'!$A$6:$A$35,0),MATCH(($B270-2)&amp;"-"&amp;RIGHT($B270-1,2),'Team Performance'!$B$5:$K$5,0)),"n/a"))</f>
        <v>33</v>
      </c>
      <c r="L270" s="108">
        <f>IF($B270=2017,IFERROR(INDEX('Team Performance'!$C$241:$C$270,MATCH($A270,'Team Performance'!$A$241:$A$270,0)),"n/a"),IFERROR(INDEX('Team Performance'!$B$39:$K$68,MATCH($A270,'Team Performance'!$A$39:$A$68,0),MATCH(($B270-2)&amp;"-"&amp;RIGHT($B270-1,2),'Team Performance'!$B$38:$K$38,0)),"n/a"))</f>
        <v>39</v>
      </c>
      <c r="M270" s="109">
        <f t="shared" si="9"/>
        <v>0.45833333333333331</v>
      </c>
      <c r="N270" s="108">
        <f>IF($B270=2017,IFERROR(INDEX('Team Performance'!$E$241:$E$270,MATCH($A270,'Team Performance'!$A$241:$A$270,0)),"n/a"),IFERROR(INDEX('Team Performance'!$B$140:$K$169,MATCH($A270,'Team Performance'!$A$140:$A$169,0),MATCH(($B270-2)&amp;"-"&amp;RIGHT($B270-1,2),'Team Performance'!$B$139:$K$139,0)),"n/a"))</f>
        <v>0</v>
      </c>
      <c r="O270" s="110">
        <f>IF($B270=2017,IFERROR(INDEX('Salary Cap'!$B$143:$B$172,MATCH($A270,'Salary Cap'!$A$143:$A$172,0)),"n/a"),IFERROR(INDEX('Salary Cap'!$B$10:$K$39,MATCH($A270,'Salary Cap'!$A$10:$A$39,0),MATCH(""&amp;($B270-1),'Salary Cap'!$B$9:$K$9,0)),"n/a"))</f>
        <v>128921740</v>
      </c>
      <c r="P270" s="115">
        <f>IF($B270=2017,IFERROR(INDEX('Salary Cap'!$C$143:$C$172,MATCH($A270,'Salary Cap'!$A$143:$A$172,0)),"n/a"),IFERROR(INDEX('Salary Cap'!$B$109:$K$138,MATCH($A270,'Salary Cap'!$A$109:$A$138,0),MATCH(""&amp;($B270-1),'Salary Cap'!$B$108:$K$108,0)),"n/a"))</f>
        <v>0</v>
      </c>
      <c r="Q270" s="138">
        <f>IF(OR($B270=2021,$B270=2022),1,0)</f>
        <v>1</v>
      </c>
    </row>
    <row r="271" spans="1:17" x14ac:dyDescent="0.2">
      <c r="A271" s="113" t="str" cm="1">
        <f t="array" ref="A271">INDEX('NBA Valuations'!$A$5:$A$34,INT((ROW()-5)/10)+1)</f>
        <v>San Antonio Spurs</v>
      </c>
      <c r="B271" s="105">
        <f t="shared" si="8"/>
        <v>2023</v>
      </c>
      <c r="C271" s="106">
        <f>IFERROR(INDEX('NBA Valuations'!$B$5:$K$34,MATCH($A271,'NBA Valuations'!$A$5:$A$34,0),MATCH(""&amp;$B271,'NBA Valuations'!$B$3:$K$3,0)),"n/a")</f>
        <v>2000</v>
      </c>
      <c r="D271" s="106">
        <f>IFERROR(INDEX(Revenue!$B$5:$K$34,MATCH($A271,Revenue!$A$5:$A$34,0),MATCH(""&amp;$B271,Revenue!$B$3:$K$3,0)),"n/a")</f>
        <v>306</v>
      </c>
      <c r="E271" s="106">
        <f>IFERROR(INDEX('Operating Income'!$B$5:$K$34,MATCH($A271,'Operating Income'!$A$5:$A$34,0),MATCH(""&amp;$B271,'Operating Income'!$B$3:$K$3,0)),"n/a")</f>
        <v>99</v>
      </c>
      <c r="F271" s="107">
        <f>IFERROR(INDEX('Market Size'!$L$5:$L$34,MATCH($A271,'Market Size'!$A$5:$A$34,0)),"n/a")</f>
        <v>2568772</v>
      </c>
      <c r="G271" s="108" t="str">
        <f>IFERROR(INDEX('Market Size'!$B$38:$K$67,MATCH($A271,'Market Size'!$A$38:$A$67,0),MATCH(""&amp;($B271-1),'Market Size'!$B$36:$K$36,0)),"n/a")</f>
        <v>n/a</v>
      </c>
      <c r="H271" s="108">
        <f>IFERROR(INDEX(Arena!$B$38:$K$67,MATCH($A271,Arena!$A$38:$A$67,0),MATCH(""&amp;$B271,Arena!$B$36:$K$36,0)),"n/a")</f>
        <v>2002</v>
      </c>
      <c r="I271" s="136" t="str">
        <f>IFERROR(INDEX(Arena!$B$71:$K$100,MATCH($A271,Arena!$A$71:$A$100,0),MATCH(""&amp;$B271,Arena!$B$69:$K$69,0)),"n/a")</f>
        <v>N</v>
      </c>
      <c r="J271" s="137">
        <f>IF(ISNUMBER($H271),($B271-1)-$H271,"n/a")</f>
        <v>20</v>
      </c>
      <c r="K271" s="108">
        <f>IF($B271=2017,IFERROR(INDEX('Team Performance'!$B$241:$B$270,MATCH($A271,'Team Performance'!$A$241:$A$270,0)),"n/a"),IFERROR(INDEX('Team Performance'!$B$6:$K$35,MATCH($A271,'Team Performance'!$A$6:$A$35,0),MATCH(($B271-2)&amp;"-"&amp;RIGHT($B271-1,2),'Team Performance'!$B$5:$K$5,0)),"n/a"))</f>
        <v>34</v>
      </c>
      <c r="L271" s="108">
        <f>IF($B271=2017,IFERROR(INDEX('Team Performance'!$C$241:$C$270,MATCH($A271,'Team Performance'!$A$241:$A$270,0)),"n/a"),IFERROR(INDEX('Team Performance'!$B$39:$K$68,MATCH($A271,'Team Performance'!$A$39:$A$68,0),MATCH(($B271-2)&amp;"-"&amp;RIGHT($B271-1,2),'Team Performance'!$B$38:$K$38,0)),"n/a"))</f>
        <v>48</v>
      </c>
      <c r="M271" s="109">
        <f t="shared" si="9"/>
        <v>0.41463414634146339</v>
      </c>
      <c r="N271" s="108">
        <f>IF($B271=2017,IFERROR(INDEX('Team Performance'!$E$241:$E$270,MATCH($A271,'Team Performance'!$A$241:$A$270,0)),"n/a"),IFERROR(INDEX('Team Performance'!$B$140:$K$169,MATCH($A271,'Team Performance'!$A$140:$A$169,0),MATCH(($B271-2)&amp;"-"&amp;RIGHT($B271-1,2),'Team Performance'!$B$139:$K$139,0)),"n/a"))</f>
        <v>0</v>
      </c>
      <c r="O271" s="110">
        <f>IF($B271=2017,IFERROR(INDEX('Salary Cap'!$B$143:$B$172,MATCH($A271,'Salary Cap'!$A$143:$A$172,0)),"n/a"),IFERROR(INDEX('Salary Cap'!$B$10:$K$39,MATCH($A271,'Salary Cap'!$A$10:$A$39,0),MATCH(""&amp;($B271-1),'Salary Cap'!$B$9:$K$9,0)),"n/a"))</f>
        <v>126419926</v>
      </c>
      <c r="P271" s="115">
        <f>IF($B271=2017,IFERROR(INDEX('Salary Cap'!$C$143:$C$172,MATCH($A271,'Salary Cap'!$A$143:$A$172,0)),"n/a"),IFERROR(INDEX('Salary Cap'!$B$109:$K$138,MATCH($A271,'Salary Cap'!$A$109:$A$138,0),MATCH(""&amp;($B271-1),'Salary Cap'!$B$108:$K$108,0)),"n/a"))</f>
        <v>0</v>
      </c>
      <c r="Q271" s="138">
        <f>IF(OR($B271=2021,$B271=2022),1,0)</f>
        <v>0</v>
      </c>
    </row>
    <row r="272" spans="1:17" x14ac:dyDescent="0.2">
      <c r="A272" s="113" t="str" cm="1">
        <f t="array" ref="A272">INDEX('NBA Valuations'!$A$5:$A$34,INT((ROW()-5)/10)+1)</f>
        <v>San Antonio Spurs</v>
      </c>
      <c r="B272" s="105">
        <f t="shared" si="8"/>
        <v>2024</v>
      </c>
      <c r="C272" s="106">
        <f>IFERROR(INDEX('NBA Valuations'!$B$5:$K$34,MATCH($A272,'NBA Valuations'!$A$5:$A$34,0),MATCH(""&amp;$B272,'NBA Valuations'!$B$3:$K$3,0)),"n/a")</f>
        <v>3250</v>
      </c>
      <c r="D272" s="106">
        <f>IFERROR(INDEX(Revenue!$B$5:$K$34,MATCH($A272,Revenue!$A$5:$A$34,0),MATCH(""&amp;$B272,Revenue!$B$3:$K$3,0)),"n/a")</f>
        <v>319</v>
      </c>
      <c r="E272" s="106">
        <f>IFERROR(INDEX('Operating Income'!$B$5:$K$34,MATCH($A272,'Operating Income'!$A$5:$A$34,0),MATCH(""&amp;$B272,'Operating Income'!$B$3:$K$3,0)),"n/a")</f>
        <v>113</v>
      </c>
      <c r="F272" s="107">
        <f>IFERROR(INDEX('Market Size'!$L$5:$L$34,MATCH($A272,'Market Size'!$A$5:$A$34,0)),"n/a")</f>
        <v>2568772</v>
      </c>
      <c r="G272" s="108" t="str">
        <f>IFERROR(INDEX('Market Size'!$B$38:$K$67,MATCH($A272,'Market Size'!$A$38:$A$67,0),MATCH(""&amp;($B272-1),'Market Size'!$B$36:$K$36,0)),"n/a")</f>
        <v>n/a</v>
      </c>
      <c r="H272" s="108">
        <f>IFERROR(INDEX(Arena!$B$38:$K$67,MATCH($A272,Arena!$A$38:$A$67,0),MATCH(""&amp;$B272,Arena!$B$36:$K$36,0)),"n/a")</f>
        <v>2002</v>
      </c>
      <c r="I272" s="136" t="str">
        <f>IFERROR(INDEX(Arena!$B$71:$K$100,MATCH($A272,Arena!$A$71:$A$100,0),MATCH(""&amp;$B272,Arena!$B$69:$K$69,0)),"n/a")</f>
        <v>N</v>
      </c>
      <c r="J272" s="137">
        <f>IF(ISNUMBER($H272),($B272-1)-$H272,"n/a")</f>
        <v>21</v>
      </c>
      <c r="K272" s="108">
        <f>IF($B272=2017,IFERROR(INDEX('Team Performance'!$B$241:$B$270,MATCH($A272,'Team Performance'!$A$241:$A$270,0)),"n/a"),IFERROR(INDEX('Team Performance'!$B$6:$K$35,MATCH($A272,'Team Performance'!$A$6:$A$35,0),MATCH(($B272-2)&amp;"-"&amp;RIGHT($B272-1,2),'Team Performance'!$B$5:$K$5,0)),"n/a"))</f>
        <v>22</v>
      </c>
      <c r="L272" s="108">
        <f>IF($B272=2017,IFERROR(INDEX('Team Performance'!$C$241:$C$270,MATCH($A272,'Team Performance'!$A$241:$A$270,0)),"n/a"),IFERROR(INDEX('Team Performance'!$B$39:$K$68,MATCH($A272,'Team Performance'!$A$39:$A$68,0),MATCH(($B272-2)&amp;"-"&amp;RIGHT($B272-1,2),'Team Performance'!$B$38:$K$38,0)),"n/a"))</f>
        <v>60</v>
      </c>
      <c r="M272" s="109">
        <f t="shared" si="9"/>
        <v>0.26829268292682928</v>
      </c>
      <c r="N272" s="108">
        <f>IF($B272=2017,IFERROR(INDEX('Team Performance'!$E$241:$E$270,MATCH($A272,'Team Performance'!$A$241:$A$270,0)),"n/a"),IFERROR(INDEX('Team Performance'!$B$140:$K$169,MATCH($A272,'Team Performance'!$A$140:$A$169,0),MATCH(($B272-2)&amp;"-"&amp;RIGHT($B272-1,2),'Team Performance'!$B$139:$K$139,0)),"n/a"))</f>
        <v>0</v>
      </c>
      <c r="O272" s="110">
        <f>IF($B272=2017,IFERROR(INDEX('Salary Cap'!$B$143:$B$172,MATCH($A272,'Salary Cap'!$A$143:$A$172,0)),"n/a"),IFERROR(INDEX('Salary Cap'!$B$10:$K$39,MATCH($A272,'Salary Cap'!$A$10:$A$39,0),MATCH(""&amp;($B272-1),'Salary Cap'!$B$9:$K$9,0)),"n/a"))</f>
        <v>101790136</v>
      </c>
      <c r="P272" s="115">
        <f>IF($B272=2017,IFERROR(INDEX('Salary Cap'!$C$143:$C$172,MATCH($A272,'Salary Cap'!$A$143:$A$172,0)),"n/a"),IFERROR(INDEX('Salary Cap'!$B$109:$K$138,MATCH($A272,'Salary Cap'!$A$109:$A$138,0),MATCH(""&amp;($B272-1),'Salary Cap'!$B$108:$K$108,0)),"n/a"))</f>
        <v>0</v>
      </c>
      <c r="Q272" s="138">
        <f>IF(OR($B272=2021,$B272=2022),1,0)</f>
        <v>0</v>
      </c>
    </row>
    <row r="273" spans="1:17" x14ac:dyDescent="0.2">
      <c r="A273" s="113" t="str" cm="1">
        <f t="array" ref="A273">INDEX('NBA Valuations'!$A$5:$A$34,INT((ROW()-5)/10)+1)</f>
        <v>San Antonio Spurs</v>
      </c>
      <c r="B273" s="105">
        <f t="shared" si="8"/>
        <v>2025</v>
      </c>
      <c r="C273" s="106">
        <f>IFERROR(INDEX('NBA Valuations'!$B$5:$K$34,MATCH($A273,'NBA Valuations'!$A$5:$A$34,0),MATCH(""&amp;$B273,'NBA Valuations'!$B$3:$K$3,0)),"n/a")</f>
        <v>3850</v>
      </c>
      <c r="D273" s="106">
        <f>IFERROR(INDEX(Revenue!$B$5:$K$34,MATCH($A273,Revenue!$A$5:$A$34,0),MATCH(""&amp;$B273,Revenue!$B$3:$K$3,0)),"n/a")</f>
        <v>363</v>
      </c>
      <c r="E273" s="106">
        <f>IFERROR(INDEX('Operating Income'!$B$5:$K$34,MATCH($A273,'Operating Income'!$A$5:$A$34,0),MATCH(""&amp;$B273,'Operating Income'!$B$3:$K$3,0)),"n/a")</f>
        <v>118</v>
      </c>
      <c r="F273" s="107">
        <f>IFERROR(INDEX('Market Size'!$L$5:$L$34,MATCH($A273,'Market Size'!$A$5:$A$34,0)),"n/a")</f>
        <v>2568772</v>
      </c>
      <c r="G273" s="108">
        <f>IFERROR(INDEX('Market Size'!$B$38:$K$67,MATCH($A273,'Market Size'!$A$38:$A$67,0),MATCH(""&amp;($B273-1),'Market Size'!$B$36:$K$36,0)),"n/a")</f>
        <v>31</v>
      </c>
      <c r="H273" s="108">
        <f>IFERROR(INDEX(Arena!$B$38:$K$67,MATCH($A273,Arena!$A$38:$A$67,0),MATCH(""&amp;$B273,Arena!$B$36:$K$36,0)),"n/a")</f>
        <v>2002</v>
      </c>
      <c r="I273" s="136" t="str">
        <f>IFERROR(INDEX(Arena!$B$71:$K$100,MATCH($A273,Arena!$A$71:$A$100,0),MATCH(""&amp;$B273,Arena!$B$69:$K$69,0)),"n/a")</f>
        <v>N</v>
      </c>
      <c r="J273" s="137">
        <f>IF(ISNUMBER($H273),($B273-1)-$H273,"n/a")</f>
        <v>22</v>
      </c>
      <c r="K273" s="108">
        <f>IF($B273=2017,IFERROR(INDEX('Team Performance'!$B$241:$B$270,MATCH($A273,'Team Performance'!$A$241:$A$270,0)),"n/a"),IFERROR(INDEX('Team Performance'!$B$6:$K$35,MATCH($A273,'Team Performance'!$A$6:$A$35,0),MATCH(($B273-2)&amp;"-"&amp;RIGHT($B273-1,2),'Team Performance'!$B$5:$K$5,0)),"n/a"))</f>
        <v>22</v>
      </c>
      <c r="L273" s="108">
        <f>IF($B273=2017,IFERROR(INDEX('Team Performance'!$C$241:$C$270,MATCH($A273,'Team Performance'!$A$241:$A$270,0)),"n/a"),IFERROR(INDEX('Team Performance'!$B$39:$K$68,MATCH($A273,'Team Performance'!$A$39:$A$68,0),MATCH(($B273-2)&amp;"-"&amp;RIGHT($B273-1,2),'Team Performance'!$B$38:$K$38,0)),"n/a"))</f>
        <v>60</v>
      </c>
      <c r="M273" s="109">
        <f t="shared" si="9"/>
        <v>0.26829268292682928</v>
      </c>
      <c r="N273" s="108">
        <f>IF($B273=2017,IFERROR(INDEX('Team Performance'!$E$241:$E$270,MATCH($A273,'Team Performance'!$A$241:$A$270,0)),"n/a"),IFERROR(INDEX('Team Performance'!$B$140:$K$169,MATCH($A273,'Team Performance'!$A$140:$A$169,0),MATCH(($B273-2)&amp;"-"&amp;RIGHT($B273-1,2),'Team Performance'!$B$139:$K$139,0)),"n/a"))</f>
        <v>0</v>
      </c>
      <c r="O273" s="110">
        <f>IF($B273=2017,IFERROR(INDEX('Salary Cap'!$B$143:$B$172,MATCH($A273,'Salary Cap'!$A$143:$A$172,0)),"n/a"),IFERROR(INDEX('Salary Cap'!$B$10:$K$39,MATCH($A273,'Salary Cap'!$A$10:$A$39,0),MATCH(""&amp;($B273-1),'Salary Cap'!$B$9:$K$9,0)),"n/a"))</f>
        <v>140880244</v>
      </c>
      <c r="P273" s="115">
        <f>IF($B273=2017,IFERROR(INDEX('Salary Cap'!$C$143:$C$172,MATCH($A273,'Salary Cap'!$A$143:$A$172,0)),"n/a"),IFERROR(INDEX('Salary Cap'!$B$109:$K$138,MATCH($A273,'Salary Cap'!$A$109:$A$138,0),MATCH(""&amp;($B273-1),'Salary Cap'!$B$108:$K$108,0)),"n/a"))</f>
        <v>0</v>
      </c>
      <c r="Q273" s="138">
        <f>IF(OR($B273=2021,$B273=2022),1,0)</f>
        <v>0</v>
      </c>
    </row>
    <row r="274" spans="1:17" x14ac:dyDescent="0.2">
      <c r="A274" s="113" t="str" cm="1">
        <f t="array" ref="A274">INDEX('NBA Valuations'!$A$5:$A$34,INT((ROW()-5)/10)+1)</f>
        <v>San Antonio Spurs</v>
      </c>
      <c r="B274" s="105">
        <f t="shared" si="8"/>
        <v>2026</v>
      </c>
      <c r="C274" s="106">
        <f>IFERROR(INDEX('NBA Valuations'!$B$5:$K$34,MATCH($A274,'NBA Valuations'!$A$5:$A$34,0),MATCH(""&amp;$B274,'NBA Valuations'!$B$3:$K$3,0)),"n/a")</f>
        <v>4400</v>
      </c>
      <c r="D274" s="106">
        <f>IFERROR(INDEX(Revenue!$B$5:$K$34,MATCH($A274,Revenue!$A$5:$A$34,0),MATCH(""&amp;$B274,Revenue!$B$3:$K$3,0)),"n/a")</f>
        <v>401</v>
      </c>
      <c r="E274" s="106">
        <f>IFERROR(INDEX('Operating Income'!$B$5:$K$34,MATCH($A274,'Operating Income'!$A$5:$A$34,0),MATCH(""&amp;$B274,'Operating Income'!$B$3:$K$3,0)),"n/a")</f>
        <v>151</v>
      </c>
      <c r="F274" s="107">
        <f>IFERROR(INDEX('Market Size'!$L$5:$L$34,MATCH($A274,'Market Size'!$A$5:$A$34,0)),"n/a")</f>
        <v>2568772</v>
      </c>
      <c r="G274" s="108">
        <f>IFERROR(INDEX('Market Size'!$B$38:$K$67,MATCH($A274,'Market Size'!$A$38:$A$67,0),MATCH(""&amp;($B274-1),'Market Size'!$B$36:$K$36,0)),"n/a")</f>
        <v>31</v>
      </c>
      <c r="H274" s="108">
        <f>IFERROR(INDEX(Arena!$B$38:$K$67,MATCH($A274,Arena!$A$38:$A$67,0),MATCH(""&amp;$B274,Arena!$B$36:$K$36,0)),"n/a")</f>
        <v>2002</v>
      </c>
      <c r="I274" s="136" t="str">
        <f>IFERROR(INDEX(Arena!$B$71:$K$100,MATCH($A274,Arena!$A$71:$A$100,0),MATCH(""&amp;$B274,Arena!$B$69:$K$69,0)),"n/a")</f>
        <v>N</v>
      </c>
      <c r="J274" s="137">
        <f>IF(ISNUMBER($H274),($B274-1)-$H274,"n/a")</f>
        <v>23</v>
      </c>
      <c r="K274" s="108">
        <f>IF($B274=2017,IFERROR(INDEX('Team Performance'!$B$241:$B$270,MATCH($A274,'Team Performance'!$A$241:$A$270,0)),"n/a"),IFERROR(INDEX('Team Performance'!$B$6:$K$35,MATCH($A274,'Team Performance'!$A$6:$A$35,0),MATCH(($B274-2)&amp;"-"&amp;RIGHT($B274-1,2),'Team Performance'!$B$5:$K$5,0)),"n/a"))</f>
        <v>34</v>
      </c>
      <c r="L274" s="108">
        <f>IF($B274=2017,IFERROR(INDEX('Team Performance'!$C$241:$C$270,MATCH($A274,'Team Performance'!$A$241:$A$270,0)),"n/a"),IFERROR(INDEX('Team Performance'!$B$39:$K$68,MATCH($A274,'Team Performance'!$A$39:$A$68,0),MATCH(($B274-2)&amp;"-"&amp;RIGHT($B274-1,2),'Team Performance'!$B$38:$K$38,0)),"n/a"))</f>
        <v>48</v>
      </c>
      <c r="M274" s="109">
        <f t="shared" si="9"/>
        <v>0.41463414634146339</v>
      </c>
      <c r="N274" s="108">
        <f>IF($B274=2017,IFERROR(INDEX('Team Performance'!$E$241:$E$270,MATCH($A274,'Team Performance'!$A$241:$A$270,0)),"n/a"),IFERROR(INDEX('Team Performance'!$B$140:$K$169,MATCH($A274,'Team Performance'!$A$140:$A$169,0),MATCH(($B274-2)&amp;"-"&amp;RIGHT($B274-1,2),'Team Performance'!$B$139:$K$139,0)),"n/a"))</f>
        <v>0</v>
      </c>
      <c r="O274" s="110">
        <f>IF($B274=2017,IFERROR(INDEX('Salary Cap'!$B$143:$B$172,MATCH($A274,'Salary Cap'!$A$143:$A$172,0)),"n/a"),IFERROR(INDEX('Salary Cap'!$B$10:$K$39,MATCH($A274,'Salary Cap'!$A$10:$A$39,0),MATCH(""&amp;($B274-1),'Salary Cap'!$B$9:$K$9,0)),"n/a"))</f>
        <v>162701506</v>
      </c>
      <c r="P274" s="115">
        <f>IF($B274=2017,IFERROR(INDEX('Salary Cap'!$C$143:$C$172,MATCH($A274,'Salary Cap'!$A$143:$A$172,0)),"n/a"),IFERROR(INDEX('Salary Cap'!$B$109:$K$138,MATCH($A274,'Salary Cap'!$A$109:$A$138,0),MATCH(""&amp;($B274-1),'Salary Cap'!$B$108:$K$108,0)),"n/a"))</f>
        <v>0</v>
      </c>
      <c r="Q274" s="138">
        <f>IF(OR($B274=2021,$B274=2022),1,0)</f>
        <v>0</v>
      </c>
    </row>
    <row r="275" spans="1:17" x14ac:dyDescent="0.2">
      <c r="A275" s="113" t="str" cm="1">
        <f t="array" ref="A275">INDEX('NBA Valuations'!$A$5:$A$34,INT((ROW()-5)/10)+1)</f>
        <v>Toronto Raptors</v>
      </c>
      <c r="B275" s="105">
        <f t="shared" si="8"/>
        <v>2017</v>
      </c>
      <c r="C275" s="106">
        <f>IFERROR(INDEX('NBA Valuations'!$B$5:$K$34,MATCH($A275,'NBA Valuations'!$A$5:$A$34,0),MATCH(""&amp;$B275,'NBA Valuations'!$B$3:$K$3,0)),"n/a")</f>
        <v>1100</v>
      </c>
      <c r="D275" s="106">
        <f>IFERROR(INDEX(Revenue!$B$5:$K$34,MATCH($A275,Revenue!$A$5:$A$34,0),MATCH(""&amp;$B275,Revenue!$B$3:$K$3,0)),"n/a")</f>
        <v>193</v>
      </c>
      <c r="E275" s="106">
        <f>IFERROR(INDEX('Operating Income'!$B$5:$K$34,MATCH($A275,'Operating Income'!$A$5:$A$34,0),MATCH(""&amp;$B275,'Operating Income'!$B$3:$K$3,0)),"n/a")</f>
        <v>46.1</v>
      </c>
      <c r="F275" s="107">
        <f>IFERROR(INDEX('Market Size'!$L$5:$L$34,MATCH($A275,'Market Size'!$A$5:$A$34,0)),"n/a")</f>
        <v>6491939</v>
      </c>
      <c r="G275" s="108" t="str">
        <f>IFERROR(INDEX('Market Size'!$B$38:$K$67,MATCH($A275,'Market Size'!$A$38:$A$67,0),MATCH(""&amp;($B275-1),'Market Size'!$B$36:$K$36,0)),"n/a")</f>
        <v>n/a</v>
      </c>
      <c r="H275" s="108">
        <f>IFERROR(INDEX(Arena!$B$38:$K$67,MATCH($A275,Arena!$A$38:$A$67,0),MATCH(""&amp;$B275,Arena!$B$36:$K$36,0)),"n/a")</f>
        <v>1999</v>
      </c>
      <c r="I275" s="136" t="str">
        <f>IFERROR(INDEX(Arena!$B$71:$K$100,MATCH($A275,Arena!$A$71:$A$100,0),MATCH(""&amp;$B275,Arena!$B$69:$K$69,0)),"n/a")</f>
        <v>Y</v>
      </c>
      <c r="J275" s="137">
        <f>IF(ISNUMBER($H275),($B275-1)-$H275,"n/a")</f>
        <v>17</v>
      </c>
      <c r="K275" s="108">
        <f>IF($B275=2017,IFERROR(INDEX('Team Performance'!$B$241:$B$270,MATCH($A275,'Team Performance'!$A$241:$A$270,0)),"n/a"),IFERROR(INDEX('Team Performance'!$B$6:$K$35,MATCH($A275,'Team Performance'!$A$6:$A$35,0),MATCH(($B275-2)&amp;"-"&amp;RIGHT($B275-1,2),'Team Performance'!$B$5:$K$5,0)),"n/a"))</f>
        <v>56</v>
      </c>
      <c r="L275" s="108">
        <f>IF($B275=2017,IFERROR(INDEX('Team Performance'!$C$241:$C$270,MATCH($A275,'Team Performance'!$A$241:$A$270,0)),"n/a"),IFERROR(INDEX('Team Performance'!$B$39:$K$68,MATCH($A275,'Team Performance'!$A$39:$A$68,0),MATCH(($B275-2)&amp;"-"&amp;RIGHT($B275-1,2),'Team Performance'!$B$38:$K$38,0)),"n/a"))</f>
        <v>26</v>
      </c>
      <c r="M275" s="109">
        <f t="shared" si="9"/>
        <v>0.68292682926829273</v>
      </c>
      <c r="N275" s="108">
        <f>IF($B275=2017,IFERROR(INDEX('Team Performance'!$E$241:$E$270,MATCH($A275,'Team Performance'!$A$241:$A$270,0)),"n/a"),IFERROR(INDEX('Team Performance'!$B$140:$K$169,MATCH($A275,'Team Performance'!$A$140:$A$169,0),MATCH(($B275-2)&amp;"-"&amp;RIGHT($B275-1,2),'Team Performance'!$B$139:$K$139,0)),"n/a"))</f>
        <v>3</v>
      </c>
      <c r="O275" s="110">
        <f>IF($B275=2017,IFERROR(INDEX('Salary Cap'!$B$143:$B$172,MATCH($A275,'Salary Cap'!$A$143:$A$172,0)),"n/a"),IFERROR(INDEX('Salary Cap'!$B$10:$K$39,MATCH($A275,'Salary Cap'!$A$10:$A$39,0),MATCH(""&amp;($B275-1),'Salary Cap'!$B$9:$K$9,0)),"n/a"))</f>
        <v>72314887</v>
      </c>
      <c r="P275" s="115">
        <f>IF($B275=2017,IFERROR(INDEX('Salary Cap'!$C$143:$C$172,MATCH($A275,'Salary Cap'!$A$143:$A$172,0)),"n/a"),IFERROR(INDEX('Salary Cap'!$B$109:$K$138,MATCH($A275,'Salary Cap'!$A$109:$A$138,0),MATCH(""&amp;($B275-1),'Salary Cap'!$B$108:$K$108,0)),"n/a"))</f>
        <v>0</v>
      </c>
      <c r="Q275" s="138">
        <f>IF(OR($B275=2021,$B275=2022),1,0)</f>
        <v>0</v>
      </c>
    </row>
    <row r="276" spans="1:17" x14ac:dyDescent="0.2">
      <c r="A276" s="113" t="str" cm="1">
        <f t="array" ref="A276">INDEX('NBA Valuations'!$A$5:$A$34,INT((ROW()-5)/10)+1)</f>
        <v>Toronto Raptors</v>
      </c>
      <c r="B276" s="105">
        <f t="shared" si="8"/>
        <v>2018</v>
      </c>
      <c r="C276" s="106">
        <f>IFERROR(INDEX('NBA Valuations'!$B$5:$K$34,MATCH($A276,'NBA Valuations'!$A$5:$A$34,0),MATCH(""&amp;$B276,'NBA Valuations'!$B$3:$K$3,0)),"n/a")</f>
        <v>1400</v>
      </c>
      <c r="D276" s="106">
        <f>IFERROR(INDEX(Revenue!$B$5:$K$34,MATCH($A276,Revenue!$A$5:$A$34,0),MATCH(""&amp;$B276,Revenue!$B$3:$K$3,0)),"n/a")</f>
        <v>250</v>
      </c>
      <c r="E276" s="106">
        <f>IFERROR(INDEX('Operating Income'!$B$5:$K$34,MATCH($A276,'Operating Income'!$A$5:$A$34,0),MATCH(""&amp;$B276,'Operating Income'!$B$3:$K$3,0)),"n/a")</f>
        <v>51</v>
      </c>
      <c r="F276" s="107">
        <f>IFERROR(INDEX('Market Size'!$L$5:$L$34,MATCH($A276,'Market Size'!$A$5:$A$34,0)),"n/a")</f>
        <v>6491939</v>
      </c>
      <c r="G276" s="108" t="str">
        <f>IFERROR(INDEX('Market Size'!$B$38:$K$67,MATCH($A276,'Market Size'!$A$38:$A$67,0),MATCH(""&amp;($B276-1),'Market Size'!$B$36:$K$36,0)),"n/a")</f>
        <v>n/a</v>
      </c>
      <c r="H276" s="108">
        <f>IFERROR(INDEX(Arena!$B$38:$K$67,MATCH($A276,Arena!$A$38:$A$67,0),MATCH(""&amp;$B276,Arena!$B$36:$K$36,0)),"n/a")</f>
        <v>1999</v>
      </c>
      <c r="I276" s="136" t="str">
        <f>IFERROR(INDEX(Arena!$B$71:$K$100,MATCH($A276,Arena!$A$71:$A$100,0),MATCH(""&amp;$B276,Arena!$B$69:$K$69,0)),"n/a")</f>
        <v>Y</v>
      </c>
      <c r="J276" s="137">
        <f>IF(ISNUMBER($H276),($B276-1)-$H276,"n/a")</f>
        <v>18</v>
      </c>
      <c r="K276" s="108">
        <f>IF($B276=2017,IFERROR(INDEX('Team Performance'!$B$241:$B$270,MATCH($A276,'Team Performance'!$A$241:$A$270,0)),"n/a"),IFERROR(INDEX('Team Performance'!$B$6:$K$35,MATCH($A276,'Team Performance'!$A$6:$A$35,0),MATCH(($B276-2)&amp;"-"&amp;RIGHT($B276-1,2),'Team Performance'!$B$5:$K$5,0)),"n/a"))</f>
        <v>51</v>
      </c>
      <c r="L276" s="108">
        <f>IF($B276=2017,IFERROR(INDEX('Team Performance'!$C$241:$C$270,MATCH($A276,'Team Performance'!$A$241:$A$270,0)),"n/a"),IFERROR(INDEX('Team Performance'!$B$39:$K$68,MATCH($A276,'Team Performance'!$A$39:$A$68,0),MATCH(($B276-2)&amp;"-"&amp;RIGHT($B276-1,2),'Team Performance'!$B$38:$K$38,0)),"n/a"))</f>
        <v>31</v>
      </c>
      <c r="M276" s="109">
        <f t="shared" si="9"/>
        <v>0.62195121951219512</v>
      </c>
      <c r="N276" s="108">
        <f>IF($B276=2017,IFERROR(INDEX('Team Performance'!$E$241:$E$270,MATCH($A276,'Team Performance'!$A$241:$A$270,0)),"n/a"),IFERROR(INDEX('Team Performance'!$B$140:$K$169,MATCH($A276,'Team Performance'!$A$140:$A$169,0),MATCH(($B276-2)&amp;"-"&amp;RIGHT($B276-1,2),'Team Performance'!$B$139:$K$139,0)),"n/a"))</f>
        <v>2</v>
      </c>
      <c r="O276" s="110">
        <f>IF($B276=2017,IFERROR(INDEX('Salary Cap'!$B$143:$B$172,MATCH($A276,'Salary Cap'!$A$143:$A$172,0)),"n/a"),IFERROR(INDEX('Salary Cap'!$B$10:$K$39,MATCH($A276,'Salary Cap'!$A$10:$A$39,0),MATCH(""&amp;($B276-1),'Salary Cap'!$B$9:$K$9,0)),"n/a"))</f>
        <v>108895146</v>
      </c>
      <c r="P276" s="115">
        <f>IF($B276=2017,IFERROR(INDEX('Salary Cap'!$C$143:$C$172,MATCH($A276,'Salary Cap'!$A$143:$A$172,0)),"n/a"),IFERROR(INDEX('Salary Cap'!$B$109:$K$138,MATCH($A276,'Salary Cap'!$A$109:$A$138,0),MATCH(""&amp;($B276-1),'Salary Cap'!$B$108:$K$108,0)),"n/a"))</f>
        <v>0</v>
      </c>
      <c r="Q276" s="138">
        <f>IF(OR($B276=2021,$B276=2022),1,0)</f>
        <v>0</v>
      </c>
    </row>
    <row r="277" spans="1:17" x14ac:dyDescent="0.2">
      <c r="A277" s="113" t="str" cm="1">
        <f t="array" ref="A277">INDEX('NBA Valuations'!$A$5:$A$34,INT((ROW()-5)/10)+1)</f>
        <v>Toronto Raptors</v>
      </c>
      <c r="B277" s="105">
        <f t="shared" si="8"/>
        <v>2019</v>
      </c>
      <c r="C277" s="106">
        <f>IFERROR(INDEX('NBA Valuations'!$B$5:$K$34,MATCH($A277,'NBA Valuations'!$A$5:$A$34,0),MATCH(""&amp;$B277,'NBA Valuations'!$B$3:$K$3,0)),"n/a")</f>
        <v>1700</v>
      </c>
      <c r="D277" s="106">
        <f>IFERROR(INDEX(Revenue!$B$5:$K$34,MATCH($A277,Revenue!$A$5:$A$34,0),MATCH(""&amp;$B277,Revenue!$B$3:$K$3,0)),"n/a")</f>
        <v>275</v>
      </c>
      <c r="E277" s="106">
        <f>IFERROR(INDEX('Operating Income'!$B$5:$K$34,MATCH($A277,'Operating Income'!$A$5:$A$34,0),MATCH(""&amp;$B277,'Operating Income'!$B$3:$K$3,0)),"n/a")</f>
        <v>76</v>
      </c>
      <c r="F277" s="107">
        <f>IFERROR(INDEX('Market Size'!$L$5:$L$34,MATCH($A277,'Market Size'!$A$5:$A$34,0)),"n/a")</f>
        <v>6491939</v>
      </c>
      <c r="G277" s="108" t="str">
        <f>IFERROR(INDEX('Market Size'!$B$38:$K$67,MATCH($A277,'Market Size'!$A$38:$A$67,0),MATCH(""&amp;($B277-1),'Market Size'!$B$36:$K$36,0)),"n/a")</f>
        <v>n/a</v>
      </c>
      <c r="H277" s="108">
        <f>IFERROR(INDEX(Arena!$B$38:$K$67,MATCH($A277,Arena!$A$38:$A$67,0),MATCH(""&amp;$B277,Arena!$B$36:$K$36,0)),"n/a")</f>
        <v>1999</v>
      </c>
      <c r="I277" s="136" t="str">
        <f>IFERROR(INDEX(Arena!$B$71:$K$100,MATCH($A277,Arena!$A$71:$A$100,0),MATCH(""&amp;$B277,Arena!$B$69:$K$69,0)),"n/a")</f>
        <v>Y</v>
      </c>
      <c r="J277" s="137">
        <f>IF(ISNUMBER($H277),($B277-1)-$H277,"n/a")</f>
        <v>19</v>
      </c>
      <c r="K277" s="108">
        <f>IF($B277=2017,IFERROR(INDEX('Team Performance'!$B$241:$B$270,MATCH($A277,'Team Performance'!$A$241:$A$270,0)),"n/a"),IFERROR(INDEX('Team Performance'!$B$6:$K$35,MATCH($A277,'Team Performance'!$A$6:$A$35,0),MATCH(($B277-2)&amp;"-"&amp;RIGHT($B277-1,2),'Team Performance'!$B$5:$K$5,0)),"n/a"))</f>
        <v>59</v>
      </c>
      <c r="L277" s="108">
        <f>IF($B277=2017,IFERROR(INDEX('Team Performance'!$C$241:$C$270,MATCH($A277,'Team Performance'!$A$241:$A$270,0)),"n/a"),IFERROR(INDEX('Team Performance'!$B$39:$K$68,MATCH($A277,'Team Performance'!$A$39:$A$68,0),MATCH(($B277-2)&amp;"-"&amp;RIGHT($B277-1,2),'Team Performance'!$B$38:$K$38,0)),"n/a"))</f>
        <v>23</v>
      </c>
      <c r="M277" s="109">
        <f t="shared" si="9"/>
        <v>0.71951219512195119</v>
      </c>
      <c r="N277" s="108">
        <f>IF($B277=2017,IFERROR(INDEX('Team Performance'!$E$241:$E$270,MATCH($A277,'Team Performance'!$A$241:$A$270,0)),"n/a"),IFERROR(INDEX('Team Performance'!$B$140:$K$169,MATCH($A277,'Team Performance'!$A$140:$A$169,0),MATCH(($B277-2)&amp;"-"&amp;RIGHT($B277-1,2),'Team Performance'!$B$139:$K$139,0)),"n/a"))</f>
        <v>2</v>
      </c>
      <c r="O277" s="110">
        <f>IF($B277=2017,IFERROR(INDEX('Salary Cap'!$B$143:$B$172,MATCH($A277,'Salary Cap'!$A$143:$A$172,0)),"n/a"),IFERROR(INDEX('Salary Cap'!$B$10:$K$39,MATCH($A277,'Salary Cap'!$A$10:$A$39,0),MATCH(""&amp;($B277-1),'Salary Cap'!$B$9:$K$9,0)),"n/a"))</f>
        <v>116583186</v>
      </c>
      <c r="P277" s="115">
        <f>IF($B277=2017,IFERROR(INDEX('Salary Cap'!$C$143:$C$172,MATCH($A277,'Salary Cap'!$A$143:$A$172,0)),"n/a"),IFERROR(INDEX('Salary Cap'!$B$109:$K$138,MATCH($A277,'Salary Cap'!$A$109:$A$138,0),MATCH(""&amp;($B277-1),'Salary Cap'!$B$108:$K$108,0)),"n/a"))</f>
        <v>0</v>
      </c>
      <c r="Q277" s="138">
        <f>IF(OR($B277=2021,$B277=2022),1,0)</f>
        <v>0</v>
      </c>
    </row>
    <row r="278" spans="1:17" x14ac:dyDescent="0.2">
      <c r="A278" s="113" t="str" cm="1">
        <f t="array" ref="A278">INDEX('NBA Valuations'!$A$5:$A$34,INT((ROW()-5)/10)+1)</f>
        <v>Toronto Raptors</v>
      </c>
      <c r="B278" s="105">
        <f t="shared" si="8"/>
        <v>2020</v>
      </c>
      <c r="C278" s="106">
        <f>IFERROR(INDEX('NBA Valuations'!$B$5:$K$34,MATCH($A278,'NBA Valuations'!$A$5:$A$34,0),MATCH(""&amp;$B278,'NBA Valuations'!$B$3:$K$3,0)),"n/a")</f>
        <v>2100</v>
      </c>
      <c r="D278" s="106">
        <f>IFERROR(INDEX(Revenue!$B$5:$K$34,MATCH($A278,Revenue!$A$5:$A$34,0),MATCH(""&amp;$B278,Revenue!$B$3:$K$3,0)),"n/a")</f>
        <v>334</v>
      </c>
      <c r="E278" s="106">
        <f>IFERROR(INDEX('Operating Income'!$B$5:$K$34,MATCH($A278,'Operating Income'!$A$5:$A$34,0),MATCH(""&amp;$B278,'Operating Income'!$B$3:$K$3,0)),"n/a")</f>
        <v>79</v>
      </c>
      <c r="F278" s="107">
        <f>IFERROR(INDEX('Market Size'!$L$5:$L$34,MATCH($A278,'Market Size'!$A$5:$A$34,0)),"n/a")</f>
        <v>6491939</v>
      </c>
      <c r="G278" s="108" t="str">
        <f>IFERROR(INDEX('Market Size'!$B$38:$K$67,MATCH($A278,'Market Size'!$A$38:$A$67,0),MATCH(""&amp;($B278-1),'Market Size'!$B$36:$K$36,0)),"n/a")</f>
        <v>n/a</v>
      </c>
      <c r="H278" s="108">
        <f>IFERROR(INDEX(Arena!$B$38:$K$67,MATCH($A278,Arena!$A$38:$A$67,0),MATCH(""&amp;$B278,Arena!$B$36:$K$36,0)),"n/a")</f>
        <v>1999</v>
      </c>
      <c r="I278" s="136" t="str">
        <f>IFERROR(INDEX(Arena!$B$71:$K$100,MATCH($A278,Arena!$A$71:$A$100,0),MATCH(""&amp;$B278,Arena!$B$69:$K$69,0)),"n/a")</f>
        <v>Y</v>
      </c>
      <c r="J278" s="137">
        <f>IF(ISNUMBER($H278),($B278-1)-$H278,"n/a")</f>
        <v>20</v>
      </c>
      <c r="K278" s="108">
        <f>IF($B278=2017,IFERROR(INDEX('Team Performance'!$B$241:$B$270,MATCH($A278,'Team Performance'!$A$241:$A$270,0)),"n/a"),IFERROR(INDEX('Team Performance'!$B$6:$K$35,MATCH($A278,'Team Performance'!$A$6:$A$35,0),MATCH(($B278-2)&amp;"-"&amp;RIGHT($B278-1,2),'Team Performance'!$B$5:$K$5,0)),"n/a"))</f>
        <v>58</v>
      </c>
      <c r="L278" s="108">
        <f>IF($B278=2017,IFERROR(INDEX('Team Performance'!$C$241:$C$270,MATCH($A278,'Team Performance'!$A$241:$A$270,0)),"n/a"),IFERROR(INDEX('Team Performance'!$B$39:$K$68,MATCH($A278,'Team Performance'!$A$39:$A$68,0),MATCH(($B278-2)&amp;"-"&amp;RIGHT($B278-1,2),'Team Performance'!$B$38:$K$38,0)),"n/a"))</f>
        <v>24</v>
      </c>
      <c r="M278" s="109">
        <f t="shared" si="9"/>
        <v>0.70731707317073167</v>
      </c>
      <c r="N278" s="108">
        <f>IF($B278=2017,IFERROR(INDEX('Team Performance'!$E$241:$E$270,MATCH($A278,'Team Performance'!$A$241:$A$270,0)),"n/a"),IFERROR(INDEX('Team Performance'!$B$140:$K$169,MATCH($A278,'Team Performance'!$A$140:$A$169,0),MATCH(($B278-2)&amp;"-"&amp;RIGHT($B278-1,2),'Team Performance'!$B$139:$K$139,0)),"n/a"))</f>
        <v>5</v>
      </c>
      <c r="O278" s="110">
        <f>IF($B278=2017,IFERROR(INDEX('Salary Cap'!$B$143:$B$172,MATCH($A278,'Salary Cap'!$A$143:$A$172,0)),"n/a"),IFERROR(INDEX('Salary Cap'!$B$10:$K$39,MATCH($A278,'Salary Cap'!$A$10:$A$39,0),MATCH(""&amp;($B278-1),'Salary Cap'!$B$9:$K$9,0)),"n/a"))</f>
        <v>137326477</v>
      </c>
      <c r="P278" s="115">
        <f>IF($B278=2017,IFERROR(INDEX('Salary Cap'!$C$143:$C$172,MATCH($A278,'Salary Cap'!$A$143:$A$172,0)),"n/a"),IFERROR(INDEX('Salary Cap'!$B$109:$K$138,MATCH($A278,'Salary Cap'!$A$109:$A$138,0),MATCH(""&amp;($B278-1),'Salary Cap'!$B$108:$K$108,0)),"n/a"))</f>
        <v>25190963</v>
      </c>
      <c r="Q278" s="138">
        <f>IF(OR($B278=2021,$B278=2022),1,0)</f>
        <v>0</v>
      </c>
    </row>
    <row r="279" spans="1:17" x14ac:dyDescent="0.2">
      <c r="A279" s="113" t="str" cm="1">
        <f t="array" ref="A279">INDEX('NBA Valuations'!$A$5:$A$34,INT((ROW()-5)/10)+1)</f>
        <v>Toronto Raptors</v>
      </c>
      <c r="B279" s="105">
        <f t="shared" si="8"/>
        <v>2021</v>
      </c>
      <c r="C279" s="106">
        <f>IFERROR(INDEX('NBA Valuations'!$B$5:$K$34,MATCH($A279,'NBA Valuations'!$A$5:$A$34,0),MATCH(""&amp;$B279,'NBA Valuations'!$B$3:$K$3,0)),"n/a")</f>
        <v>2150</v>
      </c>
      <c r="D279" s="106">
        <f>IFERROR(INDEX(Revenue!$B$5:$K$34,MATCH($A279,Revenue!$A$5:$A$34,0),MATCH(""&amp;$B279,Revenue!$B$3:$K$3,0)),"n/a")</f>
        <v>264</v>
      </c>
      <c r="E279" s="106">
        <f>IFERROR(INDEX('Operating Income'!$B$5:$K$34,MATCH($A279,'Operating Income'!$A$5:$A$34,0),MATCH(""&amp;$B279,'Operating Income'!$B$3:$K$3,0)),"n/a")</f>
        <v>79</v>
      </c>
      <c r="F279" s="107">
        <f>IFERROR(INDEX('Market Size'!$L$5:$L$34,MATCH($A279,'Market Size'!$A$5:$A$34,0)),"n/a")</f>
        <v>6491939</v>
      </c>
      <c r="G279" s="108" t="str">
        <f>IFERROR(INDEX('Market Size'!$B$38:$K$67,MATCH($A279,'Market Size'!$A$38:$A$67,0),MATCH(""&amp;($B279-1),'Market Size'!$B$36:$K$36,0)),"n/a")</f>
        <v>n/a</v>
      </c>
      <c r="H279" s="108">
        <f>IFERROR(INDEX(Arena!$B$38:$K$67,MATCH($A279,Arena!$A$38:$A$67,0),MATCH(""&amp;$B279,Arena!$B$36:$K$36,0)),"n/a")</f>
        <v>1999</v>
      </c>
      <c r="I279" s="136" t="str">
        <f>IFERROR(INDEX(Arena!$B$71:$K$100,MATCH($A279,Arena!$A$71:$A$100,0),MATCH(""&amp;$B279,Arena!$B$69:$K$69,0)),"n/a")</f>
        <v>Y</v>
      </c>
      <c r="J279" s="137">
        <f>IF(ISNUMBER($H279),($B279-1)-$H279,"n/a")</f>
        <v>21</v>
      </c>
      <c r="K279" s="108">
        <f>IF($B279=2017,IFERROR(INDEX('Team Performance'!$B$241:$B$270,MATCH($A279,'Team Performance'!$A$241:$A$270,0)),"n/a"),IFERROR(INDEX('Team Performance'!$B$6:$K$35,MATCH($A279,'Team Performance'!$A$6:$A$35,0),MATCH(($B279-2)&amp;"-"&amp;RIGHT($B279-1,2),'Team Performance'!$B$5:$K$5,0)),"n/a"))</f>
        <v>53</v>
      </c>
      <c r="L279" s="108">
        <f>IF($B279=2017,IFERROR(INDEX('Team Performance'!$C$241:$C$270,MATCH($A279,'Team Performance'!$A$241:$A$270,0)),"n/a"),IFERROR(INDEX('Team Performance'!$B$39:$K$68,MATCH($A279,'Team Performance'!$A$39:$A$68,0),MATCH(($B279-2)&amp;"-"&amp;RIGHT($B279-1,2),'Team Performance'!$B$38:$K$38,0)),"n/a"))</f>
        <v>19</v>
      </c>
      <c r="M279" s="109">
        <f t="shared" si="9"/>
        <v>0.73611111111111116</v>
      </c>
      <c r="N279" s="108">
        <f>IF($B279=2017,IFERROR(INDEX('Team Performance'!$E$241:$E$270,MATCH($A279,'Team Performance'!$A$241:$A$270,0)),"n/a"),IFERROR(INDEX('Team Performance'!$B$140:$K$169,MATCH($A279,'Team Performance'!$A$140:$A$169,0),MATCH(($B279-2)&amp;"-"&amp;RIGHT($B279-1,2),'Team Performance'!$B$139:$K$139,0)),"n/a"))</f>
        <v>2</v>
      </c>
      <c r="O279" s="110">
        <f>IF($B279=2017,IFERROR(INDEX('Salary Cap'!$B$143:$B$172,MATCH($A279,'Salary Cap'!$A$143:$A$172,0)),"n/a"),IFERROR(INDEX('Salary Cap'!$B$10:$K$39,MATCH($A279,'Salary Cap'!$A$10:$A$39,0),MATCH(""&amp;($B279-1),'Salary Cap'!$B$9:$K$9,0)),"n/a"))</f>
        <v>126663535</v>
      </c>
      <c r="P279" s="115">
        <f>IF($B279=2017,IFERROR(INDEX('Salary Cap'!$C$143:$C$172,MATCH($A279,'Salary Cap'!$A$143:$A$172,0)),"n/a"),IFERROR(INDEX('Salary Cap'!$B$109:$K$138,MATCH($A279,'Salary Cap'!$A$109:$A$138,0),MATCH(""&amp;($B279-1),'Salary Cap'!$B$108:$K$108,0)),"n/a"))</f>
        <v>0</v>
      </c>
      <c r="Q279" s="138">
        <f>IF(OR($B279=2021,$B279=2022),1,0)</f>
        <v>1</v>
      </c>
    </row>
    <row r="280" spans="1:17" x14ac:dyDescent="0.2">
      <c r="A280" s="113" t="str" cm="1">
        <f t="array" ref="A280">INDEX('NBA Valuations'!$A$5:$A$34,INT((ROW()-5)/10)+1)</f>
        <v>Toronto Raptors</v>
      </c>
      <c r="B280" s="105">
        <f t="shared" si="8"/>
        <v>2022</v>
      </c>
      <c r="C280" s="106">
        <f>IFERROR(INDEX('NBA Valuations'!$B$5:$K$34,MATCH($A280,'NBA Valuations'!$A$5:$A$34,0),MATCH(""&amp;$B280,'NBA Valuations'!$B$3:$K$3,0)),"n/a")</f>
        <v>2480</v>
      </c>
      <c r="D280" s="106">
        <f>IFERROR(INDEX(Revenue!$B$5:$K$34,MATCH($A280,Revenue!$A$5:$A$34,0),MATCH(""&amp;$B280,Revenue!$B$3:$K$3,0)),"n/a")</f>
        <v>194</v>
      </c>
      <c r="E280" s="106">
        <f>IFERROR(INDEX('Operating Income'!$B$5:$K$34,MATCH($A280,'Operating Income'!$A$5:$A$34,0),MATCH(""&amp;$B280,'Operating Income'!$B$3:$K$3,0)),"n/a")</f>
        <v>2.1</v>
      </c>
      <c r="F280" s="107">
        <f>IFERROR(INDEX('Market Size'!$L$5:$L$34,MATCH($A280,'Market Size'!$A$5:$A$34,0)),"n/a")</f>
        <v>6491939</v>
      </c>
      <c r="G280" s="108" t="str">
        <f>IFERROR(INDEX('Market Size'!$B$38:$K$67,MATCH($A280,'Market Size'!$A$38:$A$67,0),MATCH(""&amp;($B280-1),'Market Size'!$B$36:$K$36,0)),"n/a")</f>
        <v>n/a</v>
      </c>
      <c r="H280" s="108">
        <f>IFERROR(INDEX(Arena!$B$38:$K$67,MATCH($A280,Arena!$A$38:$A$67,0),MATCH(""&amp;$B280,Arena!$B$36:$K$36,0)),"n/a")</f>
        <v>1999</v>
      </c>
      <c r="I280" s="136" t="str">
        <f>IFERROR(INDEX(Arena!$B$71:$K$100,MATCH($A280,Arena!$A$71:$A$100,0),MATCH(""&amp;$B280,Arena!$B$69:$K$69,0)),"n/a")</f>
        <v>Y</v>
      </c>
      <c r="J280" s="137">
        <f>IF(ISNUMBER($H280),($B280-1)-$H280,"n/a")</f>
        <v>22</v>
      </c>
      <c r="K280" s="108">
        <f>IF($B280=2017,IFERROR(INDEX('Team Performance'!$B$241:$B$270,MATCH($A280,'Team Performance'!$A$241:$A$270,0)),"n/a"),IFERROR(INDEX('Team Performance'!$B$6:$K$35,MATCH($A280,'Team Performance'!$A$6:$A$35,0),MATCH(($B280-2)&amp;"-"&amp;RIGHT($B280-1,2),'Team Performance'!$B$5:$K$5,0)),"n/a"))</f>
        <v>27</v>
      </c>
      <c r="L280" s="108">
        <f>IF($B280=2017,IFERROR(INDEX('Team Performance'!$C$241:$C$270,MATCH($A280,'Team Performance'!$A$241:$A$270,0)),"n/a"),IFERROR(INDEX('Team Performance'!$B$39:$K$68,MATCH($A280,'Team Performance'!$A$39:$A$68,0),MATCH(($B280-2)&amp;"-"&amp;RIGHT($B280-1,2),'Team Performance'!$B$38:$K$38,0)),"n/a"))</f>
        <v>45</v>
      </c>
      <c r="M280" s="109">
        <f t="shared" si="9"/>
        <v>0.375</v>
      </c>
      <c r="N280" s="108">
        <f>IF($B280=2017,IFERROR(INDEX('Team Performance'!$E$241:$E$270,MATCH($A280,'Team Performance'!$A$241:$A$270,0)),"n/a"),IFERROR(INDEX('Team Performance'!$B$140:$K$169,MATCH($A280,'Team Performance'!$A$140:$A$169,0),MATCH(($B280-2)&amp;"-"&amp;RIGHT($B280-1,2),'Team Performance'!$B$139:$K$139,0)),"n/a"))</f>
        <v>0</v>
      </c>
      <c r="O280" s="110">
        <f>IF($B280=2017,IFERROR(INDEX('Salary Cap'!$B$143:$B$172,MATCH($A280,'Salary Cap'!$A$143:$A$172,0)),"n/a"),IFERROR(INDEX('Salary Cap'!$B$10:$K$39,MATCH($A280,'Salary Cap'!$A$10:$A$39,0),MATCH(""&amp;($B280-1),'Salary Cap'!$B$9:$K$9,0)),"n/a"))</f>
        <v>128342124</v>
      </c>
      <c r="P280" s="115">
        <f>IF($B280=2017,IFERROR(INDEX('Salary Cap'!$C$143:$C$172,MATCH($A280,'Salary Cap'!$A$143:$A$172,0)),"n/a"),IFERROR(INDEX('Salary Cap'!$B$109:$K$138,MATCH($A280,'Salary Cap'!$A$109:$A$138,0),MATCH(""&amp;($B280-1),'Salary Cap'!$B$108:$K$108,0)),"n/a"))</f>
        <v>0</v>
      </c>
      <c r="Q280" s="138">
        <f>IF(OR($B280=2021,$B280=2022),1,0)</f>
        <v>1</v>
      </c>
    </row>
    <row r="281" spans="1:17" x14ac:dyDescent="0.2">
      <c r="A281" s="113" t="str" cm="1">
        <f t="array" ref="A281">INDEX('NBA Valuations'!$A$5:$A$34,INT((ROW()-5)/10)+1)</f>
        <v>Toronto Raptors</v>
      </c>
      <c r="B281" s="105">
        <f t="shared" si="8"/>
        <v>2023</v>
      </c>
      <c r="C281" s="106">
        <f>IFERROR(INDEX('NBA Valuations'!$B$5:$K$34,MATCH($A281,'NBA Valuations'!$A$5:$A$34,0),MATCH(""&amp;$B281,'NBA Valuations'!$B$3:$K$3,0)),"n/a")</f>
        <v>3100</v>
      </c>
      <c r="D281" s="106">
        <f>IFERROR(INDEX(Revenue!$B$5:$K$34,MATCH($A281,Revenue!$A$5:$A$34,0),MATCH(""&amp;$B281,Revenue!$B$3:$K$3,0)),"n/a")</f>
        <v>299</v>
      </c>
      <c r="E281" s="106">
        <f>IFERROR(INDEX('Operating Income'!$B$5:$K$34,MATCH($A281,'Operating Income'!$A$5:$A$34,0),MATCH(""&amp;$B281,'Operating Income'!$B$3:$K$3,0)),"n/a")</f>
        <v>86</v>
      </c>
      <c r="F281" s="107">
        <f>IFERROR(INDEX('Market Size'!$L$5:$L$34,MATCH($A281,'Market Size'!$A$5:$A$34,0)),"n/a")</f>
        <v>6491939</v>
      </c>
      <c r="G281" s="108" t="str">
        <f>IFERROR(INDEX('Market Size'!$B$38:$K$67,MATCH($A281,'Market Size'!$A$38:$A$67,0),MATCH(""&amp;($B281-1),'Market Size'!$B$36:$K$36,0)),"n/a")</f>
        <v>n/a</v>
      </c>
      <c r="H281" s="108">
        <f>IFERROR(INDEX(Arena!$B$38:$K$67,MATCH($A281,Arena!$A$38:$A$67,0),MATCH(""&amp;$B281,Arena!$B$36:$K$36,0)),"n/a")</f>
        <v>1999</v>
      </c>
      <c r="I281" s="136" t="str">
        <f>IFERROR(INDEX(Arena!$B$71:$K$100,MATCH($A281,Arena!$A$71:$A$100,0),MATCH(""&amp;$B281,Arena!$B$69:$K$69,0)),"n/a")</f>
        <v>Y</v>
      </c>
      <c r="J281" s="137">
        <f>IF(ISNUMBER($H281),($B281-1)-$H281,"n/a")</f>
        <v>23</v>
      </c>
      <c r="K281" s="108">
        <f>IF($B281=2017,IFERROR(INDEX('Team Performance'!$B$241:$B$270,MATCH($A281,'Team Performance'!$A$241:$A$270,0)),"n/a"),IFERROR(INDEX('Team Performance'!$B$6:$K$35,MATCH($A281,'Team Performance'!$A$6:$A$35,0),MATCH(($B281-2)&amp;"-"&amp;RIGHT($B281-1,2),'Team Performance'!$B$5:$K$5,0)),"n/a"))</f>
        <v>48</v>
      </c>
      <c r="L281" s="108">
        <f>IF($B281=2017,IFERROR(INDEX('Team Performance'!$C$241:$C$270,MATCH($A281,'Team Performance'!$A$241:$A$270,0)),"n/a"),IFERROR(INDEX('Team Performance'!$B$39:$K$68,MATCH($A281,'Team Performance'!$A$39:$A$68,0),MATCH(($B281-2)&amp;"-"&amp;RIGHT($B281-1,2),'Team Performance'!$B$38:$K$38,0)),"n/a"))</f>
        <v>34</v>
      </c>
      <c r="M281" s="109">
        <f t="shared" si="9"/>
        <v>0.58536585365853655</v>
      </c>
      <c r="N281" s="108">
        <f>IF($B281=2017,IFERROR(INDEX('Team Performance'!$E$241:$E$270,MATCH($A281,'Team Performance'!$A$241:$A$270,0)),"n/a"),IFERROR(INDEX('Team Performance'!$B$140:$K$169,MATCH($A281,'Team Performance'!$A$140:$A$169,0),MATCH(($B281-2)&amp;"-"&amp;RIGHT($B281-1,2),'Team Performance'!$B$139:$K$139,0)),"n/a"))</f>
        <v>1</v>
      </c>
      <c r="O281" s="110">
        <f>IF($B281=2017,IFERROR(INDEX('Salary Cap'!$B$143:$B$172,MATCH($A281,'Salary Cap'!$A$143:$A$172,0)),"n/a"),IFERROR(INDEX('Salary Cap'!$B$10:$K$39,MATCH($A281,'Salary Cap'!$A$10:$A$39,0),MATCH(""&amp;($B281-1),'Salary Cap'!$B$9:$K$9,0)),"n/a"))</f>
        <v>133708976</v>
      </c>
      <c r="P281" s="115">
        <f>IF($B281=2017,IFERROR(INDEX('Salary Cap'!$C$143:$C$172,MATCH($A281,'Salary Cap'!$A$143:$A$172,0)),"n/a"),IFERROR(INDEX('Salary Cap'!$B$109:$K$138,MATCH($A281,'Salary Cap'!$A$109:$A$138,0),MATCH(""&amp;($B281-1),'Salary Cap'!$B$108:$K$108,0)),"n/a"))</f>
        <v>0</v>
      </c>
      <c r="Q281" s="138">
        <f>IF(OR($B281=2021,$B281=2022),1,0)</f>
        <v>0</v>
      </c>
    </row>
    <row r="282" spans="1:17" x14ac:dyDescent="0.2">
      <c r="A282" s="113" t="str" cm="1">
        <f t="array" ref="A282">INDEX('NBA Valuations'!$A$5:$A$34,INT((ROW()-5)/10)+1)</f>
        <v>Toronto Raptors</v>
      </c>
      <c r="B282" s="105">
        <f t="shared" si="8"/>
        <v>2024</v>
      </c>
      <c r="C282" s="106">
        <f>IFERROR(INDEX('NBA Valuations'!$B$5:$K$34,MATCH($A282,'NBA Valuations'!$A$5:$A$34,0),MATCH(""&amp;$B282,'NBA Valuations'!$B$3:$K$3,0)),"n/a")</f>
        <v>4100</v>
      </c>
      <c r="D282" s="106">
        <f>IFERROR(INDEX(Revenue!$B$5:$K$34,MATCH($A282,Revenue!$A$5:$A$34,0),MATCH(""&amp;$B282,Revenue!$B$3:$K$3,0)),"n/a")</f>
        <v>305</v>
      </c>
      <c r="E282" s="106">
        <f>IFERROR(INDEX('Operating Income'!$B$5:$K$34,MATCH($A282,'Operating Income'!$A$5:$A$34,0),MATCH(""&amp;$B282,'Operating Income'!$B$3:$K$3,0)),"n/a")</f>
        <v>75</v>
      </c>
      <c r="F282" s="107">
        <f>IFERROR(INDEX('Market Size'!$L$5:$L$34,MATCH($A282,'Market Size'!$A$5:$A$34,0)),"n/a")</f>
        <v>6491939</v>
      </c>
      <c r="G282" s="108" t="str">
        <f>IFERROR(INDEX('Market Size'!$B$38:$K$67,MATCH($A282,'Market Size'!$A$38:$A$67,0),MATCH(""&amp;($B282-1),'Market Size'!$B$36:$K$36,0)),"n/a")</f>
        <v>n/a</v>
      </c>
      <c r="H282" s="108">
        <f>IFERROR(INDEX(Arena!$B$38:$K$67,MATCH($A282,Arena!$A$38:$A$67,0),MATCH(""&amp;$B282,Arena!$B$36:$K$36,0)),"n/a")</f>
        <v>1999</v>
      </c>
      <c r="I282" s="136" t="str">
        <f>IFERROR(INDEX(Arena!$B$71:$K$100,MATCH($A282,Arena!$A$71:$A$100,0),MATCH(""&amp;$B282,Arena!$B$69:$K$69,0)),"n/a")</f>
        <v>Y</v>
      </c>
      <c r="J282" s="137">
        <f>IF(ISNUMBER($H282),($B282-1)-$H282,"n/a")</f>
        <v>24</v>
      </c>
      <c r="K282" s="108">
        <f>IF($B282=2017,IFERROR(INDEX('Team Performance'!$B$241:$B$270,MATCH($A282,'Team Performance'!$A$241:$A$270,0)),"n/a"),IFERROR(INDEX('Team Performance'!$B$6:$K$35,MATCH($A282,'Team Performance'!$A$6:$A$35,0),MATCH(($B282-2)&amp;"-"&amp;RIGHT($B282-1,2),'Team Performance'!$B$5:$K$5,0)),"n/a"))</f>
        <v>41</v>
      </c>
      <c r="L282" s="108">
        <f>IF($B282=2017,IFERROR(INDEX('Team Performance'!$C$241:$C$270,MATCH($A282,'Team Performance'!$A$241:$A$270,0)),"n/a"),IFERROR(INDEX('Team Performance'!$B$39:$K$68,MATCH($A282,'Team Performance'!$A$39:$A$68,0),MATCH(($B282-2)&amp;"-"&amp;RIGHT($B282-1,2),'Team Performance'!$B$38:$K$38,0)),"n/a"))</f>
        <v>41</v>
      </c>
      <c r="M282" s="109">
        <f t="shared" si="9"/>
        <v>0.5</v>
      </c>
      <c r="N282" s="108">
        <f>IF($B282=2017,IFERROR(INDEX('Team Performance'!$E$241:$E$270,MATCH($A282,'Team Performance'!$A$241:$A$270,0)),"n/a"),IFERROR(INDEX('Team Performance'!$B$140:$K$169,MATCH($A282,'Team Performance'!$A$140:$A$169,0),MATCH(($B282-2)&amp;"-"&amp;RIGHT($B282-1,2),'Team Performance'!$B$139:$K$139,0)),"n/a"))</f>
        <v>0</v>
      </c>
      <c r="O282" s="110">
        <f>IF($B282=2017,IFERROR(INDEX('Salary Cap'!$B$143:$B$172,MATCH($A282,'Salary Cap'!$A$143:$A$172,0)),"n/a"),IFERROR(INDEX('Salary Cap'!$B$10:$K$39,MATCH($A282,'Salary Cap'!$A$10:$A$39,0),MATCH(""&amp;($B282-1),'Salary Cap'!$B$9:$K$9,0)),"n/a"))</f>
        <v>149349039</v>
      </c>
      <c r="P282" s="115">
        <f>IF($B282=2017,IFERROR(INDEX('Salary Cap'!$C$143:$C$172,MATCH($A282,'Salary Cap'!$A$143:$A$172,0)),"n/a"),IFERROR(INDEX('Salary Cap'!$B$109:$K$138,MATCH($A282,'Salary Cap'!$A$109:$A$138,0),MATCH(""&amp;($B282-1),'Salary Cap'!$B$108:$K$108,0)),"n/a"))</f>
        <v>0</v>
      </c>
      <c r="Q282" s="138">
        <f>IF(OR($B282=2021,$B282=2022),1,0)</f>
        <v>0</v>
      </c>
    </row>
    <row r="283" spans="1:17" x14ac:dyDescent="0.2">
      <c r="A283" s="113" t="str" cm="1">
        <f t="array" ref="A283">INDEX('NBA Valuations'!$A$5:$A$34,INT((ROW()-5)/10)+1)</f>
        <v>Toronto Raptors</v>
      </c>
      <c r="B283" s="105">
        <f t="shared" si="8"/>
        <v>2025</v>
      </c>
      <c r="C283" s="106">
        <f>IFERROR(INDEX('NBA Valuations'!$B$5:$K$34,MATCH($A283,'NBA Valuations'!$A$5:$A$34,0),MATCH(""&amp;$B283,'NBA Valuations'!$B$3:$K$3,0)),"n/a")</f>
        <v>4400</v>
      </c>
      <c r="D283" s="106">
        <f>IFERROR(INDEX(Revenue!$B$5:$K$34,MATCH($A283,Revenue!$A$5:$A$34,0),MATCH(""&amp;$B283,Revenue!$B$3:$K$3,0)),"n/a")</f>
        <v>341</v>
      </c>
      <c r="E283" s="106">
        <f>IFERROR(INDEX('Operating Income'!$B$5:$K$34,MATCH($A283,'Operating Income'!$A$5:$A$34,0),MATCH(""&amp;$B283,'Operating Income'!$B$3:$K$3,0)),"n/a")</f>
        <v>97</v>
      </c>
      <c r="F283" s="107">
        <f>IFERROR(INDEX('Market Size'!$L$5:$L$34,MATCH($A283,'Market Size'!$A$5:$A$34,0)),"n/a")</f>
        <v>6491939</v>
      </c>
      <c r="G283" s="108" t="str">
        <f>IFERROR(INDEX('Market Size'!$B$38:$K$67,MATCH($A283,'Market Size'!$A$38:$A$67,0),MATCH(""&amp;($B283-1),'Market Size'!$B$36:$K$36,0)),"n/a")</f>
        <v>n/a</v>
      </c>
      <c r="H283" s="108">
        <f>IFERROR(INDEX(Arena!$B$38:$K$67,MATCH($A283,Arena!$A$38:$A$67,0),MATCH(""&amp;$B283,Arena!$B$36:$K$36,0)),"n/a")</f>
        <v>1999</v>
      </c>
      <c r="I283" s="136" t="str">
        <f>IFERROR(INDEX(Arena!$B$71:$K$100,MATCH($A283,Arena!$A$71:$A$100,0),MATCH(""&amp;$B283,Arena!$B$69:$K$69,0)),"n/a")</f>
        <v>Y</v>
      </c>
      <c r="J283" s="137">
        <f>IF(ISNUMBER($H283),($B283-1)-$H283,"n/a")</f>
        <v>25</v>
      </c>
      <c r="K283" s="108">
        <f>IF($B283=2017,IFERROR(INDEX('Team Performance'!$B$241:$B$270,MATCH($A283,'Team Performance'!$A$241:$A$270,0)),"n/a"),IFERROR(INDEX('Team Performance'!$B$6:$K$35,MATCH($A283,'Team Performance'!$A$6:$A$35,0),MATCH(($B283-2)&amp;"-"&amp;RIGHT($B283-1,2),'Team Performance'!$B$5:$K$5,0)),"n/a"))</f>
        <v>25</v>
      </c>
      <c r="L283" s="108">
        <f>IF($B283=2017,IFERROR(INDEX('Team Performance'!$C$241:$C$270,MATCH($A283,'Team Performance'!$A$241:$A$270,0)),"n/a"),IFERROR(INDEX('Team Performance'!$B$39:$K$68,MATCH($A283,'Team Performance'!$A$39:$A$68,0),MATCH(($B283-2)&amp;"-"&amp;RIGHT($B283-1,2),'Team Performance'!$B$38:$K$38,0)),"n/a"))</f>
        <v>57</v>
      </c>
      <c r="M283" s="109">
        <f t="shared" si="9"/>
        <v>0.3048780487804878</v>
      </c>
      <c r="N283" s="108">
        <f>IF($B283=2017,IFERROR(INDEX('Team Performance'!$E$241:$E$270,MATCH($A283,'Team Performance'!$A$241:$A$270,0)),"n/a"),IFERROR(INDEX('Team Performance'!$B$140:$K$169,MATCH($A283,'Team Performance'!$A$140:$A$169,0),MATCH(($B283-2)&amp;"-"&amp;RIGHT($B283-1,2),'Team Performance'!$B$139:$K$139,0)),"n/a"))</f>
        <v>0</v>
      </c>
      <c r="O283" s="110">
        <f>IF($B283=2017,IFERROR(INDEX('Salary Cap'!$B$143:$B$172,MATCH($A283,'Salary Cap'!$A$143:$A$172,0)),"n/a"),IFERROR(INDEX('Salary Cap'!$B$10:$K$39,MATCH($A283,'Salary Cap'!$A$10:$A$39,0),MATCH(""&amp;($B283-1),'Salary Cap'!$B$9:$K$9,0)),"n/a"))</f>
        <v>160265990</v>
      </c>
      <c r="P283" s="115">
        <f>IF($B283=2017,IFERROR(INDEX('Salary Cap'!$C$143:$C$172,MATCH($A283,'Salary Cap'!$A$143:$A$172,0)),"n/a"),IFERROR(INDEX('Salary Cap'!$B$109:$K$138,MATCH($A283,'Salary Cap'!$A$109:$A$138,0),MATCH(""&amp;($B283-1),'Salary Cap'!$B$108:$K$108,0)),"n/a"))</f>
        <v>0</v>
      </c>
      <c r="Q283" s="138">
        <f>IF(OR($B283=2021,$B283=2022),1,0)</f>
        <v>0</v>
      </c>
    </row>
    <row r="284" spans="1:17" x14ac:dyDescent="0.2">
      <c r="A284" s="113" t="str" cm="1">
        <f t="array" ref="A284">INDEX('NBA Valuations'!$A$5:$A$34,INT((ROW()-5)/10)+1)</f>
        <v>Toronto Raptors</v>
      </c>
      <c r="B284" s="105">
        <f t="shared" si="8"/>
        <v>2026</v>
      </c>
      <c r="C284" s="106">
        <f>IFERROR(INDEX('NBA Valuations'!$B$5:$K$34,MATCH($A284,'NBA Valuations'!$A$5:$A$34,0),MATCH(""&amp;$B284,'NBA Valuations'!$B$3:$K$3,0)),"n/a")</f>
        <v>5400</v>
      </c>
      <c r="D284" s="106">
        <f>IFERROR(INDEX(Revenue!$B$5:$K$34,MATCH($A284,Revenue!$A$5:$A$34,0),MATCH(""&amp;$B284,Revenue!$B$3:$K$3,0)),"n/a")</f>
        <v>380</v>
      </c>
      <c r="E284" s="106">
        <f>IFERROR(INDEX('Operating Income'!$B$5:$K$34,MATCH($A284,'Operating Income'!$A$5:$A$34,0),MATCH(""&amp;$B284,'Operating Income'!$B$3:$K$3,0)),"n/a")</f>
        <v>136</v>
      </c>
      <c r="F284" s="107">
        <f>IFERROR(INDEX('Market Size'!$L$5:$L$34,MATCH($A284,'Market Size'!$A$5:$A$34,0)),"n/a")</f>
        <v>6491939</v>
      </c>
      <c r="G284" s="108" t="str">
        <f>IFERROR(INDEX('Market Size'!$B$38:$K$67,MATCH($A284,'Market Size'!$A$38:$A$67,0),MATCH(""&amp;($B284-1),'Market Size'!$B$36:$K$36,0)),"n/a")</f>
        <v>n/a</v>
      </c>
      <c r="H284" s="108">
        <f>IFERROR(INDEX(Arena!$B$38:$K$67,MATCH($A284,Arena!$A$38:$A$67,0),MATCH(""&amp;$B284,Arena!$B$36:$K$36,0)),"n/a")</f>
        <v>1999</v>
      </c>
      <c r="I284" s="136" t="str">
        <f>IFERROR(INDEX(Arena!$B$71:$K$100,MATCH($A284,Arena!$A$71:$A$100,0),MATCH(""&amp;$B284,Arena!$B$69:$K$69,0)),"n/a")</f>
        <v>Y</v>
      </c>
      <c r="J284" s="137">
        <f>IF(ISNUMBER($H284),($B284-1)-$H284,"n/a")</f>
        <v>26</v>
      </c>
      <c r="K284" s="108">
        <f>IF($B284=2017,IFERROR(INDEX('Team Performance'!$B$241:$B$270,MATCH($A284,'Team Performance'!$A$241:$A$270,0)),"n/a"),IFERROR(INDEX('Team Performance'!$B$6:$K$35,MATCH($A284,'Team Performance'!$A$6:$A$35,0),MATCH(($B284-2)&amp;"-"&amp;RIGHT($B284-1,2),'Team Performance'!$B$5:$K$5,0)),"n/a"))</f>
        <v>30</v>
      </c>
      <c r="L284" s="108">
        <f>IF($B284=2017,IFERROR(INDEX('Team Performance'!$C$241:$C$270,MATCH($A284,'Team Performance'!$A$241:$A$270,0)),"n/a"),IFERROR(INDEX('Team Performance'!$B$39:$K$68,MATCH($A284,'Team Performance'!$A$39:$A$68,0),MATCH(($B284-2)&amp;"-"&amp;RIGHT($B284-1,2),'Team Performance'!$B$38:$K$38,0)),"n/a"))</f>
        <v>52</v>
      </c>
      <c r="M284" s="109">
        <f t="shared" si="9"/>
        <v>0.36585365853658536</v>
      </c>
      <c r="N284" s="108">
        <f>IF($B284=2017,IFERROR(INDEX('Team Performance'!$E$241:$E$270,MATCH($A284,'Team Performance'!$A$241:$A$270,0)),"n/a"),IFERROR(INDEX('Team Performance'!$B$140:$K$169,MATCH($A284,'Team Performance'!$A$140:$A$169,0),MATCH(($B284-2)&amp;"-"&amp;RIGHT($B284-1,2),'Team Performance'!$B$139:$K$139,0)),"n/a"))</f>
        <v>0</v>
      </c>
      <c r="O284" s="110">
        <f>IF($B284=2017,IFERROR(INDEX('Salary Cap'!$B$143:$B$172,MATCH($A284,'Salary Cap'!$A$143:$A$172,0)),"n/a"),IFERROR(INDEX('Salary Cap'!$B$10:$K$39,MATCH($A284,'Salary Cap'!$A$10:$A$39,0),MATCH(""&amp;($B284-1),'Salary Cap'!$B$9:$K$9,0)),"n/a"))</f>
        <v>170734397</v>
      </c>
      <c r="P284" s="115">
        <f>IF($B284=2017,IFERROR(INDEX('Salary Cap'!$C$143:$C$172,MATCH($A284,'Salary Cap'!$A$143:$A$172,0)),"n/a"),IFERROR(INDEX('Salary Cap'!$B$109:$K$138,MATCH($A284,'Salary Cap'!$A$109:$A$138,0),MATCH(""&amp;($B284-1),'Salary Cap'!$B$108:$K$108,0)),"n/a"))</f>
        <v>0</v>
      </c>
      <c r="Q284" s="138">
        <f>IF(OR($B284=2021,$B284=2022),1,0)</f>
        <v>0</v>
      </c>
    </row>
    <row r="285" spans="1:17" x14ac:dyDescent="0.2">
      <c r="A285" s="113" t="str" cm="1">
        <f t="array" ref="A285">INDEX('NBA Valuations'!$A$5:$A$34,INT((ROW()-5)/10)+1)</f>
        <v>Utah Jazz</v>
      </c>
      <c r="B285" s="105">
        <f t="shared" si="8"/>
        <v>2017</v>
      </c>
      <c r="C285" s="106">
        <f>IFERROR(INDEX('NBA Valuations'!$B$5:$K$34,MATCH($A285,'NBA Valuations'!$A$5:$A$34,0),MATCH(""&amp;$B285,'NBA Valuations'!$B$3:$K$3,0)),"n/a")</f>
        <v>910</v>
      </c>
      <c r="D285" s="106">
        <f>IFERROR(INDEX(Revenue!$B$5:$K$34,MATCH($A285,Revenue!$A$5:$A$34,0),MATCH(""&amp;$B285,Revenue!$B$3:$K$3,0)),"n/a")</f>
        <v>164</v>
      </c>
      <c r="E285" s="106">
        <f>IFERROR(INDEX('Operating Income'!$B$5:$K$34,MATCH($A285,'Operating Income'!$A$5:$A$34,0),MATCH(""&amp;$B285,'Operating Income'!$B$3:$K$3,0)),"n/a")</f>
        <v>36</v>
      </c>
      <c r="F285" s="107">
        <f>IFERROR(INDEX('Market Size'!$L$5:$L$34,MATCH($A285,'Market Size'!$A$5:$A$34,0)),"n/a")</f>
        <v>1260358</v>
      </c>
      <c r="G285" s="108" t="str">
        <f>IFERROR(INDEX('Market Size'!$B$38:$K$67,MATCH($A285,'Market Size'!$A$38:$A$67,0),MATCH(""&amp;($B285-1),'Market Size'!$B$36:$K$36,0)),"n/a")</f>
        <v>n/a</v>
      </c>
      <c r="H285" s="108">
        <f>IFERROR(INDEX(Arena!$B$38:$K$67,MATCH($A285,Arena!$A$38:$A$67,0),MATCH(""&amp;$B285,Arena!$B$36:$K$36,0)),"n/a")</f>
        <v>1991</v>
      </c>
      <c r="I285" s="136" t="str">
        <f>IFERROR(INDEX(Arena!$B$71:$K$100,MATCH($A285,Arena!$A$71:$A$100,0),MATCH(""&amp;$B285,Arena!$B$69:$K$69,0)),"n/a")</f>
        <v>Y</v>
      </c>
      <c r="J285" s="137">
        <f>IF(ISNUMBER($H285),($B285-1)-$H285,"n/a")</f>
        <v>25</v>
      </c>
      <c r="K285" s="108">
        <f>IF($B285=2017,IFERROR(INDEX('Team Performance'!$B$241:$B$270,MATCH($A285,'Team Performance'!$A$241:$A$270,0)),"n/a"),IFERROR(INDEX('Team Performance'!$B$6:$K$35,MATCH($A285,'Team Performance'!$A$6:$A$35,0),MATCH(($B285-2)&amp;"-"&amp;RIGHT($B285-1,2),'Team Performance'!$B$5:$K$5,0)),"n/a"))</f>
        <v>40</v>
      </c>
      <c r="L285" s="108">
        <f>IF($B285=2017,IFERROR(INDEX('Team Performance'!$C$241:$C$270,MATCH($A285,'Team Performance'!$A$241:$A$270,0)),"n/a"),IFERROR(INDEX('Team Performance'!$B$39:$K$68,MATCH($A285,'Team Performance'!$A$39:$A$68,0),MATCH(($B285-2)&amp;"-"&amp;RIGHT($B285-1,2),'Team Performance'!$B$38:$K$38,0)),"n/a"))</f>
        <v>42</v>
      </c>
      <c r="M285" s="109">
        <f t="shared" si="9"/>
        <v>0.48780487804878048</v>
      </c>
      <c r="N285" s="108">
        <f>IF($B285=2017,IFERROR(INDEX('Team Performance'!$E$241:$E$270,MATCH($A285,'Team Performance'!$A$241:$A$270,0)),"n/a"),IFERROR(INDEX('Team Performance'!$B$140:$K$169,MATCH($A285,'Team Performance'!$A$140:$A$169,0),MATCH(($B285-2)&amp;"-"&amp;RIGHT($B285-1,2),'Team Performance'!$B$139:$K$139,0)),"n/a"))</f>
        <v>0</v>
      </c>
      <c r="O285" s="110">
        <f>IF($B285=2017,IFERROR(INDEX('Salary Cap'!$B$143:$B$172,MATCH($A285,'Salary Cap'!$A$143:$A$172,0)),"n/a"),IFERROR(INDEX('Salary Cap'!$B$10:$K$39,MATCH($A285,'Salary Cap'!$A$10:$A$39,0),MATCH(""&amp;($B285-1),'Salary Cap'!$B$9:$K$9,0)),"n/a"))</f>
        <v>64817873</v>
      </c>
      <c r="P285" s="115">
        <f>IF($B285=2017,IFERROR(INDEX('Salary Cap'!$C$143:$C$172,MATCH($A285,'Salary Cap'!$A$143:$A$172,0)),"n/a"),IFERROR(INDEX('Salary Cap'!$B$109:$K$138,MATCH($A285,'Salary Cap'!$A$109:$A$138,0),MATCH(""&amp;($B285-1),'Salary Cap'!$B$108:$K$108,0)),"n/a"))</f>
        <v>0</v>
      </c>
      <c r="Q285" s="138">
        <f>IF(OR($B285=2021,$B285=2022),1,0)</f>
        <v>0</v>
      </c>
    </row>
    <row r="286" spans="1:17" x14ac:dyDescent="0.2">
      <c r="A286" s="113" t="str" cm="1">
        <f t="array" ref="A286">INDEX('NBA Valuations'!$A$5:$A$34,INT((ROW()-5)/10)+1)</f>
        <v>Utah Jazz</v>
      </c>
      <c r="B286" s="105">
        <f t="shared" si="8"/>
        <v>2018</v>
      </c>
      <c r="C286" s="106">
        <f>IFERROR(INDEX('NBA Valuations'!$B$5:$K$34,MATCH($A286,'NBA Valuations'!$A$5:$A$34,0),MATCH(""&amp;$B286,'NBA Valuations'!$B$3:$K$3,0)),"n/a")</f>
        <v>1200</v>
      </c>
      <c r="D286" s="106">
        <f>IFERROR(INDEX(Revenue!$B$5:$K$34,MATCH($A286,Revenue!$A$5:$A$34,0),MATCH(""&amp;$B286,Revenue!$B$3:$K$3,0)),"n/a")</f>
        <v>221</v>
      </c>
      <c r="E286" s="106">
        <f>IFERROR(INDEX('Operating Income'!$B$5:$K$34,MATCH($A286,'Operating Income'!$A$5:$A$34,0),MATCH(""&amp;$B286,'Operating Income'!$B$3:$K$3,0)),"n/a")</f>
        <v>61</v>
      </c>
      <c r="F286" s="107">
        <f>IFERROR(INDEX('Market Size'!$L$5:$L$34,MATCH($A286,'Market Size'!$A$5:$A$34,0)),"n/a")</f>
        <v>1260358</v>
      </c>
      <c r="G286" s="108" t="str">
        <f>IFERROR(INDEX('Market Size'!$B$38:$K$67,MATCH($A286,'Market Size'!$A$38:$A$67,0),MATCH(""&amp;($B286-1),'Market Size'!$B$36:$K$36,0)),"n/a")</f>
        <v>n/a</v>
      </c>
      <c r="H286" s="108">
        <f>IFERROR(INDEX(Arena!$B$38:$K$67,MATCH($A286,Arena!$A$38:$A$67,0),MATCH(""&amp;$B286,Arena!$B$36:$K$36,0)),"n/a")</f>
        <v>1991</v>
      </c>
      <c r="I286" s="136" t="str">
        <f>IFERROR(INDEX(Arena!$B$71:$K$100,MATCH($A286,Arena!$A$71:$A$100,0),MATCH(""&amp;$B286,Arena!$B$69:$K$69,0)),"n/a")</f>
        <v>Y</v>
      </c>
      <c r="J286" s="137">
        <f>IF(ISNUMBER($H286),($B286-1)-$H286,"n/a")</f>
        <v>26</v>
      </c>
      <c r="K286" s="108">
        <f>IF($B286=2017,IFERROR(INDEX('Team Performance'!$B$241:$B$270,MATCH($A286,'Team Performance'!$A$241:$A$270,0)),"n/a"),IFERROR(INDEX('Team Performance'!$B$6:$K$35,MATCH($A286,'Team Performance'!$A$6:$A$35,0),MATCH(($B286-2)&amp;"-"&amp;RIGHT($B286-1,2),'Team Performance'!$B$5:$K$5,0)),"n/a"))</f>
        <v>51</v>
      </c>
      <c r="L286" s="108">
        <f>IF($B286=2017,IFERROR(INDEX('Team Performance'!$C$241:$C$270,MATCH($A286,'Team Performance'!$A$241:$A$270,0)),"n/a"),IFERROR(INDEX('Team Performance'!$B$39:$K$68,MATCH($A286,'Team Performance'!$A$39:$A$68,0),MATCH(($B286-2)&amp;"-"&amp;RIGHT($B286-1,2),'Team Performance'!$B$38:$K$38,0)),"n/a"))</f>
        <v>31</v>
      </c>
      <c r="M286" s="109">
        <f t="shared" si="9"/>
        <v>0.62195121951219512</v>
      </c>
      <c r="N286" s="108">
        <f>IF($B286=2017,IFERROR(INDEX('Team Performance'!$E$241:$E$270,MATCH($A286,'Team Performance'!$A$241:$A$270,0)),"n/a"),IFERROR(INDEX('Team Performance'!$B$140:$K$169,MATCH($A286,'Team Performance'!$A$140:$A$169,0),MATCH(($B286-2)&amp;"-"&amp;RIGHT($B286-1,2),'Team Performance'!$B$139:$K$139,0)),"n/a"))</f>
        <v>2</v>
      </c>
      <c r="O286" s="110">
        <f>IF($B286=2017,IFERROR(INDEX('Salary Cap'!$B$143:$B$172,MATCH($A286,'Salary Cap'!$A$143:$A$172,0)),"n/a"),IFERROR(INDEX('Salary Cap'!$B$10:$K$39,MATCH($A286,'Salary Cap'!$A$10:$A$39,0),MATCH(""&amp;($B286-1),'Salary Cap'!$B$9:$K$9,0)),"n/a"))</f>
        <v>80498192</v>
      </c>
      <c r="P286" s="115">
        <f>IF($B286=2017,IFERROR(INDEX('Salary Cap'!$C$143:$C$172,MATCH($A286,'Salary Cap'!$A$143:$A$172,0)),"n/a"),IFERROR(INDEX('Salary Cap'!$B$109:$K$138,MATCH($A286,'Salary Cap'!$A$109:$A$138,0),MATCH(""&amp;($B286-1),'Salary Cap'!$B$108:$K$108,0)),"n/a"))</f>
        <v>0</v>
      </c>
      <c r="Q286" s="138">
        <f>IF(OR($B286=2021,$B286=2022),1,0)</f>
        <v>0</v>
      </c>
    </row>
    <row r="287" spans="1:17" x14ac:dyDescent="0.2">
      <c r="A287" s="113" t="str" cm="1">
        <f t="array" ref="A287">INDEX('NBA Valuations'!$A$5:$A$34,INT((ROW()-5)/10)+1)</f>
        <v>Utah Jazz</v>
      </c>
      <c r="B287" s="105">
        <f t="shared" si="8"/>
        <v>2019</v>
      </c>
      <c r="C287" s="106">
        <f>IFERROR(INDEX('NBA Valuations'!$B$5:$K$34,MATCH($A287,'NBA Valuations'!$A$5:$A$34,0),MATCH(""&amp;$B287,'NBA Valuations'!$B$3:$K$3,0)),"n/a")</f>
        <v>1400</v>
      </c>
      <c r="D287" s="106">
        <f>IFERROR(INDEX(Revenue!$B$5:$K$34,MATCH($A287,Revenue!$A$5:$A$34,0),MATCH(""&amp;$B287,Revenue!$B$3:$K$3,0)),"n/a")</f>
        <v>243</v>
      </c>
      <c r="E287" s="106">
        <f>IFERROR(INDEX('Operating Income'!$B$5:$K$34,MATCH($A287,'Operating Income'!$A$5:$A$34,0),MATCH(""&amp;$B287,'Operating Income'!$B$3:$K$3,0)),"n/a")</f>
        <v>59</v>
      </c>
      <c r="F287" s="107">
        <f>IFERROR(INDEX('Market Size'!$L$5:$L$34,MATCH($A287,'Market Size'!$A$5:$A$34,0)),"n/a")</f>
        <v>1260358</v>
      </c>
      <c r="G287" s="108" t="str">
        <f>IFERROR(INDEX('Market Size'!$B$38:$K$67,MATCH($A287,'Market Size'!$A$38:$A$67,0),MATCH(""&amp;($B287-1),'Market Size'!$B$36:$K$36,0)),"n/a")</f>
        <v>n/a</v>
      </c>
      <c r="H287" s="108">
        <f>IFERROR(INDEX(Arena!$B$38:$K$67,MATCH($A287,Arena!$A$38:$A$67,0),MATCH(""&amp;$B287,Arena!$B$36:$K$36,0)),"n/a")</f>
        <v>1991</v>
      </c>
      <c r="I287" s="136" t="str">
        <f>IFERROR(INDEX(Arena!$B$71:$K$100,MATCH($A287,Arena!$A$71:$A$100,0),MATCH(""&amp;$B287,Arena!$B$69:$K$69,0)),"n/a")</f>
        <v>Y</v>
      </c>
      <c r="J287" s="137">
        <f>IF(ISNUMBER($H287),($B287-1)-$H287,"n/a")</f>
        <v>27</v>
      </c>
      <c r="K287" s="108">
        <f>IF($B287=2017,IFERROR(INDEX('Team Performance'!$B$241:$B$270,MATCH($A287,'Team Performance'!$A$241:$A$270,0)),"n/a"),IFERROR(INDEX('Team Performance'!$B$6:$K$35,MATCH($A287,'Team Performance'!$A$6:$A$35,0),MATCH(($B287-2)&amp;"-"&amp;RIGHT($B287-1,2),'Team Performance'!$B$5:$K$5,0)),"n/a"))</f>
        <v>48</v>
      </c>
      <c r="L287" s="108">
        <f>IF($B287=2017,IFERROR(INDEX('Team Performance'!$C$241:$C$270,MATCH($A287,'Team Performance'!$A$241:$A$270,0)),"n/a"),IFERROR(INDEX('Team Performance'!$B$39:$K$68,MATCH($A287,'Team Performance'!$A$39:$A$68,0),MATCH(($B287-2)&amp;"-"&amp;RIGHT($B287-1,2),'Team Performance'!$B$38:$K$38,0)),"n/a"))</f>
        <v>34</v>
      </c>
      <c r="M287" s="109">
        <f t="shared" si="9"/>
        <v>0.58536585365853655</v>
      </c>
      <c r="N287" s="108">
        <f>IF($B287=2017,IFERROR(INDEX('Team Performance'!$E$241:$E$270,MATCH($A287,'Team Performance'!$A$241:$A$270,0)),"n/a"),IFERROR(INDEX('Team Performance'!$B$140:$K$169,MATCH($A287,'Team Performance'!$A$140:$A$169,0),MATCH(($B287-2)&amp;"-"&amp;RIGHT($B287-1,2),'Team Performance'!$B$139:$K$139,0)),"n/a"))</f>
        <v>2</v>
      </c>
      <c r="O287" s="110">
        <f>IF($B287=2017,IFERROR(INDEX('Salary Cap'!$B$143:$B$172,MATCH($A287,'Salary Cap'!$A$143:$A$172,0)),"n/a"),IFERROR(INDEX('Salary Cap'!$B$10:$K$39,MATCH($A287,'Salary Cap'!$A$10:$A$39,0),MATCH(""&amp;($B287-1),'Salary Cap'!$B$9:$K$9,0)),"n/a"))</f>
        <v>106862254</v>
      </c>
      <c r="P287" s="115">
        <f>IF($B287=2017,IFERROR(INDEX('Salary Cap'!$C$143:$C$172,MATCH($A287,'Salary Cap'!$A$143:$A$172,0)),"n/a"),IFERROR(INDEX('Salary Cap'!$B$109:$K$138,MATCH($A287,'Salary Cap'!$A$109:$A$138,0),MATCH(""&amp;($B287-1),'Salary Cap'!$B$108:$K$108,0)),"n/a"))</f>
        <v>0</v>
      </c>
      <c r="Q287" s="138">
        <f>IF(OR($B287=2021,$B287=2022),1,0)</f>
        <v>0</v>
      </c>
    </row>
    <row r="288" spans="1:17" x14ac:dyDescent="0.2">
      <c r="A288" s="113" t="str" cm="1">
        <f t="array" ref="A288">INDEX('NBA Valuations'!$A$5:$A$34,INT((ROW()-5)/10)+1)</f>
        <v>Utah Jazz</v>
      </c>
      <c r="B288" s="105">
        <f t="shared" si="8"/>
        <v>2020</v>
      </c>
      <c r="C288" s="106">
        <f>IFERROR(INDEX('NBA Valuations'!$B$5:$K$34,MATCH($A288,'NBA Valuations'!$A$5:$A$34,0),MATCH(""&amp;$B288,'NBA Valuations'!$B$3:$K$3,0)),"n/a")</f>
        <v>1600</v>
      </c>
      <c r="D288" s="106">
        <f>IFERROR(INDEX(Revenue!$B$5:$K$34,MATCH($A288,Revenue!$A$5:$A$34,0),MATCH(""&amp;$B288,Revenue!$B$3:$K$3,0)),"n/a")</f>
        <v>258</v>
      </c>
      <c r="E288" s="106">
        <f>IFERROR(INDEX('Operating Income'!$B$5:$K$34,MATCH($A288,'Operating Income'!$A$5:$A$34,0),MATCH(""&amp;$B288,'Operating Income'!$B$3:$K$3,0)),"n/a")</f>
        <v>63</v>
      </c>
      <c r="F288" s="107">
        <f>IFERROR(INDEX('Market Size'!$L$5:$L$34,MATCH($A288,'Market Size'!$A$5:$A$34,0)),"n/a")</f>
        <v>1260358</v>
      </c>
      <c r="G288" s="108" t="str">
        <f>IFERROR(INDEX('Market Size'!$B$38:$K$67,MATCH($A288,'Market Size'!$A$38:$A$67,0),MATCH(""&amp;($B288-1),'Market Size'!$B$36:$K$36,0)),"n/a")</f>
        <v>n/a</v>
      </c>
      <c r="H288" s="108">
        <f>IFERROR(INDEX(Arena!$B$38:$K$67,MATCH($A288,Arena!$A$38:$A$67,0),MATCH(""&amp;$B288,Arena!$B$36:$K$36,0)),"n/a")</f>
        <v>1991</v>
      </c>
      <c r="I288" s="136" t="str">
        <f>IFERROR(INDEX(Arena!$B$71:$K$100,MATCH($A288,Arena!$A$71:$A$100,0),MATCH(""&amp;$B288,Arena!$B$69:$K$69,0)),"n/a")</f>
        <v>Y</v>
      </c>
      <c r="J288" s="137">
        <f>IF(ISNUMBER($H288),($B288-1)-$H288,"n/a")</f>
        <v>28</v>
      </c>
      <c r="K288" s="108">
        <f>IF($B288=2017,IFERROR(INDEX('Team Performance'!$B$241:$B$270,MATCH($A288,'Team Performance'!$A$241:$A$270,0)),"n/a"),IFERROR(INDEX('Team Performance'!$B$6:$K$35,MATCH($A288,'Team Performance'!$A$6:$A$35,0),MATCH(($B288-2)&amp;"-"&amp;RIGHT($B288-1,2),'Team Performance'!$B$5:$K$5,0)),"n/a"))</f>
        <v>50</v>
      </c>
      <c r="L288" s="108">
        <f>IF($B288=2017,IFERROR(INDEX('Team Performance'!$C$241:$C$270,MATCH($A288,'Team Performance'!$A$241:$A$270,0)),"n/a"),IFERROR(INDEX('Team Performance'!$B$39:$K$68,MATCH($A288,'Team Performance'!$A$39:$A$68,0),MATCH(($B288-2)&amp;"-"&amp;RIGHT($B288-1,2),'Team Performance'!$B$38:$K$38,0)),"n/a"))</f>
        <v>32</v>
      </c>
      <c r="M288" s="109">
        <f t="shared" si="9"/>
        <v>0.6097560975609756</v>
      </c>
      <c r="N288" s="108">
        <f>IF($B288=2017,IFERROR(INDEX('Team Performance'!$E$241:$E$270,MATCH($A288,'Team Performance'!$A$241:$A$270,0)),"n/a"),IFERROR(INDEX('Team Performance'!$B$140:$K$169,MATCH($A288,'Team Performance'!$A$140:$A$169,0),MATCH(($B288-2)&amp;"-"&amp;RIGHT($B288-1,2),'Team Performance'!$B$139:$K$139,0)),"n/a"))</f>
        <v>1</v>
      </c>
      <c r="O288" s="110">
        <f>IF($B288=2017,IFERROR(INDEX('Salary Cap'!$B$143:$B$172,MATCH($A288,'Salary Cap'!$A$143:$A$172,0)),"n/a"),IFERROR(INDEX('Salary Cap'!$B$10:$K$39,MATCH($A288,'Salary Cap'!$A$10:$A$39,0),MATCH(""&amp;($B288-1),'Salary Cap'!$B$9:$K$9,0)),"n/a"))</f>
        <v>113437858</v>
      </c>
      <c r="P288" s="115">
        <f>IF($B288=2017,IFERROR(INDEX('Salary Cap'!$C$143:$C$172,MATCH($A288,'Salary Cap'!$A$143:$A$172,0)),"n/a"),IFERROR(INDEX('Salary Cap'!$B$109:$K$138,MATCH($A288,'Salary Cap'!$A$109:$A$138,0),MATCH(""&amp;($B288-1),'Salary Cap'!$B$108:$K$108,0)),"n/a"))</f>
        <v>0</v>
      </c>
      <c r="Q288" s="138">
        <f>IF(OR($B288=2021,$B288=2022),1,0)</f>
        <v>0</v>
      </c>
    </row>
    <row r="289" spans="1:17" x14ac:dyDescent="0.2">
      <c r="A289" s="113" t="str" cm="1">
        <f t="array" ref="A289">INDEX('NBA Valuations'!$A$5:$A$34,INT((ROW()-5)/10)+1)</f>
        <v>Utah Jazz</v>
      </c>
      <c r="B289" s="105">
        <f t="shared" si="8"/>
        <v>2021</v>
      </c>
      <c r="C289" s="106">
        <f>IFERROR(INDEX('NBA Valuations'!$B$5:$K$34,MATCH($A289,'NBA Valuations'!$A$5:$A$34,0),MATCH(""&amp;$B289,'NBA Valuations'!$B$3:$K$3,0)),"n/a")</f>
        <v>1660</v>
      </c>
      <c r="D289" s="106">
        <f>IFERROR(INDEX(Revenue!$B$5:$K$34,MATCH($A289,Revenue!$A$5:$A$34,0),MATCH(""&amp;$B289,Revenue!$B$3:$K$3,0)),"n/a")</f>
        <v>226</v>
      </c>
      <c r="E289" s="106">
        <f>IFERROR(INDEX('Operating Income'!$B$5:$K$34,MATCH($A289,'Operating Income'!$A$5:$A$34,0),MATCH(""&amp;$B289,'Operating Income'!$B$3:$K$3,0)),"n/a")</f>
        <v>42</v>
      </c>
      <c r="F289" s="107">
        <f>IFERROR(INDEX('Market Size'!$L$5:$L$34,MATCH($A289,'Market Size'!$A$5:$A$34,0)),"n/a")</f>
        <v>1260358</v>
      </c>
      <c r="G289" s="108" t="str">
        <f>IFERROR(INDEX('Market Size'!$B$38:$K$67,MATCH($A289,'Market Size'!$A$38:$A$67,0),MATCH(""&amp;($B289-1),'Market Size'!$B$36:$K$36,0)),"n/a")</f>
        <v>n/a</v>
      </c>
      <c r="H289" s="108">
        <f>IFERROR(INDEX(Arena!$B$38:$K$67,MATCH($A289,Arena!$A$38:$A$67,0),MATCH(""&amp;$B289,Arena!$B$36:$K$36,0)),"n/a")</f>
        <v>1991</v>
      </c>
      <c r="I289" s="136" t="str">
        <f>IFERROR(INDEX(Arena!$B$71:$K$100,MATCH($A289,Arena!$A$71:$A$100,0),MATCH(""&amp;$B289,Arena!$B$69:$K$69,0)),"n/a")</f>
        <v>Y</v>
      </c>
      <c r="J289" s="137">
        <f>IF(ISNUMBER($H289),($B289-1)-$H289,"n/a")</f>
        <v>29</v>
      </c>
      <c r="K289" s="108">
        <f>IF($B289=2017,IFERROR(INDEX('Team Performance'!$B$241:$B$270,MATCH($A289,'Team Performance'!$A$241:$A$270,0)),"n/a"),IFERROR(INDEX('Team Performance'!$B$6:$K$35,MATCH($A289,'Team Performance'!$A$6:$A$35,0),MATCH(($B289-2)&amp;"-"&amp;RIGHT($B289-1,2),'Team Performance'!$B$5:$K$5,0)),"n/a"))</f>
        <v>44</v>
      </c>
      <c r="L289" s="108">
        <f>IF($B289=2017,IFERROR(INDEX('Team Performance'!$C$241:$C$270,MATCH($A289,'Team Performance'!$A$241:$A$270,0)),"n/a"),IFERROR(INDEX('Team Performance'!$B$39:$K$68,MATCH($A289,'Team Performance'!$A$39:$A$68,0),MATCH(($B289-2)&amp;"-"&amp;RIGHT($B289-1,2),'Team Performance'!$B$38:$K$38,0)),"n/a"))</f>
        <v>28</v>
      </c>
      <c r="M289" s="109">
        <f t="shared" si="9"/>
        <v>0.61111111111111116</v>
      </c>
      <c r="N289" s="108">
        <f>IF($B289=2017,IFERROR(INDEX('Team Performance'!$E$241:$E$270,MATCH($A289,'Team Performance'!$A$241:$A$270,0)),"n/a"),IFERROR(INDEX('Team Performance'!$B$140:$K$169,MATCH($A289,'Team Performance'!$A$140:$A$169,0),MATCH(($B289-2)&amp;"-"&amp;RIGHT($B289-1,2),'Team Performance'!$B$139:$K$139,0)),"n/a"))</f>
        <v>1</v>
      </c>
      <c r="O289" s="110">
        <f>IF($B289=2017,IFERROR(INDEX('Salary Cap'!$B$143:$B$172,MATCH($A289,'Salary Cap'!$A$143:$A$172,0)),"n/a"),IFERROR(INDEX('Salary Cap'!$B$10:$K$39,MATCH($A289,'Salary Cap'!$A$10:$A$39,0),MATCH(""&amp;($B289-1),'Salary Cap'!$B$9:$K$9,0)),"n/a"))</f>
        <v>128279617</v>
      </c>
      <c r="P289" s="115">
        <f>IF($B289=2017,IFERROR(INDEX('Salary Cap'!$C$143:$C$172,MATCH($A289,'Salary Cap'!$A$143:$A$172,0)),"n/a"),IFERROR(INDEX('Salary Cap'!$B$109:$K$138,MATCH($A289,'Salary Cap'!$A$109:$A$138,0),MATCH(""&amp;($B289-1),'Salary Cap'!$B$108:$K$108,0)),"n/a"))</f>
        <v>0</v>
      </c>
      <c r="Q289" s="138">
        <f>IF(OR($B289=2021,$B289=2022),1,0)</f>
        <v>1</v>
      </c>
    </row>
    <row r="290" spans="1:17" x14ac:dyDescent="0.2">
      <c r="A290" s="113" t="str" cm="1">
        <f t="array" ref="A290">INDEX('NBA Valuations'!$A$5:$A$34,INT((ROW()-5)/10)+1)</f>
        <v>Utah Jazz</v>
      </c>
      <c r="B290" s="105">
        <f t="shared" si="8"/>
        <v>2022</v>
      </c>
      <c r="C290" s="106">
        <f>IFERROR(INDEX('NBA Valuations'!$B$5:$K$34,MATCH($A290,'NBA Valuations'!$A$5:$A$34,0),MATCH(""&amp;$B290,'NBA Valuations'!$B$3:$K$3,0)),"n/a")</f>
        <v>1750</v>
      </c>
      <c r="D290" s="106">
        <f>IFERROR(INDEX(Revenue!$B$5:$K$34,MATCH($A290,Revenue!$A$5:$A$34,0),MATCH(""&amp;$B290,Revenue!$B$3:$K$3,0)),"n/a")</f>
        <v>262</v>
      </c>
      <c r="E290" s="106">
        <f>IFERROR(INDEX('Operating Income'!$B$5:$K$34,MATCH($A290,'Operating Income'!$A$5:$A$34,0),MATCH(""&amp;$B290,'Operating Income'!$B$3:$K$3,0)),"n/a")</f>
        <v>96</v>
      </c>
      <c r="F290" s="107">
        <f>IFERROR(INDEX('Market Size'!$L$5:$L$34,MATCH($A290,'Market Size'!$A$5:$A$34,0)),"n/a")</f>
        <v>1260358</v>
      </c>
      <c r="G290" s="108" t="str">
        <f>IFERROR(INDEX('Market Size'!$B$38:$K$67,MATCH($A290,'Market Size'!$A$38:$A$67,0),MATCH(""&amp;($B290-1),'Market Size'!$B$36:$K$36,0)),"n/a")</f>
        <v>n/a</v>
      </c>
      <c r="H290" s="108">
        <f>IFERROR(INDEX(Arena!$B$38:$K$67,MATCH($A290,Arena!$A$38:$A$67,0),MATCH(""&amp;$B290,Arena!$B$36:$K$36,0)),"n/a")</f>
        <v>1991</v>
      </c>
      <c r="I290" s="136" t="str">
        <f>IFERROR(INDEX(Arena!$B$71:$K$100,MATCH($A290,Arena!$A$71:$A$100,0),MATCH(""&amp;$B290,Arena!$B$69:$K$69,0)),"n/a")</f>
        <v>Y</v>
      </c>
      <c r="J290" s="137">
        <f>IF(ISNUMBER($H290),($B290-1)-$H290,"n/a")</f>
        <v>30</v>
      </c>
      <c r="K290" s="108">
        <f>IF($B290=2017,IFERROR(INDEX('Team Performance'!$B$241:$B$270,MATCH($A290,'Team Performance'!$A$241:$A$270,0)),"n/a"),IFERROR(INDEX('Team Performance'!$B$6:$K$35,MATCH($A290,'Team Performance'!$A$6:$A$35,0),MATCH(($B290-2)&amp;"-"&amp;RIGHT($B290-1,2),'Team Performance'!$B$5:$K$5,0)),"n/a"))</f>
        <v>52</v>
      </c>
      <c r="L290" s="108">
        <f>IF($B290=2017,IFERROR(INDEX('Team Performance'!$C$241:$C$270,MATCH($A290,'Team Performance'!$A$241:$A$270,0)),"n/a"),IFERROR(INDEX('Team Performance'!$B$39:$K$68,MATCH($A290,'Team Performance'!$A$39:$A$68,0),MATCH(($B290-2)&amp;"-"&amp;RIGHT($B290-1,2),'Team Performance'!$B$38:$K$38,0)),"n/a"))</f>
        <v>20</v>
      </c>
      <c r="M290" s="109">
        <f t="shared" si="9"/>
        <v>0.72222222222222221</v>
      </c>
      <c r="N290" s="108">
        <f>IF($B290=2017,IFERROR(INDEX('Team Performance'!$E$241:$E$270,MATCH($A290,'Team Performance'!$A$241:$A$270,0)),"n/a"),IFERROR(INDEX('Team Performance'!$B$140:$K$169,MATCH($A290,'Team Performance'!$A$140:$A$169,0),MATCH(($B290-2)&amp;"-"&amp;RIGHT($B290-1,2),'Team Performance'!$B$139:$K$139,0)),"n/a"))</f>
        <v>2</v>
      </c>
      <c r="O290" s="110">
        <f>IF($B290=2017,IFERROR(INDEX('Salary Cap'!$B$143:$B$172,MATCH($A290,'Salary Cap'!$A$143:$A$172,0)),"n/a"),IFERROR(INDEX('Salary Cap'!$B$10:$K$39,MATCH($A290,'Salary Cap'!$A$10:$A$39,0),MATCH(""&amp;($B290-1),'Salary Cap'!$B$9:$K$9,0)),"n/a"))</f>
        <v>136299801</v>
      </c>
      <c r="P290" s="115">
        <f>IF($B290=2017,IFERROR(INDEX('Salary Cap'!$C$143:$C$172,MATCH($A290,'Salary Cap'!$A$143:$A$172,0)),"n/a"),IFERROR(INDEX('Salary Cap'!$B$109:$K$138,MATCH($A290,'Salary Cap'!$A$109:$A$138,0),MATCH(""&amp;($B290-1),'Salary Cap'!$B$108:$K$108,0)),"n/a"))</f>
        <v>5509202</v>
      </c>
      <c r="Q290" s="138">
        <f>IF(OR($B290=2021,$B290=2022),1,0)</f>
        <v>1</v>
      </c>
    </row>
    <row r="291" spans="1:17" x14ac:dyDescent="0.2">
      <c r="A291" s="113" t="str" cm="1">
        <f t="array" ref="A291">INDEX('NBA Valuations'!$A$5:$A$34,INT((ROW()-5)/10)+1)</f>
        <v>Utah Jazz</v>
      </c>
      <c r="B291" s="105">
        <f t="shared" si="8"/>
        <v>2023</v>
      </c>
      <c r="C291" s="106">
        <f>IFERROR(INDEX('NBA Valuations'!$B$5:$K$34,MATCH($A291,'NBA Valuations'!$A$5:$A$34,0),MATCH(""&amp;$B291,'NBA Valuations'!$B$3:$K$3,0)),"n/a")</f>
        <v>2025</v>
      </c>
      <c r="D291" s="106">
        <f>IFERROR(INDEX(Revenue!$B$5:$K$34,MATCH($A291,Revenue!$A$5:$A$34,0),MATCH(""&amp;$B291,Revenue!$B$3:$K$3,0)),"n/a")</f>
        <v>308</v>
      </c>
      <c r="E291" s="106">
        <f>IFERROR(INDEX('Operating Income'!$B$5:$K$34,MATCH($A291,'Operating Income'!$A$5:$A$34,0),MATCH(""&amp;$B291,'Operating Income'!$B$3:$K$3,0)),"n/a")</f>
        <v>58</v>
      </c>
      <c r="F291" s="107">
        <f>IFERROR(INDEX('Market Size'!$L$5:$L$34,MATCH($A291,'Market Size'!$A$5:$A$34,0)),"n/a")</f>
        <v>1260358</v>
      </c>
      <c r="G291" s="108" t="str">
        <f>IFERROR(INDEX('Market Size'!$B$38:$K$67,MATCH($A291,'Market Size'!$A$38:$A$67,0),MATCH(""&amp;($B291-1),'Market Size'!$B$36:$K$36,0)),"n/a")</f>
        <v>n/a</v>
      </c>
      <c r="H291" s="108">
        <f>IFERROR(INDEX(Arena!$B$38:$K$67,MATCH($A291,Arena!$A$38:$A$67,0),MATCH(""&amp;$B291,Arena!$B$36:$K$36,0)),"n/a")</f>
        <v>1991</v>
      </c>
      <c r="I291" s="136" t="str">
        <f>IFERROR(INDEX(Arena!$B$71:$K$100,MATCH($A291,Arena!$A$71:$A$100,0),MATCH(""&amp;$B291,Arena!$B$69:$K$69,0)),"n/a")</f>
        <v>Y</v>
      </c>
      <c r="J291" s="137">
        <f>IF(ISNUMBER($H291),($B291-1)-$H291,"n/a")</f>
        <v>31</v>
      </c>
      <c r="K291" s="108">
        <f>IF($B291=2017,IFERROR(INDEX('Team Performance'!$B$241:$B$270,MATCH($A291,'Team Performance'!$A$241:$A$270,0)),"n/a"),IFERROR(INDEX('Team Performance'!$B$6:$K$35,MATCH($A291,'Team Performance'!$A$6:$A$35,0),MATCH(($B291-2)&amp;"-"&amp;RIGHT($B291-1,2),'Team Performance'!$B$5:$K$5,0)),"n/a"))</f>
        <v>49</v>
      </c>
      <c r="L291" s="108">
        <f>IF($B291=2017,IFERROR(INDEX('Team Performance'!$C$241:$C$270,MATCH($A291,'Team Performance'!$A$241:$A$270,0)),"n/a"),IFERROR(INDEX('Team Performance'!$B$39:$K$68,MATCH($A291,'Team Performance'!$A$39:$A$68,0),MATCH(($B291-2)&amp;"-"&amp;RIGHT($B291-1,2),'Team Performance'!$B$38:$K$38,0)),"n/a"))</f>
        <v>33</v>
      </c>
      <c r="M291" s="109">
        <f t="shared" si="9"/>
        <v>0.59756097560975607</v>
      </c>
      <c r="N291" s="108">
        <f>IF($B291=2017,IFERROR(INDEX('Team Performance'!$E$241:$E$270,MATCH($A291,'Team Performance'!$A$241:$A$270,0)),"n/a"),IFERROR(INDEX('Team Performance'!$B$140:$K$169,MATCH($A291,'Team Performance'!$A$140:$A$169,0),MATCH(($B291-2)&amp;"-"&amp;RIGHT($B291-1,2),'Team Performance'!$B$139:$K$139,0)),"n/a"))</f>
        <v>1</v>
      </c>
      <c r="O291" s="110">
        <f>IF($B291=2017,IFERROR(INDEX('Salary Cap'!$B$143:$B$172,MATCH($A291,'Salary Cap'!$A$143:$A$172,0)),"n/a"),IFERROR(INDEX('Salary Cap'!$B$10:$K$39,MATCH($A291,'Salary Cap'!$A$10:$A$39,0),MATCH(""&amp;($B291-1),'Salary Cap'!$B$9:$K$9,0)),"n/a"))</f>
        <v>145970126</v>
      </c>
      <c r="P291" s="115">
        <f>IF($B291=2017,IFERROR(INDEX('Salary Cap'!$C$143:$C$172,MATCH($A291,'Salary Cap'!$A$143:$A$172,0)),"n/a"),IFERROR(INDEX('Salary Cap'!$B$109:$K$138,MATCH($A291,'Salary Cap'!$A$109:$A$138,0),MATCH(""&amp;($B291-1),'Salary Cap'!$B$108:$K$108,0)),"n/a"))</f>
        <v>18833260</v>
      </c>
      <c r="Q291" s="138">
        <f>IF(OR($B291=2021,$B291=2022),1,0)</f>
        <v>0</v>
      </c>
    </row>
    <row r="292" spans="1:17" x14ac:dyDescent="0.2">
      <c r="A292" s="113" t="str" cm="1">
        <f t="array" ref="A292">INDEX('NBA Valuations'!$A$5:$A$34,INT((ROW()-5)/10)+1)</f>
        <v>Utah Jazz</v>
      </c>
      <c r="B292" s="105">
        <f t="shared" si="8"/>
        <v>2024</v>
      </c>
      <c r="C292" s="106">
        <f>IFERROR(INDEX('NBA Valuations'!$B$5:$K$34,MATCH($A292,'NBA Valuations'!$A$5:$A$34,0),MATCH(""&amp;$B292,'NBA Valuations'!$B$3:$K$3,0)),"n/a")</f>
        <v>3090</v>
      </c>
      <c r="D292" s="106">
        <f>IFERROR(INDEX(Revenue!$B$5:$K$34,MATCH($A292,Revenue!$A$5:$A$34,0),MATCH(""&amp;$B292,Revenue!$B$3:$K$3,0)),"n/a")</f>
        <v>274</v>
      </c>
      <c r="E292" s="106">
        <f>IFERROR(INDEX('Operating Income'!$B$5:$K$34,MATCH($A292,'Operating Income'!$A$5:$A$34,0),MATCH(""&amp;$B292,'Operating Income'!$B$3:$K$3,0)),"n/a")</f>
        <v>46</v>
      </c>
      <c r="F292" s="107">
        <f>IFERROR(INDEX('Market Size'!$L$5:$L$34,MATCH($A292,'Market Size'!$A$5:$A$34,0)),"n/a")</f>
        <v>1260358</v>
      </c>
      <c r="G292" s="108" t="str">
        <f>IFERROR(INDEX('Market Size'!$B$38:$K$67,MATCH($A292,'Market Size'!$A$38:$A$67,0),MATCH(""&amp;($B292-1),'Market Size'!$B$36:$K$36,0)),"n/a")</f>
        <v>n/a</v>
      </c>
      <c r="H292" s="108">
        <f>IFERROR(INDEX(Arena!$B$38:$K$67,MATCH($A292,Arena!$A$38:$A$67,0),MATCH(""&amp;$B292,Arena!$B$36:$K$36,0)),"n/a")</f>
        <v>1991</v>
      </c>
      <c r="I292" s="136" t="str">
        <f>IFERROR(INDEX(Arena!$B$71:$K$100,MATCH($A292,Arena!$A$71:$A$100,0),MATCH(""&amp;$B292,Arena!$B$69:$K$69,0)),"n/a")</f>
        <v>Y</v>
      </c>
      <c r="J292" s="137">
        <f>IF(ISNUMBER($H292),($B292-1)-$H292,"n/a")</f>
        <v>32</v>
      </c>
      <c r="K292" s="108">
        <f>IF($B292=2017,IFERROR(INDEX('Team Performance'!$B$241:$B$270,MATCH($A292,'Team Performance'!$A$241:$A$270,0)),"n/a"),IFERROR(INDEX('Team Performance'!$B$6:$K$35,MATCH($A292,'Team Performance'!$A$6:$A$35,0),MATCH(($B292-2)&amp;"-"&amp;RIGHT($B292-1,2),'Team Performance'!$B$5:$K$5,0)),"n/a"))</f>
        <v>37</v>
      </c>
      <c r="L292" s="108">
        <f>IF($B292=2017,IFERROR(INDEX('Team Performance'!$C$241:$C$270,MATCH($A292,'Team Performance'!$A$241:$A$270,0)),"n/a"),IFERROR(INDEX('Team Performance'!$B$39:$K$68,MATCH($A292,'Team Performance'!$A$39:$A$68,0),MATCH(($B292-2)&amp;"-"&amp;RIGHT($B292-1,2),'Team Performance'!$B$38:$K$38,0)),"n/a"))</f>
        <v>45</v>
      </c>
      <c r="M292" s="109">
        <f t="shared" si="9"/>
        <v>0.45121951219512196</v>
      </c>
      <c r="N292" s="108">
        <f>IF($B292=2017,IFERROR(INDEX('Team Performance'!$E$241:$E$270,MATCH($A292,'Team Performance'!$A$241:$A$270,0)),"n/a"),IFERROR(INDEX('Team Performance'!$B$140:$K$169,MATCH($A292,'Team Performance'!$A$140:$A$169,0),MATCH(($B292-2)&amp;"-"&amp;RIGHT($B292-1,2),'Team Performance'!$B$139:$K$139,0)),"n/a"))</f>
        <v>0</v>
      </c>
      <c r="O292" s="110">
        <f>IF($B292=2017,IFERROR(INDEX('Salary Cap'!$B$143:$B$172,MATCH($A292,'Salary Cap'!$A$143:$A$172,0)),"n/a"),IFERROR(INDEX('Salary Cap'!$B$10:$K$39,MATCH($A292,'Salary Cap'!$A$10:$A$39,0),MATCH(""&amp;($B292-1),'Salary Cap'!$B$9:$K$9,0)),"n/a"))</f>
        <v>147574401</v>
      </c>
      <c r="P292" s="115">
        <f>IF($B292=2017,IFERROR(INDEX('Salary Cap'!$C$143:$C$172,MATCH($A292,'Salary Cap'!$A$143:$A$172,0)),"n/a"),IFERROR(INDEX('Salary Cap'!$B$109:$K$138,MATCH($A292,'Salary Cap'!$A$109:$A$138,0),MATCH(""&amp;($B292-1),'Salary Cap'!$B$108:$K$108,0)),"n/a"))</f>
        <v>0</v>
      </c>
      <c r="Q292" s="138">
        <f>IF(OR($B292=2021,$B292=2022),1,0)</f>
        <v>0</v>
      </c>
    </row>
    <row r="293" spans="1:17" x14ac:dyDescent="0.2">
      <c r="A293" s="113" t="str" cm="1">
        <f t="array" ref="A293">INDEX('NBA Valuations'!$A$5:$A$34,INT((ROW()-5)/10)+1)</f>
        <v>Utah Jazz</v>
      </c>
      <c r="B293" s="105">
        <f t="shared" si="8"/>
        <v>2025</v>
      </c>
      <c r="C293" s="106">
        <f>IFERROR(INDEX('NBA Valuations'!$B$5:$K$34,MATCH($A293,'NBA Valuations'!$A$5:$A$34,0),MATCH(""&amp;$B293,'NBA Valuations'!$B$3:$K$3,0)),"n/a")</f>
        <v>3550</v>
      </c>
      <c r="D293" s="106">
        <f>IFERROR(INDEX(Revenue!$B$5:$K$34,MATCH($A293,Revenue!$A$5:$A$34,0),MATCH(""&amp;$B293,Revenue!$B$3:$K$3,0)),"n/a")</f>
        <v>318</v>
      </c>
      <c r="E293" s="106">
        <f>IFERROR(INDEX('Operating Income'!$B$5:$K$34,MATCH($A293,'Operating Income'!$A$5:$A$34,0),MATCH(""&amp;$B293,'Operating Income'!$B$3:$K$3,0)),"n/a")</f>
        <v>89</v>
      </c>
      <c r="F293" s="107">
        <f>IFERROR(INDEX('Market Size'!$L$5:$L$34,MATCH($A293,'Market Size'!$A$5:$A$34,0)),"n/a")</f>
        <v>1260358</v>
      </c>
      <c r="G293" s="108">
        <f>IFERROR(INDEX('Market Size'!$B$38:$K$67,MATCH($A293,'Market Size'!$A$38:$A$67,0),MATCH(""&amp;($B293-1),'Market Size'!$B$36:$K$36,0)),"n/a")</f>
        <v>29</v>
      </c>
      <c r="H293" s="108">
        <f>IFERROR(INDEX(Arena!$B$38:$K$67,MATCH($A293,Arena!$A$38:$A$67,0),MATCH(""&amp;$B293,Arena!$B$36:$K$36,0)),"n/a")</f>
        <v>1991</v>
      </c>
      <c r="I293" s="136" t="str">
        <f>IFERROR(INDEX(Arena!$B$71:$K$100,MATCH($A293,Arena!$A$71:$A$100,0),MATCH(""&amp;$B293,Arena!$B$69:$K$69,0)),"n/a")</f>
        <v>Y</v>
      </c>
      <c r="J293" s="137">
        <f>IF(ISNUMBER($H293),($B293-1)-$H293,"n/a")</f>
        <v>33</v>
      </c>
      <c r="K293" s="108">
        <f>IF($B293=2017,IFERROR(INDEX('Team Performance'!$B$241:$B$270,MATCH($A293,'Team Performance'!$A$241:$A$270,0)),"n/a"),IFERROR(INDEX('Team Performance'!$B$6:$K$35,MATCH($A293,'Team Performance'!$A$6:$A$35,0),MATCH(($B293-2)&amp;"-"&amp;RIGHT($B293-1,2),'Team Performance'!$B$5:$K$5,0)),"n/a"))</f>
        <v>31</v>
      </c>
      <c r="L293" s="108">
        <f>IF($B293=2017,IFERROR(INDEX('Team Performance'!$C$241:$C$270,MATCH($A293,'Team Performance'!$A$241:$A$270,0)),"n/a"),IFERROR(INDEX('Team Performance'!$B$39:$K$68,MATCH($A293,'Team Performance'!$A$39:$A$68,0),MATCH(($B293-2)&amp;"-"&amp;RIGHT($B293-1,2),'Team Performance'!$B$38:$K$38,0)),"n/a"))</f>
        <v>51</v>
      </c>
      <c r="M293" s="109">
        <f t="shared" si="9"/>
        <v>0.37804878048780488</v>
      </c>
      <c r="N293" s="108">
        <f>IF($B293=2017,IFERROR(INDEX('Team Performance'!$E$241:$E$270,MATCH($A293,'Team Performance'!$A$241:$A$270,0)),"n/a"),IFERROR(INDEX('Team Performance'!$B$140:$K$169,MATCH($A293,'Team Performance'!$A$140:$A$169,0),MATCH(($B293-2)&amp;"-"&amp;RIGHT($B293-1,2),'Team Performance'!$B$139:$K$139,0)),"n/a"))</f>
        <v>0</v>
      </c>
      <c r="O293" s="110">
        <f>IF($B293=2017,IFERROR(INDEX('Salary Cap'!$B$143:$B$172,MATCH($A293,'Salary Cap'!$A$143:$A$172,0)),"n/a"),IFERROR(INDEX('Salary Cap'!$B$10:$K$39,MATCH($A293,'Salary Cap'!$A$10:$A$39,0),MATCH(""&amp;($B293-1),'Salary Cap'!$B$9:$K$9,0)),"n/a"))</f>
        <v>131791303</v>
      </c>
      <c r="P293" s="115">
        <f>IF($B293=2017,IFERROR(INDEX('Salary Cap'!$C$143:$C$172,MATCH($A293,'Salary Cap'!$A$143:$A$172,0)),"n/a"),IFERROR(INDEX('Salary Cap'!$B$109:$K$138,MATCH($A293,'Salary Cap'!$A$109:$A$138,0),MATCH(""&amp;($B293-1),'Salary Cap'!$B$108:$K$108,0)),"n/a"))</f>
        <v>0</v>
      </c>
      <c r="Q293" s="138">
        <f>IF(OR($B293=2021,$B293=2022),1,0)</f>
        <v>0</v>
      </c>
    </row>
    <row r="294" spans="1:17" x14ac:dyDescent="0.2">
      <c r="A294" s="113" t="str" cm="1">
        <f t="array" ref="A294">INDEX('NBA Valuations'!$A$5:$A$34,INT((ROW()-5)/10)+1)</f>
        <v>Utah Jazz</v>
      </c>
      <c r="B294" s="105">
        <f t="shared" si="8"/>
        <v>2026</v>
      </c>
      <c r="C294" s="106">
        <f>IFERROR(INDEX('NBA Valuations'!$B$5:$K$34,MATCH($A294,'NBA Valuations'!$A$5:$A$34,0),MATCH(""&amp;$B294,'NBA Valuations'!$B$3:$K$3,0)),"n/a")</f>
        <v>4100</v>
      </c>
      <c r="D294" s="106">
        <f>IFERROR(INDEX(Revenue!$B$5:$K$34,MATCH($A294,Revenue!$A$5:$A$34,0),MATCH(""&amp;$B294,Revenue!$B$3:$K$3,0)),"n/a")</f>
        <v>340</v>
      </c>
      <c r="E294" s="106">
        <f>IFERROR(INDEX('Operating Income'!$B$5:$K$34,MATCH($A294,'Operating Income'!$A$5:$A$34,0),MATCH(""&amp;$B294,'Operating Income'!$B$3:$K$3,0)),"n/a")</f>
        <v>103</v>
      </c>
      <c r="F294" s="107">
        <f>IFERROR(INDEX('Market Size'!$L$5:$L$34,MATCH($A294,'Market Size'!$A$5:$A$34,0)),"n/a")</f>
        <v>1260358</v>
      </c>
      <c r="G294" s="108">
        <f>IFERROR(INDEX('Market Size'!$B$38:$K$67,MATCH($A294,'Market Size'!$A$38:$A$67,0),MATCH(""&amp;($B294-1),'Market Size'!$B$36:$K$36,0)),"n/a")</f>
        <v>28</v>
      </c>
      <c r="H294" s="108">
        <f>IFERROR(INDEX(Arena!$B$38:$K$67,MATCH($A294,Arena!$A$38:$A$67,0),MATCH(""&amp;$B294,Arena!$B$36:$K$36,0)),"n/a")</f>
        <v>1991</v>
      </c>
      <c r="I294" s="136" t="str">
        <f>IFERROR(INDEX(Arena!$B$71:$K$100,MATCH($A294,Arena!$A$71:$A$100,0),MATCH(""&amp;$B294,Arena!$B$69:$K$69,0)),"n/a")</f>
        <v>Y</v>
      </c>
      <c r="J294" s="137">
        <f>IF(ISNUMBER($H294),($B294-1)-$H294,"n/a")</f>
        <v>34</v>
      </c>
      <c r="K294" s="108">
        <f>IF($B294=2017,IFERROR(INDEX('Team Performance'!$B$241:$B$270,MATCH($A294,'Team Performance'!$A$241:$A$270,0)),"n/a"),IFERROR(INDEX('Team Performance'!$B$6:$K$35,MATCH($A294,'Team Performance'!$A$6:$A$35,0),MATCH(($B294-2)&amp;"-"&amp;RIGHT($B294-1,2),'Team Performance'!$B$5:$K$5,0)),"n/a"))</f>
        <v>17</v>
      </c>
      <c r="L294" s="108">
        <f>IF($B294=2017,IFERROR(INDEX('Team Performance'!$C$241:$C$270,MATCH($A294,'Team Performance'!$A$241:$A$270,0)),"n/a"),IFERROR(INDEX('Team Performance'!$B$39:$K$68,MATCH($A294,'Team Performance'!$A$39:$A$68,0),MATCH(($B294-2)&amp;"-"&amp;RIGHT($B294-1,2),'Team Performance'!$B$38:$K$38,0)),"n/a"))</f>
        <v>65</v>
      </c>
      <c r="M294" s="109">
        <f t="shared" si="9"/>
        <v>0.2073170731707317</v>
      </c>
      <c r="N294" s="108">
        <f>IF($B294=2017,IFERROR(INDEX('Team Performance'!$E$241:$E$270,MATCH($A294,'Team Performance'!$A$241:$A$270,0)),"n/a"),IFERROR(INDEX('Team Performance'!$B$140:$K$169,MATCH($A294,'Team Performance'!$A$140:$A$169,0),MATCH(($B294-2)&amp;"-"&amp;RIGHT($B294-1,2),'Team Performance'!$B$139:$K$139,0)),"n/a"))</f>
        <v>0</v>
      </c>
      <c r="O294" s="110">
        <f>IF($B294=2017,IFERROR(INDEX('Salary Cap'!$B$143:$B$172,MATCH($A294,'Salary Cap'!$A$143:$A$172,0)),"n/a"),IFERROR(INDEX('Salary Cap'!$B$10:$K$39,MATCH($A294,'Salary Cap'!$A$10:$A$39,0),MATCH(""&amp;($B294-1),'Salary Cap'!$B$9:$K$9,0)),"n/a"))</f>
        <v>154114022</v>
      </c>
      <c r="P294" s="115">
        <f>IF($B294=2017,IFERROR(INDEX('Salary Cap'!$C$143:$C$172,MATCH($A294,'Salary Cap'!$A$143:$A$172,0)),"n/a"),IFERROR(INDEX('Salary Cap'!$B$109:$K$138,MATCH($A294,'Salary Cap'!$A$109:$A$138,0),MATCH(""&amp;($B294-1),'Salary Cap'!$B$108:$K$108,0)),"n/a"))</f>
        <v>0</v>
      </c>
      <c r="Q294" s="138">
        <f>IF(OR($B294=2021,$B294=2022),1,0)</f>
        <v>0</v>
      </c>
    </row>
    <row r="295" spans="1:17" x14ac:dyDescent="0.2">
      <c r="A295" s="113" t="str" cm="1">
        <f t="array" ref="A295">INDEX('NBA Valuations'!$A$5:$A$34,INT((ROW()-5)/10)+1)</f>
        <v>Washington Wizards</v>
      </c>
      <c r="B295" s="105">
        <f t="shared" si="8"/>
        <v>2017</v>
      </c>
      <c r="C295" s="106">
        <f>IFERROR(INDEX('NBA Valuations'!$B$5:$K$34,MATCH($A295,'NBA Valuations'!$A$5:$A$34,0),MATCH(""&amp;$B295,'NBA Valuations'!$B$3:$K$3,0)),"n/a")</f>
        <v>1000</v>
      </c>
      <c r="D295" s="106">
        <f>IFERROR(INDEX(Revenue!$B$5:$K$34,MATCH($A295,Revenue!$A$5:$A$34,0),MATCH(""&amp;$B295,Revenue!$B$3:$K$3,0)),"n/a")</f>
        <v>155</v>
      </c>
      <c r="E295" s="106">
        <f>IFERROR(INDEX('Operating Income'!$B$5:$K$34,MATCH($A295,'Operating Income'!$A$5:$A$34,0),MATCH(""&amp;$B295,'Operating Income'!$B$3:$K$3,0)),"n/a")</f>
        <v>6.6</v>
      </c>
      <c r="F295" s="107">
        <f>IFERROR(INDEX('Market Size'!$L$5:$L$34,MATCH($A295,'Market Size'!$A$5:$A$34,0)),"n/a")</f>
        <v>6260638</v>
      </c>
      <c r="G295" s="108" t="str">
        <f>IFERROR(INDEX('Market Size'!$B$38:$K$67,MATCH($A295,'Market Size'!$A$38:$A$67,0),MATCH(""&amp;($B295-1),'Market Size'!$B$36:$K$36,0)),"n/a")</f>
        <v>n/a</v>
      </c>
      <c r="H295" s="108">
        <f>IFERROR(INDEX(Arena!$B$38:$K$67,MATCH($A295,Arena!$A$38:$A$67,0),MATCH(""&amp;$B295,Arena!$B$36:$K$36,0)),"n/a")</f>
        <v>1997</v>
      </c>
      <c r="I295" s="136" t="str">
        <f>IFERROR(INDEX(Arena!$B$71:$K$100,MATCH($A295,Arena!$A$71:$A$100,0),MATCH(""&amp;$B295,Arena!$B$69:$K$69,0)),"n/a")</f>
        <v>Y</v>
      </c>
      <c r="J295" s="137">
        <f>IF(ISNUMBER($H295),($B295-1)-$H295,"n/a")</f>
        <v>19</v>
      </c>
      <c r="K295" s="108">
        <f>IF($B295=2017,IFERROR(INDEX('Team Performance'!$B$241:$B$270,MATCH($A295,'Team Performance'!$A$241:$A$270,0)),"n/a"),IFERROR(INDEX('Team Performance'!$B$6:$K$35,MATCH($A295,'Team Performance'!$A$6:$A$35,0),MATCH(($B295-2)&amp;"-"&amp;RIGHT($B295-1,2),'Team Performance'!$B$5:$K$5,0)),"n/a"))</f>
        <v>41</v>
      </c>
      <c r="L295" s="108">
        <f>IF($B295=2017,IFERROR(INDEX('Team Performance'!$C$241:$C$270,MATCH($A295,'Team Performance'!$A$241:$A$270,0)),"n/a"),IFERROR(INDEX('Team Performance'!$B$39:$K$68,MATCH($A295,'Team Performance'!$A$39:$A$68,0),MATCH(($B295-2)&amp;"-"&amp;RIGHT($B295-1,2),'Team Performance'!$B$38:$K$38,0)),"n/a"))</f>
        <v>41</v>
      </c>
      <c r="M295" s="109">
        <f t="shared" si="9"/>
        <v>0.5</v>
      </c>
      <c r="N295" s="108">
        <f>IF($B295=2017,IFERROR(INDEX('Team Performance'!$E$241:$E$270,MATCH($A295,'Team Performance'!$A$241:$A$270,0)),"n/a"),IFERROR(INDEX('Team Performance'!$B$140:$K$169,MATCH($A295,'Team Performance'!$A$140:$A$169,0),MATCH(($B295-2)&amp;"-"&amp;RIGHT($B295-1,2),'Team Performance'!$B$139:$K$139,0)),"n/a"))</f>
        <v>0</v>
      </c>
      <c r="O295" s="110">
        <f>IF($B295=2017,IFERROR(INDEX('Salary Cap'!$B$143:$B$172,MATCH($A295,'Salary Cap'!$A$143:$A$172,0)),"n/a"),IFERROR(INDEX('Salary Cap'!$B$10:$K$39,MATCH($A295,'Salary Cap'!$A$10:$A$39,0),MATCH(""&amp;($B295-1),'Salary Cap'!$B$9:$K$9,0)),"n/a"))</f>
        <v>84291562</v>
      </c>
      <c r="P295" s="115">
        <f>IF($B295=2017,IFERROR(INDEX('Salary Cap'!$C$143:$C$172,MATCH($A295,'Salary Cap'!$A$143:$A$172,0)),"n/a"),IFERROR(INDEX('Salary Cap'!$B$109:$K$138,MATCH($A295,'Salary Cap'!$A$109:$A$138,0),MATCH(""&amp;($B295-1),'Salary Cap'!$B$108:$K$108,0)),"n/a"))</f>
        <v>0</v>
      </c>
      <c r="Q295" s="138">
        <f>IF(OR($B295=2021,$B295=2022),1,0)</f>
        <v>0</v>
      </c>
    </row>
    <row r="296" spans="1:17" x14ac:dyDescent="0.2">
      <c r="A296" s="113" t="str" cm="1">
        <f t="array" ref="A296">INDEX('NBA Valuations'!$A$5:$A$34,INT((ROW()-5)/10)+1)</f>
        <v>Washington Wizards</v>
      </c>
      <c r="B296" s="105">
        <f t="shared" si="8"/>
        <v>2018</v>
      </c>
      <c r="C296" s="106">
        <f>IFERROR(INDEX('NBA Valuations'!$B$5:$K$34,MATCH($A296,'NBA Valuations'!$A$5:$A$34,0),MATCH(""&amp;$B296,'NBA Valuations'!$B$3:$K$3,0)),"n/a")</f>
        <v>1400</v>
      </c>
      <c r="D296" s="106">
        <f>IFERROR(INDEX(Revenue!$B$5:$K$34,MATCH($A296,Revenue!$A$5:$A$34,0),MATCH(""&amp;$B296,Revenue!$B$3:$K$3,0)),"n/a")</f>
        <v>222</v>
      </c>
      <c r="E296" s="106">
        <f>IFERROR(INDEX('Operating Income'!$B$5:$K$34,MATCH($A296,'Operating Income'!$A$5:$A$34,0),MATCH(""&amp;$B296,'Operating Income'!$B$3:$K$3,0)),"n/a")</f>
        <v>21</v>
      </c>
      <c r="F296" s="107">
        <f>IFERROR(INDEX('Market Size'!$L$5:$L$34,MATCH($A296,'Market Size'!$A$5:$A$34,0)),"n/a")</f>
        <v>6260638</v>
      </c>
      <c r="G296" s="108" t="str">
        <f>IFERROR(INDEX('Market Size'!$B$38:$K$67,MATCH($A296,'Market Size'!$A$38:$A$67,0),MATCH(""&amp;($B296-1),'Market Size'!$B$36:$K$36,0)),"n/a")</f>
        <v>n/a</v>
      </c>
      <c r="H296" s="108">
        <f>IFERROR(INDEX(Arena!$B$38:$K$67,MATCH($A296,Arena!$A$38:$A$67,0),MATCH(""&amp;$B296,Arena!$B$36:$K$36,0)),"n/a")</f>
        <v>1997</v>
      </c>
      <c r="I296" s="136" t="str">
        <f>IFERROR(INDEX(Arena!$B$71:$K$100,MATCH($A296,Arena!$A$71:$A$100,0),MATCH(""&amp;$B296,Arena!$B$69:$K$69,0)),"n/a")</f>
        <v>Y</v>
      </c>
      <c r="J296" s="137">
        <f>IF(ISNUMBER($H296),($B296-1)-$H296,"n/a")</f>
        <v>20</v>
      </c>
      <c r="K296" s="108">
        <f>IF($B296=2017,IFERROR(INDEX('Team Performance'!$B$241:$B$270,MATCH($A296,'Team Performance'!$A$241:$A$270,0)),"n/a"),IFERROR(INDEX('Team Performance'!$B$6:$K$35,MATCH($A296,'Team Performance'!$A$6:$A$35,0),MATCH(($B296-2)&amp;"-"&amp;RIGHT($B296-1,2),'Team Performance'!$B$5:$K$5,0)),"n/a"))</f>
        <v>49</v>
      </c>
      <c r="L296" s="108">
        <f>IF($B296=2017,IFERROR(INDEX('Team Performance'!$C$241:$C$270,MATCH($A296,'Team Performance'!$A$241:$A$270,0)),"n/a"),IFERROR(INDEX('Team Performance'!$B$39:$K$68,MATCH($A296,'Team Performance'!$A$39:$A$68,0),MATCH(($B296-2)&amp;"-"&amp;RIGHT($B296-1,2),'Team Performance'!$B$38:$K$38,0)),"n/a"))</f>
        <v>33</v>
      </c>
      <c r="M296" s="109">
        <f t="shared" si="9"/>
        <v>0.59756097560975607</v>
      </c>
      <c r="N296" s="108">
        <f>IF($B296=2017,IFERROR(INDEX('Team Performance'!$E$241:$E$270,MATCH($A296,'Team Performance'!$A$241:$A$270,0)),"n/a"),IFERROR(INDEX('Team Performance'!$B$140:$K$169,MATCH($A296,'Team Performance'!$A$140:$A$169,0),MATCH(($B296-2)&amp;"-"&amp;RIGHT($B296-1,2),'Team Performance'!$B$139:$K$139,0)),"n/a"))</f>
        <v>2</v>
      </c>
      <c r="O296" s="110">
        <f>IF($B296=2017,IFERROR(INDEX('Salary Cap'!$B$143:$B$172,MATCH($A296,'Salary Cap'!$A$143:$A$172,0)),"n/a"),IFERROR(INDEX('Salary Cap'!$B$10:$K$39,MATCH($A296,'Salary Cap'!$A$10:$A$39,0),MATCH(""&amp;($B296-1),'Salary Cap'!$B$9:$K$9,0)),"n/a"))</f>
        <v>103211636</v>
      </c>
      <c r="P296" s="115">
        <f>IF($B296=2017,IFERROR(INDEX('Salary Cap'!$C$143:$C$172,MATCH($A296,'Salary Cap'!$A$143:$A$172,0)),"n/a"),IFERROR(INDEX('Salary Cap'!$B$109:$K$138,MATCH($A296,'Salary Cap'!$A$109:$A$138,0),MATCH(""&amp;($B296-1),'Salary Cap'!$B$108:$K$108,0)),"n/a"))</f>
        <v>0</v>
      </c>
      <c r="Q296" s="138">
        <f>IF(OR($B296=2021,$B296=2022),1,0)</f>
        <v>0</v>
      </c>
    </row>
    <row r="297" spans="1:17" x14ac:dyDescent="0.2">
      <c r="A297" s="113" t="str" cm="1">
        <f t="array" ref="A297">INDEX('NBA Valuations'!$A$5:$A$34,INT((ROW()-5)/10)+1)</f>
        <v>Washington Wizards</v>
      </c>
      <c r="B297" s="105">
        <f t="shared" si="8"/>
        <v>2019</v>
      </c>
      <c r="C297" s="106">
        <f>IFERROR(INDEX('NBA Valuations'!$B$5:$K$34,MATCH($A297,'NBA Valuations'!$A$5:$A$34,0),MATCH(""&amp;$B297,'NBA Valuations'!$B$3:$K$3,0)),"n/a")</f>
        <v>1600</v>
      </c>
      <c r="D297" s="106">
        <f>IFERROR(INDEX(Revenue!$B$5:$K$34,MATCH($A297,Revenue!$A$5:$A$34,0),MATCH(""&amp;$B297,Revenue!$B$3:$K$3,0)),"n/a")</f>
        <v>255</v>
      </c>
      <c r="E297" s="106">
        <f>IFERROR(INDEX('Operating Income'!$B$5:$K$34,MATCH($A297,'Operating Income'!$A$5:$A$34,0),MATCH(""&amp;$B297,'Operating Income'!$B$3:$K$3,0)),"n/a")</f>
        <v>34</v>
      </c>
      <c r="F297" s="107">
        <f>IFERROR(INDEX('Market Size'!$L$5:$L$34,MATCH($A297,'Market Size'!$A$5:$A$34,0)),"n/a")</f>
        <v>6260638</v>
      </c>
      <c r="G297" s="108" t="str">
        <f>IFERROR(INDEX('Market Size'!$B$38:$K$67,MATCH($A297,'Market Size'!$A$38:$A$67,0),MATCH(""&amp;($B297-1),'Market Size'!$B$36:$K$36,0)),"n/a")</f>
        <v>n/a</v>
      </c>
      <c r="H297" s="108">
        <f>IFERROR(INDEX(Arena!$B$38:$K$67,MATCH($A297,Arena!$A$38:$A$67,0),MATCH(""&amp;$B297,Arena!$B$36:$K$36,0)),"n/a")</f>
        <v>1997</v>
      </c>
      <c r="I297" s="136" t="str">
        <f>IFERROR(INDEX(Arena!$B$71:$K$100,MATCH($A297,Arena!$A$71:$A$100,0),MATCH(""&amp;$B297,Arena!$B$69:$K$69,0)),"n/a")</f>
        <v>Y</v>
      </c>
      <c r="J297" s="137">
        <f>IF(ISNUMBER($H297),($B297-1)-$H297,"n/a")</f>
        <v>21</v>
      </c>
      <c r="K297" s="108">
        <f>IF($B297=2017,IFERROR(INDEX('Team Performance'!$B$241:$B$270,MATCH($A297,'Team Performance'!$A$241:$A$270,0)),"n/a"),IFERROR(INDEX('Team Performance'!$B$6:$K$35,MATCH($A297,'Team Performance'!$A$6:$A$35,0),MATCH(($B297-2)&amp;"-"&amp;RIGHT($B297-1,2),'Team Performance'!$B$5:$K$5,0)),"n/a"))</f>
        <v>43</v>
      </c>
      <c r="L297" s="108">
        <f>IF($B297=2017,IFERROR(INDEX('Team Performance'!$C$241:$C$270,MATCH($A297,'Team Performance'!$A$241:$A$270,0)),"n/a"),IFERROR(INDEX('Team Performance'!$B$39:$K$68,MATCH($A297,'Team Performance'!$A$39:$A$68,0),MATCH(($B297-2)&amp;"-"&amp;RIGHT($B297-1,2),'Team Performance'!$B$38:$K$38,0)),"n/a"))</f>
        <v>39</v>
      </c>
      <c r="M297" s="109">
        <f t="shared" si="9"/>
        <v>0.52439024390243905</v>
      </c>
      <c r="N297" s="108">
        <f>IF($B297=2017,IFERROR(INDEX('Team Performance'!$E$241:$E$270,MATCH($A297,'Team Performance'!$A$241:$A$270,0)),"n/a"),IFERROR(INDEX('Team Performance'!$B$140:$K$169,MATCH($A297,'Team Performance'!$A$140:$A$169,0),MATCH(($B297-2)&amp;"-"&amp;RIGHT($B297-1,2),'Team Performance'!$B$139:$K$139,0)),"n/a"))</f>
        <v>1</v>
      </c>
      <c r="O297" s="110">
        <f>IF($B297=2017,IFERROR(INDEX('Salary Cap'!$B$143:$B$172,MATCH($A297,'Salary Cap'!$A$143:$A$172,0)),"n/a"),IFERROR(INDEX('Salary Cap'!$B$10:$K$39,MATCH($A297,'Salary Cap'!$A$10:$A$39,0),MATCH(""&amp;($B297-1),'Salary Cap'!$B$9:$K$9,0)),"n/a"))</f>
        <v>124114043</v>
      </c>
      <c r="P297" s="115">
        <f>IF($B297=2017,IFERROR(INDEX('Salary Cap'!$C$143:$C$172,MATCH($A297,'Salary Cap'!$A$143:$A$172,0)),"n/a"),IFERROR(INDEX('Salary Cap'!$B$109:$K$138,MATCH($A297,'Salary Cap'!$A$109:$A$138,0),MATCH(""&amp;($B297-1),'Salary Cap'!$B$108:$K$108,0)),"n/a"))</f>
        <v>7000000</v>
      </c>
      <c r="Q297" s="138">
        <f>IF(OR($B297=2021,$B297=2022),1,0)</f>
        <v>0</v>
      </c>
    </row>
    <row r="298" spans="1:17" x14ac:dyDescent="0.2">
      <c r="A298" s="113" t="str" cm="1">
        <f t="array" ref="A298">INDEX('NBA Valuations'!$A$5:$A$34,INT((ROW()-5)/10)+1)</f>
        <v>Washington Wizards</v>
      </c>
      <c r="B298" s="105">
        <f t="shared" si="8"/>
        <v>2020</v>
      </c>
      <c r="C298" s="106">
        <f>IFERROR(INDEX('NBA Valuations'!$B$5:$K$34,MATCH($A298,'NBA Valuations'!$A$5:$A$34,0),MATCH(""&amp;$B298,'NBA Valuations'!$B$3:$K$3,0)),"n/a")</f>
        <v>1800</v>
      </c>
      <c r="D298" s="106">
        <f>IFERROR(INDEX(Revenue!$B$5:$K$34,MATCH($A298,Revenue!$A$5:$A$34,0),MATCH(""&amp;$B298,Revenue!$B$3:$K$3,0)),"n/a")</f>
        <v>269</v>
      </c>
      <c r="E298" s="106">
        <f>IFERROR(INDEX('Operating Income'!$B$5:$K$34,MATCH($A298,'Operating Income'!$A$5:$A$34,0),MATCH(""&amp;$B298,'Operating Income'!$B$3:$K$3,0)),"n/a")</f>
        <v>55</v>
      </c>
      <c r="F298" s="107">
        <f>IFERROR(INDEX('Market Size'!$L$5:$L$34,MATCH($A298,'Market Size'!$A$5:$A$34,0)),"n/a")</f>
        <v>6260638</v>
      </c>
      <c r="G298" s="108" t="str">
        <f>IFERROR(INDEX('Market Size'!$B$38:$K$67,MATCH($A298,'Market Size'!$A$38:$A$67,0),MATCH(""&amp;($B298-1),'Market Size'!$B$36:$K$36,0)),"n/a")</f>
        <v>n/a</v>
      </c>
      <c r="H298" s="108">
        <f>IFERROR(INDEX(Arena!$B$38:$K$67,MATCH($A298,Arena!$A$38:$A$67,0),MATCH(""&amp;$B298,Arena!$B$36:$K$36,0)),"n/a")</f>
        <v>1997</v>
      </c>
      <c r="I298" s="136" t="str">
        <f>IFERROR(INDEX(Arena!$B$71:$K$100,MATCH($A298,Arena!$A$71:$A$100,0),MATCH(""&amp;$B298,Arena!$B$69:$K$69,0)),"n/a")</f>
        <v>Y</v>
      </c>
      <c r="J298" s="137">
        <f>IF(ISNUMBER($H298),($B298-1)-$H298,"n/a")</f>
        <v>22</v>
      </c>
      <c r="K298" s="108">
        <f>IF($B298=2017,IFERROR(INDEX('Team Performance'!$B$241:$B$270,MATCH($A298,'Team Performance'!$A$241:$A$270,0)),"n/a"),IFERROR(INDEX('Team Performance'!$B$6:$K$35,MATCH($A298,'Team Performance'!$A$6:$A$35,0),MATCH(($B298-2)&amp;"-"&amp;RIGHT($B298-1,2),'Team Performance'!$B$5:$K$5,0)),"n/a"))</f>
        <v>32</v>
      </c>
      <c r="L298" s="108">
        <f>IF($B298=2017,IFERROR(INDEX('Team Performance'!$C$241:$C$270,MATCH($A298,'Team Performance'!$A$241:$A$270,0)),"n/a"),IFERROR(INDEX('Team Performance'!$B$39:$K$68,MATCH($A298,'Team Performance'!$A$39:$A$68,0),MATCH(($B298-2)&amp;"-"&amp;RIGHT($B298-1,2),'Team Performance'!$B$38:$K$38,0)),"n/a"))</f>
        <v>50</v>
      </c>
      <c r="M298" s="109">
        <f t="shared" si="9"/>
        <v>0.3902439024390244</v>
      </c>
      <c r="N298" s="108">
        <f>IF($B298=2017,IFERROR(INDEX('Team Performance'!$E$241:$E$270,MATCH($A298,'Team Performance'!$A$241:$A$270,0)),"n/a"),IFERROR(INDEX('Team Performance'!$B$140:$K$169,MATCH($A298,'Team Performance'!$A$140:$A$169,0),MATCH(($B298-2)&amp;"-"&amp;RIGHT($B298-1,2),'Team Performance'!$B$139:$K$139,0)),"n/a"))</f>
        <v>0</v>
      </c>
      <c r="O298" s="110">
        <f>IF($B298=2017,IFERROR(INDEX('Salary Cap'!$B$143:$B$172,MATCH($A298,'Salary Cap'!$A$143:$A$172,0)),"n/a"),IFERROR(INDEX('Salary Cap'!$B$10:$K$39,MATCH($A298,'Salary Cap'!$A$10:$A$39,0),MATCH(""&amp;($B298-1),'Salary Cap'!$B$9:$K$9,0)),"n/a"))</f>
        <v>123613751</v>
      </c>
      <c r="P298" s="115">
        <f>IF($B298=2017,IFERROR(INDEX('Salary Cap'!$C$143:$C$172,MATCH($A298,'Salary Cap'!$A$143:$A$172,0)),"n/a"),IFERROR(INDEX('Salary Cap'!$B$109:$K$138,MATCH($A298,'Salary Cap'!$A$109:$A$138,0),MATCH(""&amp;($B298-1),'Salary Cap'!$B$108:$K$108,0)),"n/a"))</f>
        <v>0</v>
      </c>
      <c r="Q298" s="138">
        <f>IF(OR($B298=2021,$B298=2022),1,0)</f>
        <v>0</v>
      </c>
    </row>
    <row r="299" spans="1:17" x14ac:dyDescent="0.2">
      <c r="A299" s="113" t="str" cm="1">
        <f t="array" ref="A299">INDEX('NBA Valuations'!$A$5:$A$34,INT((ROW()-5)/10)+1)</f>
        <v>Washington Wizards</v>
      </c>
      <c r="B299" s="105">
        <f t="shared" si="8"/>
        <v>2021</v>
      </c>
      <c r="C299" s="106">
        <f>IFERROR(INDEX('NBA Valuations'!$B$5:$K$34,MATCH($A299,'NBA Valuations'!$A$5:$A$34,0),MATCH(""&amp;$B299,'NBA Valuations'!$B$3:$K$3,0)),"n/a")</f>
        <v>1800</v>
      </c>
      <c r="D299" s="106">
        <f>IFERROR(INDEX(Revenue!$B$5:$K$34,MATCH($A299,Revenue!$A$5:$A$34,0),MATCH(""&amp;$B299,Revenue!$B$3:$K$3,0)),"n/a")</f>
        <v>231</v>
      </c>
      <c r="E299" s="106">
        <f>IFERROR(INDEX('Operating Income'!$B$5:$K$34,MATCH($A299,'Operating Income'!$A$5:$A$34,0),MATCH(""&amp;$B299,'Operating Income'!$B$3:$K$3,0)),"n/a")</f>
        <v>39</v>
      </c>
      <c r="F299" s="107">
        <f>IFERROR(INDEX('Market Size'!$L$5:$L$34,MATCH($A299,'Market Size'!$A$5:$A$34,0)),"n/a")</f>
        <v>6260638</v>
      </c>
      <c r="G299" s="108" t="str">
        <f>IFERROR(INDEX('Market Size'!$B$38:$K$67,MATCH($A299,'Market Size'!$A$38:$A$67,0),MATCH(""&amp;($B299-1),'Market Size'!$B$36:$K$36,0)),"n/a")</f>
        <v>n/a</v>
      </c>
      <c r="H299" s="108">
        <f>IFERROR(INDEX(Arena!$B$38:$K$67,MATCH($A299,Arena!$A$38:$A$67,0),MATCH(""&amp;$B299,Arena!$B$36:$K$36,0)),"n/a")</f>
        <v>1997</v>
      </c>
      <c r="I299" s="136" t="str">
        <f>IFERROR(INDEX(Arena!$B$71:$K$100,MATCH($A299,Arena!$A$71:$A$100,0),MATCH(""&amp;$B299,Arena!$B$69:$K$69,0)),"n/a")</f>
        <v>Y</v>
      </c>
      <c r="J299" s="137">
        <f>IF(ISNUMBER($H299),($B299-1)-$H299,"n/a")</f>
        <v>23</v>
      </c>
      <c r="K299" s="108">
        <f>IF($B299=2017,IFERROR(INDEX('Team Performance'!$B$241:$B$270,MATCH($A299,'Team Performance'!$A$241:$A$270,0)),"n/a"),IFERROR(INDEX('Team Performance'!$B$6:$K$35,MATCH($A299,'Team Performance'!$A$6:$A$35,0),MATCH(($B299-2)&amp;"-"&amp;RIGHT($B299-1,2),'Team Performance'!$B$5:$K$5,0)),"n/a"))</f>
        <v>25</v>
      </c>
      <c r="L299" s="108">
        <f>IF($B299=2017,IFERROR(INDEX('Team Performance'!$C$241:$C$270,MATCH($A299,'Team Performance'!$A$241:$A$270,0)),"n/a"),IFERROR(INDEX('Team Performance'!$B$39:$K$68,MATCH($A299,'Team Performance'!$A$39:$A$68,0),MATCH(($B299-2)&amp;"-"&amp;RIGHT($B299-1,2),'Team Performance'!$B$38:$K$38,0)),"n/a"))</f>
        <v>47</v>
      </c>
      <c r="M299" s="109">
        <f t="shared" si="9"/>
        <v>0.34722222222222221</v>
      </c>
      <c r="N299" s="108">
        <f>IF($B299=2017,IFERROR(INDEX('Team Performance'!$E$241:$E$270,MATCH($A299,'Team Performance'!$A$241:$A$270,0)),"n/a"),IFERROR(INDEX('Team Performance'!$B$140:$K$169,MATCH($A299,'Team Performance'!$A$140:$A$169,0),MATCH(($B299-2)&amp;"-"&amp;RIGHT($B299-1,2),'Team Performance'!$B$139:$K$139,0)),"n/a"))</f>
        <v>0</v>
      </c>
      <c r="O299" s="110">
        <f>IF($B299=2017,IFERROR(INDEX('Salary Cap'!$B$143:$B$172,MATCH($A299,'Salary Cap'!$A$143:$A$172,0)),"n/a"),IFERROR(INDEX('Salary Cap'!$B$10:$K$39,MATCH($A299,'Salary Cap'!$A$10:$A$39,0),MATCH(""&amp;($B299-1),'Salary Cap'!$B$9:$K$9,0)),"n/a"))</f>
        <v>97584993</v>
      </c>
      <c r="P299" s="115">
        <f>IF($B299=2017,IFERROR(INDEX('Salary Cap'!$C$143:$C$172,MATCH($A299,'Salary Cap'!$A$143:$A$172,0)),"n/a"),IFERROR(INDEX('Salary Cap'!$B$109:$K$138,MATCH($A299,'Salary Cap'!$A$109:$A$138,0),MATCH(""&amp;($B299-1),'Salary Cap'!$B$108:$K$108,0)),"n/a"))</f>
        <v>0</v>
      </c>
      <c r="Q299" s="138">
        <f>IF(OR($B299=2021,$B299=2022),1,0)</f>
        <v>1</v>
      </c>
    </row>
    <row r="300" spans="1:17" x14ac:dyDescent="0.2">
      <c r="A300" s="113" t="str" cm="1">
        <f t="array" ref="A300">INDEX('NBA Valuations'!$A$5:$A$34,INT((ROW()-5)/10)+1)</f>
        <v>Washington Wizards</v>
      </c>
      <c r="B300" s="105">
        <f t="shared" si="8"/>
        <v>2022</v>
      </c>
      <c r="C300" s="106">
        <f>IFERROR(INDEX('NBA Valuations'!$B$5:$K$34,MATCH($A300,'NBA Valuations'!$A$5:$A$34,0),MATCH(""&amp;$B300,'NBA Valuations'!$B$3:$K$3,0)),"n/a")</f>
        <v>1930</v>
      </c>
      <c r="D300" s="106">
        <f>IFERROR(INDEX(Revenue!$B$5:$K$34,MATCH($A300,Revenue!$A$5:$A$34,0),MATCH(""&amp;$B300,Revenue!$B$3:$K$3,0)),"n/a")</f>
        <v>213</v>
      </c>
      <c r="E300" s="106">
        <f>IFERROR(INDEX('Operating Income'!$B$5:$K$34,MATCH($A300,'Operating Income'!$A$5:$A$34,0),MATCH(""&amp;$B300,'Operating Income'!$B$3:$K$3,0)),"n/a")</f>
        <v>15</v>
      </c>
      <c r="F300" s="107">
        <f>IFERROR(INDEX('Market Size'!$L$5:$L$34,MATCH($A300,'Market Size'!$A$5:$A$34,0)),"n/a")</f>
        <v>6260638</v>
      </c>
      <c r="G300" s="108" t="str">
        <f>IFERROR(INDEX('Market Size'!$B$38:$K$67,MATCH($A300,'Market Size'!$A$38:$A$67,0),MATCH(""&amp;($B300-1),'Market Size'!$B$36:$K$36,0)),"n/a")</f>
        <v>n/a</v>
      </c>
      <c r="H300" s="108">
        <f>IFERROR(INDEX(Arena!$B$38:$K$67,MATCH($A300,Arena!$A$38:$A$67,0),MATCH(""&amp;$B300,Arena!$B$36:$K$36,0)),"n/a")</f>
        <v>1997</v>
      </c>
      <c r="I300" s="136" t="str">
        <f>IFERROR(INDEX(Arena!$B$71:$K$100,MATCH($A300,Arena!$A$71:$A$100,0),MATCH(""&amp;$B300,Arena!$B$69:$K$69,0)),"n/a")</f>
        <v>Y</v>
      </c>
      <c r="J300" s="137">
        <f>IF(ISNUMBER($H300),($B300-1)-$H300,"n/a")</f>
        <v>24</v>
      </c>
      <c r="K300" s="108">
        <f>IF($B300=2017,IFERROR(INDEX('Team Performance'!$B$241:$B$270,MATCH($A300,'Team Performance'!$A$241:$A$270,0)),"n/a"),IFERROR(INDEX('Team Performance'!$B$6:$K$35,MATCH($A300,'Team Performance'!$A$6:$A$35,0),MATCH(($B300-2)&amp;"-"&amp;RIGHT($B300-1,2),'Team Performance'!$B$5:$K$5,0)),"n/a"))</f>
        <v>34</v>
      </c>
      <c r="L300" s="108">
        <f>IF($B300=2017,IFERROR(INDEX('Team Performance'!$C$241:$C$270,MATCH($A300,'Team Performance'!$A$241:$A$270,0)),"n/a"),IFERROR(INDEX('Team Performance'!$B$39:$K$68,MATCH($A300,'Team Performance'!$A$39:$A$68,0),MATCH(($B300-2)&amp;"-"&amp;RIGHT($B300-1,2),'Team Performance'!$B$38:$K$38,0)),"n/a"))</f>
        <v>38</v>
      </c>
      <c r="M300" s="109">
        <f t="shared" si="9"/>
        <v>0.47222222222222221</v>
      </c>
      <c r="N300" s="108">
        <f>IF($B300=2017,IFERROR(INDEX('Team Performance'!$E$241:$E$270,MATCH($A300,'Team Performance'!$A$241:$A$270,0)),"n/a"),IFERROR(INDEX('Team Performance'!$B$140:$K$169,MATCH($A300,'Team Performance'!$A$140:$A$169,0),MATCH(($B300-2)&amp;"-"&amp;RIGHT($B300-1,2),'Team Performance'!$B$139:$K$139,0)),"n/a"))</f>
        <v>1</v>
      </c>
      <c r="O300" s="110">
        <f>IF($B300=2017,IFERROR(INDEX('Salary Cap'!$B$143:$B$172,MATCH($A300,'Salary Cap'!$A$143:$A$172,0)),"n/a"),IFERROR(INDEX('Salary Cap'!$B$10:$K$39,MATCH($A300,'Salary Cap'!$A$10:$A$39,0),MATCH(""&amp;($B300-1),'Salary Cap'!$B$9:$K$9,0)),"n/a"))</f>
        <v>130577328</v>
      </c>
      <c r="P300" s="115">
        <f>IF($B300=2017,IFERROR(INDEX('Salary Cap'!$C$143:$C$172,MATCH($A300,'Salary Cap'!$A$143:$A$172,0)),"n/a"),IFERROR(INDEX('Salary Cap'!$B$109:$K$138,MATCH($A300,'Salary Cap'!$A$109:$A$138,0),MATCH(""&amp;($B300-1),'Salary Cap'!$B$108:$K$108,0)),"n/a"))</f>
        <v>0</v>
      </c>
      <c r="Q300" s="138">
        <f>IF(OR($B300=2021,$B300=2022),1,0)</f>
        <v>1</v>
      </c>
    </row>
    <row r="301" spans="1:17" x14ac:dyDescent="0.2">
      <c r="A301" s="113" t="str" cm="1">
        <f t="array" ref="A301">INDEX('NBA Valuations'!$A$5:$A$34,INT((ROW()-5)/10)+1)</f>
        <v>Washington Wizards</v>
      </c>
      <c r="B301" s="105">
        <f t="shared" si="8"/>
        <v>2023</v>
      </c>
      <c r="C301" s="106">
        <f>IFERROR(INDEX('NBA Valuations'!$B$5:$K$34,MATCH($A301,'NBA Valuations'!$A$5:$A$34,0),MATCH(""&amp;$B301,'NBA Valuations'!$B$3:$K$3,0)),"n/a")</f>
        <v>2500</v>
      </c>
      <c r="D301" s="106">
        <f>IFERROR(INDEX(Revenue!$B$5:$K$34,MATCH($A301,Revenue!$A$5:$A$34,0),MATCH(""&amp;$B301,Revenue!$B$3:$K$3,0)),"n/a")</f>
        <v>291</v>
      </c>
      <c r="E301" s="106">
        <f>IFERROR(INDEX('Operating Income'!$B$5:$K$34,MATCH($A301,'Operating Income'!$A$5:$A$34,0),MATCH(""&amp;$B301,'Operating Income'!$B$3:$K$3,0)),"n/a")</f>
        <v>90</v>
      </c>
      <c r="F301" s="107">
        <f>IFERROR(INDEX('Market Size'!$L$5:$L$34,MATCH($A301,'Market Size'!$A$5:$A$34,0)),"n/a")</f>
        <v>6260638</v>
      </c>
      <c r="G301" s="108" t="str">
        <f>IFERROR(INDEX('Market Size'!$B$38:$K$67,MATCH($A301,'Market Size'!$A$38:$A$67,0),MATCH(""&amp;($B301-1),'Market Size'!$B$36:$K$36,0)),"n/a")</f>
        <v>n/a</v>
      </c>
      <c r="H301" s="108">
        <f>IFERROR(INDEX(Arena!$B$38:$K$67,MATCH($A301,Arena!$A$38:$A$67,0),MATCH(""&amp;$B301,Arena!$B$36:$K$36,0)),"n/a")</f>
        <v>1997</v>
      </c>
      <c r="I301" s="136" t="str">
        <f>IFERROR(INDEX(Arena!$B$71:$K$100,MATCH($A301,Arena!$A$71:$A$100,0),MATCH(""&amp;$B301,Arena!$B$69:$K$69,0)),"n/a")</f>
        <v>Y</v>
      </c>
      <c r="J301" s="137">
        <f>IF(ISNUMBER($H301),($B301-1)-$H301,"n/a")</f>
        <v>25</v>
      </c>
      <c r="K301" s="108">
        <f>IF($B301=2017,IFERROR(INDEX('Team Performance'!$B$241:$B$270,MATCH($A301,'Team Performance'!$A$241:$A$270,0)),"n/a"),IFERROR(INDEX('Team Performance'!$B$6:$K$35,MATCH($A301,'Team Performance'!$A$6:$A$35,0),MATCH(($B301-2)&amp;"-"&amp;RIGHT($B301-1,2),'Team Performance'!$B$5:$K$5,0)),"n/a"))</f>
        <v>35</v>
      </c>
      <c r="L301" s="108">
        <f>IF($B301=2017,IFERROR(INDEX('Team Performance'!$C$241:$C$270,MATCH($A301,'Team Performance'!$A$241:$A$270,0)),"n/a"),IFERROR(INDEX('Team Performance'!$B$39:$K$68,MATCH($A301,'Team Performance'!$A$39:$A$68,0),MATCH(($B301-2)&amp;"-"&amp;RIGHT($B301-1,2),'Team Performance'!$B$38:$K$38,0)),"n/a"))</f>
        <v>47</v>
      </c>
      <c r="M301" s="109">
        <f t="shared" si="9"/>
        <v>0.42682926829268292</v>
      </c>
      <c r="N301" s="108">
        <f>IF($B301=2017,IFERROR(INDEX('Team Performance'!$E$241:$E$270,MATCH($A301,'Team Performance'!$A$241:$A$270,0)),"n/a"),IFERROR(INDEX('Team Performance'!$B$140:$K$169,MATCH($A301,'Team Performance'!$A$140:$A$169,0),MATCH(($B301-2)&amp;"-"&amp;RIGHT($B301-1,2),'Team Performance'!$B$139:$K$139,0)),"n/a"))</f>
        <v>0</v>
      </c>
      <c r="O301" s="110">
        <f>IF($B301=2017,IFERROR(INDEX('Salary Cap'!$B$143:$B$172,MATCH($A301,'Salary Cap'!$A$143:$A$172,0)),"n/a"),IFERROR(INDEX('Salary Cap'!$B$10:$K$39,MATCH($A301,'Salary Cap'!$A$10:$A$39,0),MATCH(""&amp;($B301-1),'Salary Cap'!$B$9:$K$9,0)),"n/a"))</f>
        <v>126147247</v>
      </c>
      <c r="P301" s="115">
        <f>IF($B301=2017,IFERROR(INDEX('Salary Cap'!$C$143:$C$172,MATCH($A301,'Salary Cap'!$A$143:$A$172,0)),"n/a"),IFERROR(INDEX('Salary Cap'!$B$109:$K$138,MATCH($A301,'Salary Cap'!$A$109:$A$138,0),MATCH(""&amp;($B301-1),'Salary Cap'!$B$108:$K$108,0)),"n/a"))</f>
        <v>0</v>
      </c>
      <c r="Q301" s="138">
        <f>IF(OR($B301=2021,$B301=2022),1,0)</f>
        <v>0</v>
      </c>
    </row>
    <row r="302" spans="1:17" x14ac:dyDescent="0.2">
      <c r="A302" s="113" t="str" cm="1">
        <f t="array" ref="A302">INDEX('NBA Valuations'!$A$5:$A$34,INT((ROW()-5)/10)+1)</f>
        <v>Washington Wizards</v>
      </c>
      <c r="B302" s="105">
        <f t="shared" si="8"/>
        <v>2024</v>
      </c>
      <c r="C302" s="106">
        <f>IFERROR(INDEX('NBA Valuations'!$B$5:$K$34,MATCH($A302,'NBA Valuations'!$A$5:$A$34,0),MATCH(""&amp;$B302,'NBA Valuations'!$B$3:$K$3,0)),"n/a")</f>
        <v>3500</v>
      </c>
      <c r="D302" s="106">
        <f>IFERROR(INDEX(Revenue!$B$5:$K$34,MATCH($A302,Revenue!$A$5:$A$34,0),MATCH(""&amp;$B302,Revenue!$B$3:$K$3,0)),"n/a")</f>
        <v>323</v>
      </c>
      <c r="E302" s="106">
        <f>IFERROR(INDEX('Operating Income'!$B$5:$K$34,MATCH($A302,'Operating Income'!$A$5:$A$34,0),MATCH(""&amp;$B302,'Operating Income'!$B$3:$K$3,0)),"n/a")</f>
        <v>85</v>
      </c>
      <c r="F302" s="107">
        <f>IFERROR(INDEX('Market Size'!$L$5:$L$34,MATCH($A302,'Market Size'!$A$5:$A$34,0)),"n/a")</f>
        <v>6260638</v>
      </c>
      <c r="G302" s="108" t="str">
        <f>IFERROR(INDEX('Market Size'!$B$38:$K$67,MATCH($A302,'Market Size'!$A$38:$A$67,0),MATCH(""&amp;($B302-1),'Market Size'!$B$36:$K$36,0)),"n/a")</f>
        <v>n/a</v>
      </c>
      <c r="H302" s="108">
        <f>IFERROR(INDEX(Arena!$B$38:$K$67,MATCH($A302,Arena!$A$38:$A$67,0),MATCH(""&amp;$B302,Arena!$B$36:$K$36,0)),"n/a")</f>
        <v>1997</v>
      </c>
      <c r="I302" s="136" t="str">
        <f>IFERROR(INDEX(Arena!$B$71:$K$100,MATCH($A302,Arena!$A$71:$A$100,0),MATCH(""&amp;$B302,Arena!$B$69:$K$69,0)),"n/a")</f>
        <v>Y</v>
      </c>
      <c r="J302" s="137">
        <f>IF(ISNUMBER($H302),($B302-1)-$H302,"n/a")</f>
        <v>26</v>
      </c>
      <c r="K302" s="108">
        <f>IF($B302=2017,IFERROR(INDEX('Team Performance'!$B$241:$B$270,MATCH($A302,'Team Performance'!$A$241:$A$270,0)),"n/a"),IFERROR(INDEX('Team Performance'!$B$6:$K$35,MATCH($A302,'Team Performance'!$A$6:$A$35,0),MATCH(($B302-2)&amp;"-"&amp;RIGHT($B302-1,2),'Team Performance'!$B$5:$K$5,0)),"n/a"))</f>
        <v>35</v>
      </c>
      <c r="L302" s="108">
        <f>IF($B302=2017,IFERROR(INDEX('Team Performance'!$C$241:$C$270,MATCH($A302,'Team Performance'!$A$241:$A$270,0)),"n/a"),IFERROR(INDEX('Team Performance'!$B$39:$K$68,MATCH($A302,'Team Performance'!$A$39:$A$68,0),MATCH(($B302-2)&amp;"-"&amp;RIGHT($B302-1,2),'Team Performance'!$B$38:$K$38,0)),"n/a"))</f>
        <v>47</v>
      </c>
      <c r="M302" s="109">
        <f t="shared" si="9"/>
        <v>0.42682926829268292</v>
      </c>
      <c r="N302" s="108">
        <f>IF($B302=2017,IFERROR(INDEX('Team Performance'!$E$241:$E$270,MATCH($A302,'Team Performance'!$A$241:$A$270,0)),"n/a"),IFERROR(INDEX('Team Performance'!$B$140:$K$169,MATCH($A302,'Team Performance'!$A$140:$A$169,0),MATCH(($B302-2)&amp;"-"&amp;RIGHT($B302-1,2),'Team Performance'!$B$139:$K$139,0)),"n/a"))</f>
        <v>0</v>
      </c>
      <c r="O302" s="110">
        <f>IF($B302=2017,IFERROR(INDEX('Salary Cap'!$B$143:$B$172,MATCH($A302,'Salary Cap'!$A$143:$A$172,0)),"n/a"),IFERROR(INDEX('Salary Cap'!$B$10:$K$39,MATCH($A302,'Salary Cap'!$A$10:$A$39,0),MATCH(""&amp;($B302-1),'Salary Cap'!$B$9:$K$9,0)),"n/a"))</f>
        <v>150166106</v>
      </c>
      <c r="P302" s="115">
        <f>IF($B302=2017,IFERROR(INDEX('Salary Cap'!$C$143:$C$172,MATCH($A302,'Salary Cap'!$A$143:$A$172,0)),"n/a"),IFERROR(INDEX('Salary Cap'!$B$109:$K$138,MATCH($A302,'Salary Cap'!$A$109:$A$138,0),MATCH(""&amp;($B302-1),'Salary Cap'!$B$108:$K$108,0)),"n/a"))</f>
        <v>0</v>
      </c>
      <c r="Q302" s="138">
        <f>IF(OR($B302=2021,$B302=2022),1,0)</f>
        <v>0</v>
      </c>
    </row>
    <row r="303" spans="1:17" x14ac:dyDescent="0.2">
      <c r="A303" s="113" t="str" cm="1">
        <f t="array" ref="A303">INDEX('NBA Valuations'!$A$5:$A$34,INT((ROW()-5)/10)+1)</f>
        <v>Washington Wizards</v>
      </c>
      <c r="B303" s="105">
        <f t="shared" si="8"/>
        <v>2025</v>
      </c>
      <c r="C303" s="106">
        <f>IFERROR(INDEX('NBA Valuations'!$B$5:$K$34,MATCH($A303,'NBA Valuations'!$A$5:$A$34,0),MATCH(""&amp;$B303,'NBA Valuations'!$B$3:$K$3,0)),"n/a")</f>
        <v>4100</v>
      </c>
      <c r="D303" s="106">
        <f>IFERROR(INDEX(Revenue!$B$5:$K$34,MATCH($A303,Revenue!$A$5:$A$34,0),MATCH(""&amp;$B303,Revenue!$B$3:$K$3,0)),"n/a")</f>
        <v>362</v>
      </c>
      <c r="E303" s="106">
        <f>IFERROR(INDEX('Operating Income'!$B$5:$K$34,MATCH($A303,'Operating Income'!$A$5:$A$34,0),MATCH(""&amp;$B303,'Operating Income'!$B$3:$K$3,0)),"n/a")</f>
        <v>118</v>
      </c>
      <c r="F303" s="107">
        <f>IFERROR(INDEX('Market Size'!$L$5:$L$34,MATCH($A303,'Market Size'!$A$5:$A$34,0)),"n/a")</f>
        <v>6260638</v>
      </c>
      <c r="G303" s="108">
        <f>IFERROR(INDEX('Market Size'!$B$38:$K$67,MATCH($A303,'Market Size'!$A$38:$A$67,0),MATCH(""&amp;($B303-1),'Market Size'!$B$36:$K$36,0)),"n/a")</f>
        <v>8</v>
      </c>
      <c r="H303" s="108">
        <f>IFERROR(INDEX(Arena!$B$38:$K$67,MATCH($A303,Arena!$A$38:$A$67,0),MATCH(""&amp;$B303,Arena!$B$36:$K$36,0)),"n/a")</f>
        <v>1997</v>
      </c>
      <c r="I303" s="136" t="str">
        <f>IFERROR(INDEX(Arena!$B$71:$K$100,MATCH($A303,Arena!$A$71:$A$100,0),MATCH(""&amp;$B303,Arena!$B$69:$K$69,0)),"n/a")</f>
        <v>Y</v>
      </c>
      <c r="J303" s="137">
        <f>IF(ISNUMBER($H303),($B303-1)-$H303,"n/a")</f>
        <v>27</v>
      </c>
      <c r="K303" s="108">
        <f>IF($B303=2017,IFERROR(INDEX('Team Performance'!$B$241:$B$270,MATCH($A303,'Team Performance'!$A$241:$A$270,0)),"n/a"),IFERROR(INDEX('Team Performance'!$B$6:$K$35,MATCH($A303,'Team Performance'!$A$6:$A$35,0),MATCH(($B303-2)&amp;"-"&amp;RIGHT($B303-1,2),'Team Performance'!$B$5:$K$5,0)),"n/a"))</f>
        <v>15</v>
      </c>
      <c r="L303" s="108">
        <f>IF($B303=2017,IFERROR(INDEX('Team Performance'!$C$241:$C$270,MATCH($A303,'Team Performance'!$A$241:$A$270,0)),"n/a"),IFERROR(INDEX('Team Performance'!$B$39:$K$68,MATCH($A303,'Team Performance'!$A$39:$A$68,0),MATCH(($B303-2)&amp;"-"&amp;RIGHT($B303-1,2),'Team Performance'!$B$38:$K$38,0)),"n/a"))</f>
        <v>67</v>
      </c>
      <c r="M303" s="109">
        <f t="shared" si="9"/>
        <v>0.18292682926829268</v>
      </c>
      <c r="N303" s="108">
        <f>IF($B303=2017,IFERROR(INDEX('Team Performance'!$E$241:$E$270,MATCH($A303,'Team Performance'!$A$241:$A$270,0)),"n/a"),IFERROR(INDEX('Team Performance'!$B$140:$K$169,MATCH($A303,'Team Performance'!$A$140:$A$169,0),MATCH(($B303-2)&amp;"-"&amp;RIGHT($B303-1,2),'Team Performance'!$B$139:$K$139,0)),"n/a"))</f>
        <v>0</v>
      </c>
      <c r="O303" s="110">
        <f>IF($B303=2017,IFERROR(INDEX('Salary Cap'!$B$143:$B$172,MATCH($A303,'Salary Cap'!$A$143:$A$172,0)),"n/a"),IFERROR(INDEX('Salary Cap'!$B$10:$K$39,MATCH($A303,'Salary Cap'!$A$10:$A$39,0),MATCH(""&amp;($B303-1),'Salary Cap'!$B$9:$K$9,0)),"n/a"))</f>
        <v>147595496</v>
      </c>
      <c r="P303" s="115">
        <f>IF($B303=2017,IFERROR(INDEX('Salary Cap'!$C$143:$C$172,MATCH($A303,'Salary Cap'!$A$143:$A$172,0)),"n/a"),IFERROR(INDEX('Salary Cap'!$B$109:$K$138,MATCH($A303,'Salary Cap'!$A$109:$A$138,0),MATCH(""&amp;($B303-1),'Salary Cap'!$B$108:$K$108,0)),"n/a"))</f>
        <v>0</v>
      </c>
      <c r="Q303" s="138">
        <f>IF(OR($B303=2021,$B303=2022),1,0)</f>
        <v>0</v>
      </c>
    </row>
    <row r="304" spans="1:17" x14ac:dyDescent="0.2">
      <c r="A304" s="113" t="str" cm="1">
        <f t="array" ref="A304">INDEX('NBA Valuations'!$A$5:$A$34,INT((ROW()-5)/10)+1)</f>
        <v>Washington Wizards</v>
      </c>
      <c r="B304" s="105">
        <f t="shared" si="8"/>
        <v>2026</v>
      </c>
      <c r="C304" s="106">
        <f>IFERROR(INDEX('NBA Valuations'!$B$5:$K$34,MATCH($A304,'NBA Valuations'!$A$5:$A$34,0),MATCH(""&amp;$B304,'NBA Valuations'!$B$3:$K$3,0)),"n/a")</f>
        <v>4700</v>
      </c>
      <c r="D304" s="106">
        <f>IFERROR(INDEX(Revenue!$B$5:$K$34,MATCH($A304,Revenue!$A$5:$A$34,0),MATCH(""&amp;$B304,Revenue!$B$3:$K$3,0)),"n/a")</f>
        <v>389</v>
      </c>
      <c r="E304" s="106">
        <f>IFERROR(INDEX('Operating Income'!$B$5:$K$34,MATCH($A304,'Operating Income'!$A$5:$A$34,0),MATCH(""&amp;$B304,'Operating Income'!$B$3:$K$3,0)),"n/a")</f>
        <v>135</v>
      </c>
      <c r="F304" s="107">
        <f>IFERROR(INDEX('Market Size'!$L$5:$L$34,MATCH($A304,'Market Size'!$A$5:$A$34,0)),"n/a")</f>
        <v>6260638</v>
      </c>
      <c r="G304" s="108">
        <f>IFERROR(INDEX('Market Size'!$B$38:$K$67,MATCH($A304,'Market Size'!$A$38:$A$67,0),MATCH(""&amp;($B304-1),'Market Size'!$B$36:$K$36,0)),"n/a")</f>
        <v>8</v>
      </c>
      <c r="H304" s="108">
        <f>IFERROR(INDEX(Arena!$B$38:$K$67,MATCH($A304,Arena!$A$38:$A$67,0),MATCH(""&amp;$B304,Arena!$B$36:$K$36,0)),"n/a")</f>
        <v>1997</v>
      </c>
      <c r="I304" s="136" t="str">
        <f>IFERROR(INDEX(Arena!$B$71:$K$100,MATCH($A304,Arena!$A$71:$A$100,0),MATCH(""&amp;$B304,Arena!$B$69:$K$69,0)),"n/a")</f>
        <v>Y</v>
      </c>
      <c r="J304" s="137">
        <f>IF(ISNUMBER($H304),($B304-1)-$H304,"n/a")</f>
        <v>28</v>
      </c>
      <c r="K304" s="108">
        <f>IF($B304=2017,IFERROR(INDEX('Team Performance'!$B$241:$B$270,MATCH($A304,'Team Performance'!$A$241:$A$270,0)),"n/a"),IFERROR(INDEX('Team Performance'!$B$6:$K$35,MATCH($A304,'Team Performance'!$A$6:$A$35,0),MATCH(($B304-2)&amp;"-"&amp;RIGHT($B304-1,2),'Team Performance'!$B$5:$K$5,0)),"n/a"))</f>
        <v>18</v>
      </c>
      <c r="L304" s="108">
        <f>IF($B304=2017,IFERROR(INDEX('Team Performance'!$C$241:$C$270,MATCH($A304,'Team Performance'!$A$241:$A$270,0)),"n/a"),IFERROR(INDEX('Team Performance'!$B$39:$K$68,MATCH($A304,'Team Performance'!$A$39:$A$68,0),MATCH(($B304-2)&amp;"-"&amp;RIGHT($B304-1,2),'Team Performance'!$B$38:$K$38,0)),"n/a"))</f>
        <v>64</v>
      </c>
      <c r="M304" s="109">
        <f t="shared" si="9"/>
        <v>0.21951219512195122</v>
      </c>
      <c r="N304" s="108">
        <f>IF($B304=2017,IFERROR(INDEX('Team Performance'!$E$241:$E$270,MATCH($A304,'Team Performance'!$A$241:$A$270,0)),"n/a"),IFERROR(INDEX('Team Performance'!$B$140:$K$169,MATCH($A304,'Team Performance'!$A$140:$A$169,0),MATCH(($B304-2)&amp;"-"&amp;RIGHT($B304-1,2),'Team Performance'!$B$139:$K$139,0)),"n/a"))</f>
        <v>0</v>
      </c>
      <c r="O304" s="110">
        <f>IF($B304=2017,IFERROR(INDEX('Salary Cap'!$B$143:$B$172,MATCH($A304,'Salary Cap'!$A$143:$A$172,0)),"n/a"),IFERROR(INDEX('Salary Cap'!$B$10:$K$39,MATCH($A304,'Salary Cap'!$A$10:$A$39,0),MATCH(""&amp;($B304-1),'Salary Cap'!$B$9:$K$9,0)),"n/a"))</f>
        <v>169656752</v>
      </c>
      <c r="P304" s="115">
        <f>IF($B304=2017,IFERROR(INDEX('Salary Cap'!$C$143:$C$172,MATCH($A304,'Salary Cap'!$A$143:$A$172,0)),"n/a"),IFERROR(INDEX('Salary Cap'!$B$109:$K$138,MATCH($A304,'Salary Cap'!$A$109:$A$138,0),MATCH(""&amp;($B304-1),'Salary Cap'!$B$108:$K$108,0)),"n/a"))</f>
        <v>0</v>
      </c>
      <c r="Q304" s="138">
        <f>IF(OR($B304=2021,$B304=2022),1,0)</f>
        <v>0</v>
      </c>
    </row>
  </sheetData>
  <mergeCells count="2">
    <mergeCell ref="A1:Q1"/>
    <mergeCell ref="A2:Q2"/>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Sources &amp; Disclaimers</vt:lpstr>
      <vt:lpstr>NBA Valuations</vt:lpstr>
      <vt:lpstr>Revenue</vt:lpstr>
      <vt:lpstr>Operating Income</vt:lpstr>
      <vt:lpstr>Market Size</vt:lpstr>
      <vt:lpstr>Arena</vt:lpstr>
      <vt:lpstr>Sportico &amp; CNBC</vt:lpstr>
      <vt:lpstr>Salary Cap</vt:lpstr>
      <vt:lpstr>Team Performance</vt:lpstr>
      <vt:lpstr>Panel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Zach Keller</dc:creator>
  <cp:lastModifiedBy>Zach Keller</cp:lastModifiedBy>
  <dcterms:created xsi:type="dcterms:W3CDTF">2026-10-06T17:47:10Z</dcterms:created>
  <dcterms:modified xsi:type="dcterms:W3CDTF">2026-10-07T17:02:06Z</dcterms:modified>
</cp:coreProperties>
</file>